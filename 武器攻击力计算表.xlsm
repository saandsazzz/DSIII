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游戏数值分析\黑魂3数值系统分析\人物属性对武器面板攻击力的影响\"/>
    </mc:Choice>
  </mc:AlternateContent>
  <xr:revisionPtr revIDLastSave="0" documentId="13_ncr:1_{DB594330-1B13-4E60-9643-90A24FC4993E}" xr6:coauthVersionLast="36" xr6:coauthVersionMax="36" xr10:uidLastSave="{00000000-0000-0000-0000-000000000000}"/>
  <bookViews>
    <workbookView xWindow="-120" yWindow="-120" windowWidth="29040" windowHeight="15840" xr2:uid="{B9CEDDA0-5098-488F-8117-87B9417375AA}"/>
  </bookViews>
  <sheets>
    <sheet name="Main" sheetId="7" r:id="rId1"/>
    <sheet name="WeaponName" sheetId="8" r:id="rId2"/>
    <sheet name="WeaponPara" sheetId="3" r:id="rId3"/>
    <sheet name="ReinforceRate" sheetId="4" r:id="rId4"/>
    <sheet name="StaticFunction" sheetId="5" r:id="rId5"/>
    <sheet name="AtkTypeCorrect-Attribute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8" i="7" l="1"/>
  <c r="AA4" i="7"/>
  <c r="B7" i="7"/>
  <c r="AA10" i="7" s="1"/>
  <c r="B14" i="7" s="1"/>
  <c r="D12" i="7"/>
  <c r="D13" i="7"/>
  <c r="D14" i="7"/>
  <c r="D11" i="7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" i="8"/>
  <c r="AE3" i="7" l="1"/>
  <c r="AE7" i="7"/>
  <c r="AE6" i="7"/>
  <c r="AE5" i="7"/>
  <c r="AE4" i="7"/>
  <c r="AA12" i="7"/>
  <c r="B10" i="7"/>
  <c r="B11" i="7"/>
  <c r="B12" i="7"/>
  <c r="B13" i="7"/>
  <c r="G4" i="7"/>
  <c r="G5" i="7"/>
  <c r="G6" i="7"/>
  <c r="G7" i="7"/>
  <c r="G8" i="7"/>
  <c r="AA6" i="7"/>
  <c r="D10" i="7"/>
  <c r="P7" i="7" l="1"/>
  <c r="M7" i="7"/>
  <c r="P6" i="7"/>
  <c r="M6" i="7"/>
  <c r="P5" i="7"/>
  <c r="M5" i="7"/>
  <c r="P4" i="7"/>
  <c r="L4" i="7"/>
  <c r="O4" i="7"/>
  <c r="L8" i="7"/>
  <c r="O8" i="7"/>
  <c r="L7" i="7"/>
  <c r="M8" i="7"/>
  <c r="O7" i="7"/>
  <c r="L6" i="7"/>
  <c r="O6" i="7"/>
  <c r="L5" i="7"/>
  <c r="O5" i="7"/>
  <c r="N4" i="7"/>
  <c r="N8" i="7"/>
  <c r="N7" i="7"/>
  <c r="N6" i="7"/>
  <c r="N5" i="7"/>
  <c r="M4" i="7"/>
  <c r="P8" i="7"/>
  <c r="H8" i="7"/>
  <c r="I8" i="7" s="1"/>
  <c r="T7" i="7" s="1"/>
  <c r="H7" i="7"/>
  <c r="I7" i="7" s="1"/>
  <c r="T6" i="7" s="1"/>
  <c r="H6" i="7"/>
  <c r="I6" i="7" s="1"/>
  <c r="T5" i="7" s="1"/>
  <c r="H5" i="7"/>
  <c r="I5" i="7" s="1"/>
  <c r="T4" i="7" s="1"/>
  <c r="H4" i="7"/>
  <c r="I4" i="7" s="1"/>
  <c r="T3" i="7" s="1"/>
  <c r="Q5" i="7" l="1"/>
  <c r="U4" i="7" s="1"/>
  <c r="V4" i="7" s="1"/>
  <c r="Q6" i="7"/>
  <c r="U5" i="7" s="1"/>
  <c r="V5" i="7" s="1"/>
  <c r="Q7" i="7"/>
  <c r="U6" i="7" s="1"/>
  <c r="V6" i="7" s="1"/>
  <c r="Q8" i="7"/>
  <c r="U7" i="7" s="1"/>
  <c r="V7" i="7" s="1"/>
  <c r="Q4" i="7"/>
  <c r="U3" i="7" s="1"/>
  <c r="V3" i="7" s="1"/>
  <c r="W3" i="7" l="1"/>
  <c r="AHG24" i="5" l="1"/>
  <c r="AHF24" i="5"/>
  <c r="AHE24" i="5"/>
  <c r="AHD24" i="5"/>
  <c r="AHC24" i="5"/>
  <c r="AHB24" i="5"/>
  <c r="AHA24" i="5"/>
  <c r="AGZ24" i="5"/>
  <c r="AGY24" i="5"/>
  <c r="AGX24" i="5"/>
  <c r="AGW24" i="5"/>
  <c r="AGV24" i="5"/>
  <c r="AGU24" i="5"/>
  <c r="AGT24" i="5"/>
  <c r="AGS24" i="5"/>
  <c r="AGR24" i="5"/>
  <c r="AGQ24" i="5"/>
  <c r="AGP24" i="5"/>
  <c r="AGO24" i="5"/>
  <c r="AGN24" i="5"/>
  <c r="AGM24" i="5"/>
  <c r="AGL24" i="5"/>
  <c r="AGK24" i="5"/>
  <c r="AGJ24" i="5"/>
  <c r="AGI24" i="5"/>
  <c r="AGH24" i="5"/>
  <c r="AGG24" i="5"/>
  <c r="AGF24" i="5"/>
  <c r="AGE24" i="5"/>
  <c r="AGD24" i="5"/>
  <c r="AGC24" i="5"/>
  <c r="AGB24" i="5"/>
  <c r="AGA24" i="5"/>
  <c r="AFZ24" i="5"/>
  <c r="AFY24" i="5"/>
  <c r="AFX24" i="5"/>
  <c r="AFW24" i="5"/>
  <c r="AFV24" i="5"/>
  <c r="AFU24" i="5"/>
  <c r="AFT24" i="5"/>
  <c r="AFS24" i="5"/>
  <c r="AFR24" i="5"/>
  <c r="AFQ24" i="5"/>
  <c r="AFP24" i="5"/>
  <c r="AFO24" i="5"/>
  <c r="AFN24" i="5"/>
  <c r="AFM24" i="5"/>
  <c r="AFL24" i="5"/>
  <c r="AFK24" i="5"/>
  <c r="AFJ24" i="5"/>
  <c r="AFI24" i="5"/>
  <c r="AFH24" i="5"/>
  <c r="AFG24" i="5"/>
  <c r="AFF24" i="5"/>
  <c r="AFE24" i="5"/>
  <c r="AFD24" i="5"/>
  <c r="AFC24" i="5"/>
  <c r="AFB24" i="5"/>
  <c r="AFA24" i="5"/>
  <c r="AEZ24" i="5"/>
  <c r="AEY24" i="5"/>
  <c r="AEX24" i="5"/>
  <c r="AEW24" i="5"/>
  <c r="AEV24" i="5"/>
  <c r="AEU24" i="5"/>
  <c r="AET24" i="5"/>
  <c r="AES24" i="5"/>
  <c r="AER24" i="5"/>
  <c r="AEQ24" i="5"/>
  <c r="AEP24" i="5"/>
  <c r="AEO24" i="5"/>
  <c r="AEN24" i="5"/>
  <c r="AEM24" i="5"/>
  <c r="AEL24" i="5"/>
  <c r="AEK24" i="5"/>
  <c r="AEJ24" i="5"/>
  <c r="AEI24" i="5"/>
  <c r="AEH24" i="5"/>
  <c r="AEG24" i="5"/>
  <c r="AEF24" i="5"/>
  <c r="AEE24" i="5"/>
  <c r="AED24" i="5"/>
  <c r="AEC24" i="5"/>
  <c r="AEB24" i="5"/>
  <c r="AEA24" i="5"/>
  <c r="ADZ24" i="5"/>
  <c r="ADY24" i="5"/>
  <c r="ADX24" i="5"/>
  <c r="ADW24" i="5"/>
  <c r="ADV24" i="5"/>
  <c r="ADU24" i="5"/>
  <c r="ADT24" i="5"/>
  <c r="ADS24" i="5"/>
  <c r="ADR24" i="5"/>
  <c r="ADQ24" i="5"/>
  <c r="ADP24" i="5"/>
  <c r="ADO24" i="5"/>
  <c r="ADN24" i="5"/>
  <c r="ADM24" i="5"/>
  <c r="ADL24" i="5"/>
  <c r="ADK24" i="5"/>
  <c r="ADJ24" i="5"/>
  <c r="ADI24" i="5"/>
  <c r="ADH24" i="5"/>
  <c r="ADG24" i="5"/>
  <c r="ADF24" i="5"/>
  <c r="ADE24" i="5"/>
  <c r="ADD24" i="5"/>
  <c r="ADC24" i="5"/>
  <c r="ADB24" i="5"/>
  <c r="ADA24" i="5"/>
  <c r="ACZ24" i="5"/>
  <c r="ACY24" i="5"/>
  <c r="ACX24" i="5"/>
  <c r="ACW24" i="5"/>
  <c r="ACV24" i="5"/>
  <c r="ACU24" i="5"/>
  <c r="ACT24" i="5"/>
  <c r="ACS24" i="5"/>
  <c r="ACR24" i="5"/>
  <c r="ACQ24" i="5"/>
  <c r="ACP24" i="5"/>
  <c r="ACO24" i="5"/>
  <c r="ACN24" i="5"/>
  <c r="ACM24" i="5"/>
  <c r="ACL24" i="5"/>
  <c r="ACK24" i="5"/>
  <c r="ACJ24" i="5"/>
  <c r="ACI24" i="5"/>
  <c r="ACH24" i="5"/>
  <c r="ACG24" i="5"/>
  <c r="ACF24" i="5"/>
  <c r="ACE24" i="5"/>
  <c r="ACD24" i="5"/>
  <c r="ACC24" i="5"/>
  <c r="ACB24" i="5"/>
  <c r="ACA24" i="5"/>
  <c r="ABZ24" i="5"/>
  <c r="ABY24" i="5"/>
  <c r="ABX24" i="5"/>
  <c r="ABW24" i="5"/>
  <c r="ABV24" i="5"/>
  <c r="ABU24" i="5"/>
  <c r="ABT24" i="5"/>
  <c r="ABS24" i="5"/>
  <c r="ABR24" i="5"/>
  <c r="ABQ24" i="5"/>
  <c r="ABP24" i="5"/>
  <c r="ABO24" i="5"/>
  <c r="ABN24" i="5"/>
  <c r="ABM24" i="5"/>
  <c r="ABL24" i="5"/>
  <c r="ABK24" i="5"/>
  <c r="ABJ24" i="5"/>
  <c r="ABI24" i="5"/>
  <c r="ABH24" i="5"/>
  <c r="ABG24" i="5"/>
  <c r="ABF24" i="5"/>
  <c r="ABE24" i="5"/>
  <c r="ABD24" i="5"/>
  <c r="ABC24" i="5"/>
  <c r="ABB24" i="5"/>
  <c r="ABA24" i="5"/>
  <c r="AAZ24" i="5"/>
  <c r="AAY24" i="5"/>
  <c r="AAX24" i="5"/>
  <c r="AAW24" i="5"/>
  <c r="AAV24" i="5"/>
  <c r="AAU24" i="5"/>
  <c r="AAT24" i="5"/>
  <c r="AAS24" i="5"/>
  <c r="AAR24" i="5"/>
  <c r="AAQ24" i="5"/>
  <c r="AAP24" i="5"/>
  <c r="AAO24" i="5"/>
  <c r="AAN24" i="5"/>
  <c r="AAM24" i="5"/>
  <c r="AAL24" i="5"/>
  <c r="AAK24" i="5"/>
  <c r="AAJ24" i="5"/>
  <c r="AAI24" i="5"/>
  <c r="AAH24" i="5"/>
  <c r="AAG24" i="5"/>
  <c r="AAF24" i="5"/>
  <c r="AAE24" i="5"/>
  <c r="AAD24" i="5"/>
  <c r="AAC24" i="5"/>
  <c r="AAB24" i="5"/>
  <c r="AAA24" i="5"/>
  <c r="ZZ24" i="5"/>
  <c r="ZY24" i="5"/>
  <c r="ZX24" i="5"/>
  <c r="ZW24" i="5"/>
  <c r="ZV24" i="5"/>
  <c r="ZU24" i="5"/>
  <c r="ZT24" i="5"/>
  <c r="ZS24" i="5"/>
  <c r="ZR24" i="5"/>
  <c r="ZQ24" i="5"/>
  <c r="ZP24" i="5"/>
  <c r="ZO24" i="5"/>
  <c r="ZN24" i="5"/>
  <c r="ZM24" i="5"/>
  <c r="ZL24" i="5"/>
  <c r="ZK24" i="5"/>
  <c r="ZJ24" i="5"/>
  <c r="ZI24" i="5"/>
  <c r="ZH24" i="5"/>
  <c r="ZG24" i="5"/>
  <c r="ZF24" i="5"/>
  <c r="ZE24" i="5"/>
  <c r="ZD24" i="5"/>
  <c r="ZC24" i="5"/>
  <c r="ZB24" i="5"/>
  <c r="ZA24" i="5"/>
  <c r="YZ24" i="5"/>
  <c r="YY24" i="5"/>
  <c r="YX24" i="5"/>
  <c r="YW24" i="5"/>
  <c r="YV24" i="5"/>
  <c r="YU24" i="5"/>
  <c r="YT24" i="5"/>
  <c r="YS24" i="5"/>
  <c r="YR24" i="5"/>
  <c r="YQ24" i="5"/>
  <c r="YP24" i="5"/>
  <c r="YO24" i="5"/>
  <c r="YN24" i="5"/>
  <c r="YM24" i="5"/>
  <c r="YL24" i="5"/>
  <c r="YK24" i="5"/>
  <c r="YJ24" i="5"/>
  <c r="YI24" i="5"/>
  <c r="YH24" i="5"/>
  <c r="YG24" i="5"/>
  <c r="YF24" i="5"/>
  <c r="YE24" i="5"/>
  <c r="YD24" i="5"/>
  <c r="YC24" i="5"/>
  <c r="YB24" i="5"/>
  <c r="YA24" i="5"/>
  <c r="XZ24" i="5"/>
  <c r="XY24" i="5"/>
  <c r="XX24" i="5"/>
  <c r="XW24" i="5"/>
  <c r="XV24" i="5"/>
  <c r="XU24" i="5"/>
  <c r="XT24" i="5"/>
  <c r="XS24" i="5"/>
  <c r="XR24" i="5"/>
  <c r="XQ24" i="5"/>
  <c r="XP24" i="5"/>
  <c r="XO24" i="5"/>
  <c r="XN24" i="5"/>
  <c r="XM24" i="5"/>
  <c r="XL24" i="5"/>
  <c r="XK24" i="5"/>
  <c r="XJ24" i="5"/>
  <c r="XI24" i="5"/>
  <c r="XH24" i="5"/>
  <c r="XG24" i="5"/>
  <c r="XF24" i="5"/>
  <c r="XE24" i="5"/>
  <c r="XD24" i="5"/>
  <c r="XC24" i="5"/>
  <c r="XB24" i="5"/>
  <c r="XA24" i="5"/>
  <c r="WZ24" i="5"/>
  <c r="WY24" i="5"/>
  <c r="WX24" i="5"/>
  <c r="WW24" i="5"/>
  <c r="WV24" i="5"/>
  <c r="WU24" i="5"/>
  <c r="WT24" i="5"/>
  <c r="WS24" i="5"/>
  <c r="WR24" i="5"/>
  <c r="WQ24" i="5"/>
  <c r="WP24" i="5"/>
  <c r="WO24" i="5"/>
  <c r="WN24" i="5"/>
  <c r="WM24" i="5"/>
  <c r="WL24" i="5"/>
  <c r="WK24" i="5"/>
  <c r="WJ24" i="5"/>
  <c r="WI24" i="5"/>
  <c r="WH24" i="5"/>
  <c r="WG24" i="5"/>
  <c r="WF24" i="5"/>
  <c r="WE24" i="5"/>
  <c r="WD24" i="5"/>
  <c r="WC24" i="5"/>
  <c r="WB24" i="5"/>
  <c r="WA24" i="5"/>
  <c r="VZ24" i="5"/>
  <c r="VY24" i="5"/>
  <c r="VX24" i="5"/>
  <c r="VW24" i="5"/>
  <c r="VV24" i="5"/>
  <c r="VU24" i="5"/>
  <c r="VT24" i="5"/>
  <c r="VS24" i="5"/>
  <c r="VR24" i="5"/>
  <c r="VQ24" i="5"/>
  <c r="VP24" i="5"/>
  <c r="VO24" i="5"/>
  <c r="VN24" i="5"/>
  <c r="VM24" i="5"/>
  <c r="VL24" i="5"/>
  <c r="VK24" i="5"/>
  <c r="VJ24" i="5"/>
  <c r="VI24" i="5"/>
  <c r="VH24" i="5"/>
  <c r="VG24" i="5"/>
  <c r="VF24" i="5"/>
  <c r="VE24" i="5"/>
  <c r="VD24" i="5"/>
  <c r="VC24" i="5"/>
  <c r="VB24" i="5"/>
  <c r="VA24" i="5"/>
  <c r="UZ24" i="5"/>
  <c r="UY24" i="5"/>
  <c r="UX24" i="5"/>
  <c r="UW24" i="5"/>
  <c r="UV24" i="5"/>
  <c r="UU24" i="5"/>
  <c r="UT24" i="5"/>
  <c r="US24" i="5"/>
  <c r="UR24" i="5"/>
  <c r="UQ24" i="5"/>
  <c r="UP24" i="5"/>
  <c r="UO24" i="5"/>
  <c r="UN24" i="5"/>
  <c r="UM24" i="5"/>
  <c r="UL24" i="5"/>
  <c r="UK24" i="5"/>
  <c r="UJ24" i="5"/>
  <c r="UI24" i="5"/>
  <c r="UH24" i="5"/>
  <c r="UG24" i="5"/>
  <c r="UF24" i="5"/>
  <c r="UE24" i="5"/>
  <c r="UD24" i="5"/>
  <c r="UC24" i="5"/>
  <c r="UB24" i="5"/>
  <c r="UA24" i="5"/>
  <c r="TZ24" i="5"/>
  <c r="TY24" i="5"/>
  <c r="TX24" i="5"/>
  <c r="TW24" i="5"/>
  <c r="TV24" i="5"/>
  <c r="TU24" i="5"/>
  <c r="TT24" i="5"/>
  <c r="TS24" i="5"/>
  <c r="TR24" i="5"/>
  <c r="TQ24" i="5"/>
  <c r="TP24" i="5"/>
  <c r="TO24" i="5"/>
  <c r="TN24" i="5"/>
  <c r="TM24" i="5"/>
  <c r="TL24" i="5"/>
  <c r="TK24" i="5"/>
  <c r="TJ24" i="5"/>
  <c r="TI24" i="5"/>
  <c r="TH24" i="5"/>
  <c r="TG24" i="5"/>
  <c r="TF24" i="5"/>
  <c r="TE24" i="5"/>
  <c r="TD24" i="5"/>
  <c r="TC24" i="5"/>
  <c r="TB24" i="5"/>
  <c r="TA24" i="5"/>
  <c r="SZ24" i="5"/>
  <c r="SY24" i="5"/>
  <c r="SX24" i="5"/>
  <c r="SW24" i="5"/>
  <c r="SV24" i="5"/>
  <c r="SU24" i="5"/>
  <c r="ST24" i="5"/>
  <c r="SS24" i="5"/>
  <c r="SR24" i="5"/>
  <c r="SQ24" i="5"/>
  <c r="SP24" i="5"/>
  <c r="SO24" i="5"/>
  <c r="SN24" i="5"/>
  <c r="SM24" i="5"/>
  <c r="SL24" i="5"/>
  <c r="SK24" i="5"/>
  <c r="SJ24" i="5"/>
  <c r="SI24" i="5"/>
  <c r="SH24" i="5"/>
  <c r="SG24" i="5"/>
  <c r="SF24" i="5"/>
  <c r="SE24" i="5"/>
  <c r="SD24" i="5"/>
  <c r="SC24" i="5"/>
  <c r="SB24" i="5"/>
  <c r="SA24" i="5"/>
  <c r="RZ24" i="5"/>
  <c r="RY24" i="5"/>
  <c r="RX24" i="5"/>
  <c r="RW24" i="5"/>
  <c r="RV24" i="5"/>
  <c r="RU24" i="5"/>
  <c r="RT24" i="5"/>
  <c r="RS24" i="5"/>
  <c r="RR24" i="5"/>
  <c r="RQ24" i="5"/>
  <c r="RP24" i="5"/>
  <c r="RO24" i="5"/>
  <c r="RN24" i="5"/>
  <c r="RM24" i="5"/>
  <c r="RL24" i="5"/>
  <c r="RK24" i="5"/>
  <c r="RJ24" i="5"/>
  <c r="RI24" i="5"/>
  <c r="RH24" i="5"/>
  <c r="RG24" i="5"/>
  <c r="RF24" i="5"/>
  <c r="RE24" i="5"/>
  <c r="RD24" i="5"/>
  <c r="RC24" i="5"/>
  <c r="RB24" i="5"/>
  <c r="RA24" i="5"/>
  <c r="QZ24" i="5"/>
  <c r="QY24" i="5"/>
  <c r="QX24" i="5"/>
  <c r="QW24" i="5"/>
  <c r="QV24" i="5"/>
  <c r="QU24" i="5"/>
  <c r="QT24" i="5"/>
  <c r="QS24" i="5"/>
  <c r="QR24" i="5"/>
  <c r="QQ24" i="5"/>
  <c r="QP24" i="5"/>
  <c r="QO24" i="5"/>
  <c r="QN24" i="5"/>
  <c r="QM24" i="5"/>
  <c r="QL24" i="5"/>
  <c r="QK24" i="5"/>
  <c r="QJ24" i="5"/>
  <c r="QI24" i="5"/>
  <c r="QH24" i="5"/>
  <c r="QG24" i="5"/>
  <c r="QF24" i="5"/>
  <c r="QE24" i="5"/>
  <c r="QD24" i="5"/>
  <c r="QC24" i="5"/>
  <c r="QB24" i="5"/>
  <c r="QA24" i="5"/>
  <c r="PZ24" i="5"/>
  <c r="PY24" i="5"/>
  <c r="PX24" i="5"/>
  <c r="PW24" i="5"/>
  <c r="PV24" i="5"/>
  <c r="PU24" i="5"/>
  <c r="PT24" i="5"/>
  <c r="PS24" i="5"/>
  <c r="PR24" i="5"/>
  <c r="PQ24" i="5"/>
  <c r="PP24" i="5"/>
  <c r="PO24" i="5"/>
  <c r="PN24" i="5"/>
  <c r="PM24" i="5"/>
  <c r="PL24" i="5"/>
  <c r="PK24" i="5"/>
  <c r="PJ24" i="5"/>
  <c r="PI24" i="5"/>
  <c r="PH24" i="5"/>
  <c r="PG24" i="5"/>
  <c r="PF24" i="5"/>
  <c r="PE24" i="5"/>
  <c r="PD24" i="5"/>
  <c r="PC24" i="5"/>
  <c r="PB24" i="5"/>
  <c r="PA24" i="5"/>
  <c r="OZ24" i="5"/>
  <c r="OY24" i="5"/>
  <c r="OX24" i="5"/>
  <c r="OW24" i="5"/>
  <c r="OV24" i="5"/>
  <c r="OU24" i="5"/>
  <c r="OT24" i="5"/>
  <c r="OS24" i="5"/>
  <c r="OR24" i="5"/>
  <c r="OQ24" i="5"/>
  <c r="OP24" i="5"/>
  <c r="OO24" i="5"/>
  <c r="ON24" i="5"/>
  <c r="OM24" i="5"/>
  <c r="OL24" i="5"/>
  <c r="OK24" i="5"/>
  <c r="OJ24" i="5"/>
  <c r="OI24" i="5"/>
  <c r="OH24" i="5"/>
  <c r="OG24" i="5"/>
  <c r="OF24" i="5"/>
  <c r="OE24" i="5"/>
  <c r="OD24" i="5"/>
  <c r="OC24" i="5"/>
  <c r="OB24" i="5"/>
  <c r="OA24" i="5"/>
  <c r="NZ24" i="5"/>
  <c r="NY24" i="5"/>
  <c r="NX24" i="5"/>
  <c r="NW24" i="5"/>
  <c r="NV24" i="5"/>
  <c r="NU24" i="5"/>
  <c r="NT24" i="5"/>
  <c r="NS24" i="5"/>
  <c r="NR24" i="5"/>
  <c r="NQ24" i="5"/>
  <c r="NP24" i="5"/>
  <c r="NO24" i="5"/>
  <c r="NN24" i="5"/>
  <c r="NM24" i="5"/>
  <c r="NL24" i="5"/>
  <c r="NK24" i="5"/>
  <c r="NJ24" i="5"/>
  <c r="NI24" i="5"/>
  <c r="NH24" i="5"/>
  <c r="NG24" i="5"/>
  <c r="NF24" i="5"/>
  <c r="NE24" i="5"/>
  <c r="ND24" i="5"/>
  <c r="NC24" i="5"/>
  <c r="NB24" i="5"/>
  <c r="NA24" i="5"/>
  <c r="MZ24" i="5"/>
  <c r="MY24" i="5"/>
  <c r="MX24" i="5"/>
  <c r="MW24" i="5"/>
  <c r="MV24" i="5"/>
  <c r="MU24" i="5"/>
  <c r="MT24" i="5"/>
  <c r="MS24" i="5"/>
  <c r="MR24" i="5"/>
  <c r="MQ24" i="5"/>
  <c r="MP24" i="5"/>
  <c r="MO24" i="5"/>
  <c r="MN24" i="5"/>
  <c r="MM24" i="5"/>
  <c r="ML24" i="5"/>
  <c r="MK24" i="5"/>
  <c r="MJ24" i="5"/>
  <c r="MI24" i="5"/>
  <c r="MH24" i="5"/>
  <c r="MG24" i="5"/>
  <c r="MF24" i="5"/>
  <c r="ME24" i="5"/>
  <c r="MD24" i="5"/>
  <c r="MC24" i="5"/>
  <c r="MB24" i="5"/>
  <c r="MA24" i="5"/>
  <c r="LZ24" i="5"/>
  <c r="LY24" i="5"/>
  <c r="LX24" i="5"/>
  <c r="LW24" i="5"/>
  <c r="LV24" i="5"/>
  <c r="LU24" i="5"/>
  <c r="LT24" i="5"/>
  <c r="LS24" i="5"/>
  <c r="LR24" i="5"/>
  <c r="LQ24" i="5"/>
  <c r="LP24" i="5"/>
  <c r="LO24" i="5"/>
  <c r="LN24" i="5"/>
  <c r="LM24" i="5"/>
  <c r="LL24" i="5"/>
  <c r="LK24" i="5"/>
  <c r="LJ24" i="5"/>
  <c r="LI24" i="5"/>
  <c r="LH24" i="5"/>
  <c r="LG24" i="5"/>
  <c r="LF24" i="5"/>
  <c r="LE24" i="5"/>
  <c r="LD24" i="5"/>
  <c r="LC24" i="5"/>
  <c r="LB24" i="5"/>
  <c r="LA24" i="5"/>
  <c r="KZ24" i="5"/>
  <c r="KY24" i="5"/>
  <c r="KX24" i="5"/>
  <c r="KW24" i="5"/>
  <c r="KV24" i="5"/>
  <c r="KU24" i="5"/>
  <c r="KT24" i="5"/>
  <c r="KS24" i="5"/>
  <c r="KR24" i="5"/>
  <c r="KQ24" i="5"/>
  <c r="KP24" i="5"/>
  <c r="KO24" i="5"/>
  <c r="KN24" i="5"/>
  <c r="KM24" i="5"/>
  <c r="KL24" i="5"/>
  <c r="KK24" i="5"/>
  <c r="KJ24" i="5"/>
  <c r="KI24" i="5"/>
  <c r="KH24" i="5"/>
  <c r="KG24" i="5"/>
  <c r="KF24" i="5"/>
  <c r="KE24" i="5"/>
  <c r="KD24" i="5"/>
  <c r="KC24" i="5"/>
  <c r="KB24" i="5"/>
  <c r="KA24" i="5"/>
  <c r="JZ24" i="5"/>
  <c r="JY24" i="5"/>
  <c r="JX24" i="5"/>
  <c r="JW24" i="5"/>
  <c r="JV24" i="5"/>
  <c r="JU24" i="5"/>
  <c r="JT24" i="5"/>
  <c r="JS24" i="5"/>
  <c r="JR24" i="5"/>
  <c r="JQ24" i="5"/>
  <c r="JP24" i="5"/>
  <c r="JO24" i="5"/>
  <c r="JN24" i="5"/>
  <c r="JM24" i="5"/>
  <c r="JL24" i="5"/>
  <c r="JK24" i="5"/>
  <c r="JJ24" i="5"/>
  <c r="JI24" i="5"/>
  <c r="JH24" i="5"/>
  <c r="JG24" i="5"/>
  <c r="JF24" i="5"/>
  <c r="JE24" i="5"/>
  <c r="JD24" i="5"/>
  <c r="JC24" i="5"/>
  <c r="JB24" i="5"/>
  <c r="JA24" i="5"/>
  <c r="IZ24" i="5"/>
  <c r="IY24" i="5"/>
  <c r="IX24" i="5"/>
  <c r="IW24" i="5"/>
  <c r="IV24" i="5"/>
  <c r="IU24" i="5"/>
  <c r="IT24" i="5"/>
  <c r="IS24" i="5"/>
  <c r="IR24" i="5"/>
  <c r="IQ24" i="5"/>
  <c r="IP24" i="5"/>
  <c r="IO24" i="5"/>
  <c r="IN24" i="5"/>
  <c r="IM24" i="5"/>
  <c r="IL24" i="5"/>
  <c r="IK24" i="5"/>
  <c r="IJ24" i="5"/>
  <c r="II24" i="5"/>
  <c r="IH24" i="5"/>
  <c r="IF24" i="5"/>
  <c r="IE24" i="5"/>
  <c r="ID24" i="5"/>
  <c r="IC24" i="5"/>
  <c r="IB24" i="5"/>
  <c r="IA24" i="5"/>
  <c r="HZ24" i="5"/>
  <c r="HY24" i="5"/>
  <c r="HX24" i="5"/>
  <c r="HW24" i="5"/>
  <c r="HV24" i="5"/>
  <c r="HU24" i="5"/>
  <c r="HT24" i="5"/>
  <c r="HS24" i="5"/>
  <c r="HR24" i="5"/>
  <c r="HQ24" i="5"/>
  <c r="HP24" i="5"/>
  <c r="HO24" i="5"/>
  <c r="HN24" i="5"/>
  <c r="HM24" i="5"/>
  <c r="HL24" i="5"/>
  <c r="HK24" i="5"/>
  <c r="HJ24" i="5"/>
  <c r="HI24" i="5"/>
  <c r="HH24" i="5"/>
  <c r="HG24" i="5"/>
  <c r="HF24" i="5"/>
  <c r="HE24" i="5"/>
  <c r="HD24" i="5"/>
  <c r="HC24" i="5"/>
  <c r="HB24" i="5"/>
  <c r="HA24" i="5"/>
  <c r="GZ24" i="5"/>
  <c r="GY24" i="5"/>
  <c r="GX24" i="5"/>
  <c r="GW24" i="5"/>
  <c r="GV24" i="5"/>
  <c r="GU24" i="5"/>
  <c r="GT24" i="5"/>
  <c r="GS24" i="5"/>
  <c r="GR24" i="5"/>
  <c r="GQ24" i="5"/>
  <c r="GP24" i="5"/>
  <c r="GO24" i="5"/>
  <c r="GN24" i="5"/>
  <c r="GM24" i="5"/>
  <c r="GL24" i="5"/>
  <c r="GK24" i="5"/>
  <c r="GJ24" i="5"/>
  <c r="GH24" i="5"/>
  <c r="GG24" i="5"/>
  <c r="GF24" i="5"/>
  <c r="GE24" i="5"/>
  <c r="GD24" i="5"/>
  <c r="GC24" i="5"/>
  <c r="GB24" i="5"/>
  <c r="GA24" i="5"/>
  <c r="FZ24" i="5"/>
  <c r="FY24" i="5"/>
  <c r="FX24" i="5"/>
  <c r="FW24" i="5"/>
  <c r="FV24" i="5"/>
  <c r="FU24" i="5"/>
  <c r="FT24" i="5"/>
  <c r="FS24" i="5"/>
  <c r="FR24" i="5"/>
  <c r="FQ24" i="5"/>
  <c r="FP24" i="5"/>
  <c r="FO24" i="5"/>
  <c r="FN24" i="5"/>
  <c r="FM24" i="5"/>
  <c r="FL24" i="5"/>
  <c r="FK24" i="5"/>
  <c r="FJ24" i="5"/>
  <c r="FI24" i="5"/>
  <c r="FH24" i="5"/>
  <c r="FG24" i="5"/>
  <c r="FF24" i="5"/>
  <c r="FE24" i="5"/>
  <c r="FD24" i="5"/>
  <c r="FC24" i="5"/>
  <c r="FB24" i="5"/>
  <c r="FA24" i="5"/>
  <c r="EZ24" i="5"/>
  <c r="EY24" i="5"/>
  <c r="EX24" i="5"/>
  <c r="EW24" i="5"/>
  <c r="EV24" i="5"/>
  <c r="ET24" i="5"/>
  <c r="ES24" i="5"/>
  <c r="ER24" i="5"/>
  <c r="EQ24" i="5"/>
  <c r="EP24" i="5"/>
  <c r="EO24" i="5"/>
  <c r="EN24" i="5"/>
  <c r="EM24" i="5"/>
  <c r="EL24" i="5"/>
  <c r="EK24" i="5"/>
  <c r="EJ24" i="5"/>
  <c r="EI24" i="5"/>
  <c r="EH24" i="5"/>
  <c r="EG24" i="5"/>
  <c r="EF24" i="5"/>
  <c r="EE24" i="5"/>
  <c r="ED24" i="5"/>
  <c r="EC24" i="5"/>
  <c r="EB24" i="5"/>
  <c r="EA24" i="5"/>
  <c r="DZ24" i="5"/>
  <c r="DY24" i="5"/>
  <c r="DX24" i="5"/>
  <c r="DW24" i="5"/>
  <c r="DV24" i="5"/>
  <c r="DU24" i="5"/>
  <c r="DT24" i="5"/>
  <c r="DS24" i="5"/>
  <c r="DR24" i="5"/>
  <c r="DQ24" i="5"/>
  <c r="DP24" i="5"/>
  <c r="DO24" i="5"/>
  <c r="DN24" i="5"/>
  <c r="DM24" i="5"/>
  <c r="DL24" i="5"/>
  <c r="DK24" i="5"/>
  <c r="DJ24" i="5"/>
  <c r="DI24" i="5"/>
  <c r="DH24" i="5"/>
  <c r="DG24" i="5"/>
  <c r="DF24" i="5"/>
  <c r="DE24" i="5"/>
  <c r="DD24" i="5"/>
  <c r="DC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CP24" i="5"/>
  <c r="CO24" i="5"/>
  <c r="CN24" i="5"/>
  <c r="CM24" i="5"/>
  <c r="CL24" i="5"/>
  <c r="CK24" i="5"/>
  <c r="CJ24" i="5"/>
  <c r="CI24" i="5"/>
  <c r="CH24" i="5"/>
  <c r="CG24" i="5"/>
  <c r="CF24" i="5"/>
  <c r="CE24" i="5"/>
  <c r="CD24" i="5"/>
  <c r="CC24" i="5"/>
  <c r="CB24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AHG23" i="5"/>
  <c r="AHF23" i="5"/>
  <c r="AHE23" i="5"/>
  <c r="AHD23" i="5"/>
  <c r="AHC23" i="5"/>
  <c r="AHB23" i="5"/>
  <c r="AHA23" i="5"/>
  <c r="AGZ23" i="5"/>
  <c r="AGY23" i="5"/>
  <c r="AGX23" i="5"/>
  <c r="AGW23" i="5"/>
  <c r="AGV23" i="5"/>
  <c r="AGU23" i="5"/>
  <c r="AGT23" i="5"/>
  <c r="AGS23" i="5"/>
  <c r="AGR23" i="5"/>
  <c r="AGQ23" i="5"/>
  <c r="AGP23" i="5"/>
  <c r="AGO23" i="5"/>
  <c r="AGN23" i="5"/>
  <c r="AGM23" i="5"/>
  <c r="AGL23" i="5"/>
  <c r="AGK23" i="5"/>
  <c r="AGJ23" i="5"/>
  <c r="AGI23" i="5"/>
  <c r="AGH23" i="5"/>
  <c r="AGG23" i="5"/>
  <c r="AGF23" i="5"/>
  <c r="AGE23" i="5"/>
  <c r="AGD23" i="5"/>
  <c r="AGC23" i="5"/>
  <c r="AGB23" i="5"/>
  <c r="AGA23" i="5"/>
  <c r="AFZ23" i="5"/>
  <c r="AFY23" i="5"/>
  <c r="AFX23" i="5"/>
  <c r="AFW23" i="5"/>
  <c r="AFV23" i="5"/>
  <c r="AFU23" i="5"/>
  <c r="AFT23" i="5"/>
  <c r="AFS23" i="5"/>
  <c r="AFR23" i="5"/>
  <c r="AFQ23" i="5"/>
  <c r="AFP23" i="5"/>
  <c r="AFO23" i="5"/>
  <c r="AFN23" i="5"/>
  <c r="AFM23" i="5"/>
  <c r="AFL23" i="5"/>
  <c r="AFK23" i="5"/>
  <c r="AFJ23" i="5"/>
  <c r="AFI23" i="5"/>
  <c r="AFH23" i="5"/>
  <c r="AFG23" i="5"/>
  <c r="AFF23" i="5"/>
  <c r="AFE23" i="5"/>
  <c r="AFD23" i="5"/>
  <c r="AFC23" i="5"/>
  <c r="AFB23" i="5"/>
  <c r="AFA23" i="5"/>
  <c r="AEZ23" i="5"/>
  <c r="AEY23" i="5"/>
  <c r="AEX23" i="5"/>
  <c r="AEW23" i="5"/>
  <c r="AEV23" i="5"/>
  <c r="AEU23" i="5"/>
  <c r="AET23" i="5"/>
  <c r="AES23" i="5"/>
  <c r="AER23" i="5"/>
  <c r="AEQ23" i="5"/>
  <c r="AEP23" i="5"/>
  <c r="AEO23" i="5"/>
  <c r="AEN23" i="5"/>
  <c r="AEM23" i="5"/>
  <c r="AEL23" i="5"/>
  <c r="AEK23" i="5"/>
  <c r="AEJ23" i="5"/>
  <c r="AEI23" i="5"/>
  <c r="AEH23" i="5"/>
  <c r="AEG23" i="5"/>
  <c r="AEF23" i="5"/>
  <c r="AEE23" i="5"/>
  <c r="AED23" i="5"/>
  <c r="AEC23" i="5"/>
  <c r="AEB23" i="5"/>
  <c r="AEA23" i="5"/>
  <c r="ADZ23" i="5"/>
  <c r="ADY23" i="5"/>
  <c r="ADX23" i="5"/>
  <c r="ADW23" i="5"/>
  <c r="ADV23" i="5"/>
  <c r="ADU23" i="5"/>
  <c r="ADT23" i="5"/>
  <c r="ADS23" i="5"/>
  <c r="ADR23" i="5"/>
  <c r="ADQ23" i="5"/>
  <c r="ADP23" i="5"/>
  <c r="ADO23" i="5"/>
  <c r="ADN23" i="5"/>
  <c r="ADM23" i="5"/>
  <c r="ADL23" i="5"/>
  <c r="ADK23" i="5"/>
  <c r="ADJ23" i="5"/>
  <c r="ADI23" i="5"/>
  <c r="ADH23" i="5"/>
  <c r="ADG23" i="5"/>
  <c r="ADF23" i="5"/>
  <c r="ADE23" i="5"/>
  <c r="ADD23" i="5"/>
  <c r="ADC23" i="5"/>
  <c r="ADB23" i="5"/>
  <c r="ADA23" i="5"/>
  <c r="ACZ23" i="5"/>
  <c r="ACY23" i="5"/>
  <c r="ACX23" i="5"/>
  <c r="ACW23" i="5"/>
  <c r="ACV23" i="5"/>
  <c r="ACU23" i="5"/>
  <c r="ACT23" i="5"/>
  <c r="ACS23" i="5"/>
  <c r="ACR23" i="5"/>
  <c r="ACQ23" i="5"/>
  <c r="ACP23" i="5"/>
  <c r="ACO23" i="5"/>
  <c r="ACN23" i="5"/>
  <c r="ACM23" i="5"/>
  <c r="ACL23" i="5"/>
  <c r="ACK23" i="5"/>
  <c r="ACJ23" i="5"/>
  <c r="ACI23" i="5"/>
  <c r="ACH23" i="5"/>
  <c r="ACG23" i="5"/>
  <c r="ACF23" i="5"/>
  <c r="ACE23" i="5"/>
  <c r="ACD23" i="5"/>
  <c r="ACC23" i="5"/>
  <c r="ACB23" i="5"/>
  <c r="ACA23" i="5"/>
  <c r="ABZ23" i="5"/>
  <c r="ABY23" i="5"/>
  <c r="ABX23" i="5"/>
  <c r="ABW23" i="5"/>
  <c r="ABV23" i="5"/>
  <c r="ABU23" i="5"/>
  <c r="ABT23" i="5"/>
  <c r="ABS23" i="5"/>
  <c r="ABR23" i="5"/>
  <c r="ABQ23" i="5"/>
  <c r="ABP23" i="5"/>
  <c r="ABO23" i="5"/>
  <c r="ABN23" i="5"/>
  <c r="ABM23" i="5"/>
  <c r="ABL23" i="5"/>
  <c r="ABK23" i="5"/>
  <c r="ABJ23" i="5"/>
  <c r="ABI23" i="5"/>
  <c r="ABH23" i="5"/>
  <c r="ABG23" i="5"/>
  <c r="ABF23" i="5"/>
  <c r="ABE23" i="5"/>
  <c r="ABD23" i="5"/>
  <c r="ABC23" i="5"/>
  <c r="ABB23" i="5"/>
  <c r="ABA23" i="5"/>
  <c r="AAZ23" i="5"/>
  <c r="AAY23" i="5"/>
  <c r="AAX23" i="5"/>
  <c r="AAW23" i="5"/>
  <c r="AAV23" i="5"/>
  <c r="AAU23" i="5"/>
  <c r="AAT23" i="5"/>
  <c r="AAS23" i="5"/>
  <c r="AAR23" i="5"/>
  <c r="AAQ23" i="5"/>
  <c r="AAP23" i="5"/>
  <c r="AAO23" i="5"/>
  <c r="AAN23" i="5"/>
  <c r="AAM23" i="5"/>
  <c r="AAL23" i="5"/>
  <c r="AAK23" i="5"/>
  <c r="AAJ23" i="5"/>
  <c r="AAI23" i="5"/>
  <c r="AAH23" i="5"/>
  <c r="AAG23" i="5"/>
  <c r="AAF23" i="5"/>
  <c r="AAE23" i="5"/>
  <c r="AAD23" i="5"/>
  <c r="AAC23" i="5"/>
  <c r="AAB23" i="5"/>
  <c r="AAA23" i="5"/>
  <c r="ZZ23" i="5"/>
  <c r="ZY23" i="5"/>
  <c r="ZX23" i="5"/>
  <c r="ZW23" i="5"/>
  <c r="ZV23" i="5"/>
  <c r="ZU23" i="5"/>
  <c r="ZT23" i="5"/>
  <c r="ZS23" i="5"/>
  <c r="ZR23" i="5"/>
  <c r="ZQ23" i="5"/>
  <c r="ZP23" i="5"/>
  <c r="ZO23" i="5"/>
  <c r="ZN23" i="5"/>
  <c r="ZM23" i="5"/>
  <c r="ZL23" i="5"/>
  <c r="ZK23" i="5"/>
  <c r="ZJ23" i="5"/>
  <c r="ZI23" i="5"/>
  <c r="ZH23" i="5"/>
  <c r="ZG23" i="5"/>
  <c r="ZF23" i="5"/>
  <c r="ZE23" i="5"/>
  <c r="ZD23" i="5"/>
  <c r="ZC23" i="5"/>
  <c r="ZB23" i="5"/>
  <c r="ZA23" i="5"/>
  <c r="YZ23" i="5"/>
  <c r="YY23" i="5"/>
  <c r="YX23" i="5"/>
  <c r="YW23" i="5"/>
  <c r="YV23" i="5"/>
  <c r="YU23" i="5"/>
  <c r="YT23" i="5"/>
  <c r="YS23" i="5"/>
  <c r="YR23" i="5"/>
  <c r="YQ23" i="5"/>
  <c r="YP23" i="5"/>
  <c r="YO23" i="5"/>
  <c r="YN23" i="5"/>
  <c r="YM23" i="5"/>
  <c r="YL23" i="5"/>
  <c r="YK23" i="5"/>
  <c r="YJ23" i="5"/>
  <c r="YI23" i="5"/>
  <c r="YH23" i="5"/>
  <c r="YG23" i="5"/>
  <c r="YF23" i="5"/>
  <c r="YE23" i="5"/>
  <c r="YD23" i="5"/>
  <c r="YC23" i="5"/>
  <c r="YB23" i="5"/>
  <c r="YA23" i="5"/>
  <c r="XZ23" i="5"/>
  <c r="XY23" i="5"/>
  <c r="XX23" i="5"/>
  <c r="XW23" i="5"/>
  <c r="XV23" i="5"/>
  <c r="XU23" i="5"/>
  <c r="XT23" i="5"/>
  <c r="XS23" i="5"/>
  <c r="XR23" i="5"/>
  <c r="XQ23" i="5"/>
  <c r="XP23" i="5"/>
  <c r="XO23" i="5"/>
  <c r="XN23" i="5"/>
  <c r="XM23" i="5"/>
  <c r="XL23" i="5"/>
  <c r="XK23" i="5"/>
  <c r="XJ23" i="5"/>
  <c r="XI23" i="5"/>
  <c r="XH23" i="5"/>
  <c r="XG23" i="5"/>
  <c r="XF23" i="5"/>
  <c r="XE23" i="5"/>
  <c r="XD23" i="5"/>
  <c r="XC23" i="5"/>
  <c r="XB23" i="5"/>
  <c r="XA23" i="5"/>
  <c r="WZ23" i="5"/>
  <c r="WY23" i="5"/>
  <c r="WX23" i="5"/>
  <c r="WW23" i="5"/>
  <c r="WV23" i="5"/>
  <c r="WU23" i="5"/>
  <c r="WT23" i="5"/>
  <c r="WS23" i="5"/>
  <c r="WR23" i="5"/>
  <c r="WQ23" i="5"/>
  <c r="WP23" i="5"/>
  <c r="WO23" i="5"/>
  <c r="WN23" i="5"/>
  <c r="WM23" i="5"/>
  <c r="WL23" i="5"/>
  <c r="WK23" i="5"/>
  <c r="WJ23" i="5"/>
  <c r="WI23" i="5"/>
  <c r="WH23" i="5"/>
  <c r="WG23" i="5"/>
  <c r="WF23" i="5"/>
  <c r="WE23" i="5"/>
  <c r="WD23" i="5"/>
  <c r="WC23" i="5"/>
  <c r="WB23" i="5"/>
  <c r="WA23" i="5"/>
  <c r="VZ23" i="5"/>
  <c r="VY23" i="5"/>
  <c r="VX23" i="5"/>
  <c r="VW23" i="5"/>
  <c r="VV23" i="5"/>
  <c r="VU23" i="5"/>
  <c r="VT23" i="5"/>
  <c r="VS23" i="5"/>
  <c r="VR23" i="5"/>
  <c r="VQ23" i="5"/>
  <c r="VP23" i="5"/>
  <c r="VO23" i="5"/>
  <c r="VN23" i="5"/>
  <c r="VM23" i="5"/>
  <c r="VL23" i="5"/>
  <c r="VK23" i="5"/>
  <c r="VJ23" i="5"/>
  <c r="VI23" i="5"/>
  <c r="VH23" i="5"/>
  <c r="VG23" i="5"/>
  <c r="VF23" i="5"/>
  <c r="VE23" i="5"/>
  <c r="VD23" i="5"/>
  <c r="VC23" i="5"/>
  <c r="VB23" i="5"/>
  <c r="VA23" i="5"/>
  <c r="UZ23" i="5"/>
  <c r="UY23" i="5"/>
  <c r="UX23" i="5"/>
  <c r="UW23" i="5"/>
  <c r="UV23" i="5"/>
  <c r="UU23" i="5"/>
  <c r="UT23" i="5"/>
  <c r="US23" i="5"/>
  <c r="UR23" i="5"/>
  <c r="UQ23" i="5"/>
  <c r="UP23" i="5"/>
  <c r="UO23" i="5"/>
  <c r="UN23" i="5"/>
  <c r="UM23" i="5"/>
  <c r="UL23" i="5"/>
  <c r="UK23" i="5"/>
  <c r="UJ23" i="5"/>
  <c r="UI23" i="5"/>
  <c r="UH23" i="5"/>
  <c r="UG23" i="5"/>
  <c r="UF23" i="5"/>
  <c r="UE23" i="5"/>
  <c r="UD23" i="5"/>
  <c r="UC23" i="5"/>
  <c r="UB23" i="5"/>
  <c r="UA23" i="5"/>
  <c r="TZ23" i="5"/>
  <c r="TY23" i="5"/>
  <c r="TX23" i="5"/>
  <c r="TW23" i="5"/>
  <c r="TV23" i="5"/>
  <c r="TU23" i="5"/>
  <c r="TT23" i="5"/>
  <c r="TS23" i="5"/>
  <c r="TR23" i="5"/>
  <c r="TQ23" i="5"/>
  <c r="TP23" i="5"/>
  <c r="TO23" i="5"/>
  <c r="TN23" i="5"/>
  <c r="TM23" i="5"/>
  <c r="TL23" i="5"/>
  <c r="TK23" i="5"/>
  <c r="TJ23" i="5"/>
  <c r="TI23" i="5"/>
  <c r="TH23" i="5"/>
  <c r="TG23" i="5"/>
  <c r="TF23" i="5"/>
  <c r="TE23" i="5"/>
  <c r="TD23" i="5"/>
  <c r="TC23" i="5"/>
  <c r="TB23" i="5"/>
  <c r="TA23" i="5"/>
  <c r="SZ23" i="5"/>
  <c r="SY23" i="5"/>
  <c r="SX23" i="5"/>
  <c r="SW23" i="5"/>
  <c r="SV23" i="5"/>
  <c r="SU23" i="5"/>
  <c r="ST23" i="5"/>
  <c r="SS23" i="5"/>
  <c r="SR23" i="5"/>
  <c r="SQ23" i="5"/>
  <c r="SP23" i="5"/>
  <c r="SO23" i="5"/>
  <c r="SN23" i="5"/>
  <c r="SM23" i="5"/>
  <c r="SL23" i="5"/>
  <c r="SK23" i="5"/>
  <c r="SJ23" i="5"/>
  <c r="SI23" i="5"/>
  <c r="SH23" i="5"/>
  <c r="SG23" i="5"/>
  <c r="SF23" i="5"/>
  <c r="SE23" i="5"/>
  <c r="SD23" i="5"/>
  <c r="SC23" i="5"/>
  <c r="SB23" i="5"/>
  <c r="SA23" i="5"/>
  <c r="RZ23" i="5"/>
  <c r="RY23" i="5"/>
  <c r="RX23" i="5"/>
  <c r="RW23" i="5"/>
  <c r="RV23" i="5"/>
  <c r="RU23" i="5"/>
  <c r="RT23" i="5"/>
  <c r="RS23" i="5"/>
  <c r="RR23" i="5"/>
  <c r="RQ23" i="5"/>
  <c r="RP23" i="5"/>
  <c r="RO23" i="5"/>
  <c r="RN23" i="5"/>
  <c r="RM23" i="5"/>
  <c r="RL23" i="5"/>
  <c r="RK23" i="5"/>
  <c r="RJ23" i="5"/>
  <c r="RI23" i="5"/>
  <c r="RH23" i="5"/>
  <c r="RG23" i="5"/>
  <c r="RF23" i="5"/>
  <c r="RE23" i="5"/>
  <c r="RD23" i="5"/>
  <c r="RC23" i="5"/>
  <c r="RB23" i="5"/>
  <c r="RA23" i="5"/>
  <c r="QZ23" i="5"/>
  <c r="QY23" i="5"/>
  <c r="QX23" i="5"/>
  <c r="QW23" i="5"/>
  <c r="QV23" i="5"/>
  <c r="QU23" i="5"/>
  <c r="QT23" i="5"/>
  <c r="QS23" i="5"/>
  <c r="QR23" i="5"/>
  <c r="QQ23" i="5"/>
  <c r="QP23" i="5"/>
  <c r="QO23" i="5"/>
  <c r="QN23" i="5"/>
  <c r="QM23" i="5"/>
  <c r="QL23" i="5"/>
  <c r="QK23" i="5"/>
  <c r="QJ23" i="5"/>
  <c r="QI23" i="5"/>
  <c r="QH23" i="5"/>
  <c r="QG23" i="5"/>
  <c r="QF23" i="5"/>
  <c r="QE23" i="5"/>
  <c r="QD23" i="5"/>
  <c r="QC23" i="5"/>
  <c r="QB23" i="5"/>
  <c r="QA23" i="5"/>
  <c r="PZ23" i="5"/>
  <c r="PY23" i="5"/>
  <c r="PX23" i="5"/>
  <c r="PW23" i="5"/>
  <c r="PV23" i="5"/>
  <c r="PU23" i="5"/>
  <c r="PT23" i="5"/>
  <c r="PS23" i="5"/>
  <c r="PR23" i="5"/>
  <c r="PQ23" i="5"/>
  <c r="PP23" i="5"/>
  <c r="PO23" i="5"/>
  <c r="PN23" i="5"/>
  <c r="PM23" i="5"/>
  <c r="PL23" i="5"/>
  <c r="PK23" i="5"/>
  <c r="PJ23" i="5"/>
  <c r="PI23" i="5"/>
  <c r="PH23" i="5"/>
  <c r="PG23" i="5"/>
  <c r="PF23" i="5"/>
  <c r="PE23" i="5"/>
  <c r="PD23" i="5"/>
  <c r="PC23" i="5"/>
  <c r="PB23" i="5"/>
  <c r="PA23" i="5"/>
  <c r="OZ23" i="5"/>
  <c r="OY23" i="5"/>
  <c r="OX23" i="5"/>
  <c r="OW23" i="5"/>
  <c r="OV23" i="5"/>
  <c r="OU23" i="5"/>
  <c r="OT23" i="5"/>
  <c r="OS23" i="5"/>
  <c r="OR23" i="5"/>
  <c r="OQ23" i="5"/>
  <c r="OP23" i="5"/>
  <c r="OO23" i="5"/>
  <c r="ON23" i="5"/>
  <c r="OM23" i="5"/>
  <c r="OL23" i="5"/>
  <c r="OK23" i="5"/>
  <c r="OJ23" i="5"/>
  <c r="OI23" i="5"/>
  <c r="OH23" i="5"/>
  <c r="OG23" i="5"/>
  <c r="OF23" i="5"/>
  <c r="OE23" i="5"/>
  <c r="OD23" i="5"/>
  <c r="OC23" i="5"/>
  <c r="OB23" i="5"/>
  <c r="OA23" i="5"/>
  <c r="NZ23" i="5"/>
  <c r="NY23" i="5"/>
  <c r="NX23" i="5"/>
  <c r="NW23" i="5"/>
  <c r="NV23" i="5"/>
  <c r="NU23" i="5"/>
  <c r="NT23" i="5"/>
  <c r="NS23" i="5"/>
  <c r="NR23" i="5"/>
  <c r="NQ23" i="5"/>
  <c r="NP23" i="5"/>
  <c r="NO23" i="5"/>
  <c r="NN23" i="5"/>
  <c r="NM23" i="5"/>
  <c r="NL23" i="5"/>
  <c r="NK23" i="5"/>
  <c r="NJ23" i="5"/>
  <c r="NI23" i="5"/>
  <c r="NH23" i="5"/>
  <c r="NG23" i="5"/>
  <c r="NF23" i="5"/>
  <c r="NE23" i="5"/>
  <c r="ND23" i="5"/>
  <c r="NC23" i="5"/>
  <c r="NB23" i="5"/>
  <c r="NA23" i="5"/>
  <c r="MZ23" i="5"/>
  <c r="MY23" i="5"/>
  <c r="MX23" i="5"/>
  <c r="MW23" i="5"/>
  <c r="MV23" i="5"/>
  <c r="MU23" i="5"/>
  <c r="MT23" i="5"/>
  <c r="MS23" i="5"/>
  <c r="MR23" i="5"/>
  <c r="MQ23" i="5"/>
  <c r="MP23" i="5"/>
  <c r="MO23" i="5"/>
  <c r="MN23" i="5"/>
  <c r="MM23" i="5"/>
  <c r="ML23" i="5"/>
  <c r="MK23" i="5"/>
  <c r="MJ23" i="5"/>
  <c r="MI23" i="5"/>
  <c r="MH23" i="5"/>
  <c r="MG23" i="5"/>
  <c r="MF23" i="5"/>
  <c r="ME23" i="5"/>
  <c r="MD23" i="5"/>
  <c r="MC23" i="5"/>
  <c r="MB23" i="5"/>
  <c r="MA23" i="5"/>
  <c r="LZ23" i="5"/>
  <c r="LY23" i="5"/>
  <c r="LX23" i="5"/>
  <c r="LW23" i="5"/>
  <c r="LV23" i="5"/>
  <c r="LU23" i="5"/>
  <c r="LT23" i="5"/>
  <c r="LS23" i="5"/>
  <c r="LR23" i="5"/>
  <c r="LQ23" i="5"/>
  <c r="LP23" i="5"/>
  <c r="LO23" i="5"/>
  <c r="LN23" i="5"/>
  <c r="LM23" i="5"/>
  <c r="LL23" i="5"/>
  <c r="LK23" i="5"/>
  <c r="LJ23" i="5"/>
  <c r="LI23" i="5"/>
  <c r="LH23" i="5"/>
  <c r="LG23" i="5"/>
  <c r="LF23" i="5"/>
  <c r="LE23" i="5"/>
  <c r="LD23" i="5"/>
  <c r="LC23" i="5"/>
  <c r="LB23" i="5"/>
  <c r="LA23" i="5"/>
  <c r="KZ23" i="5"/>
  <c r="KY23" i="5"/>
  <c r="KX23" i="5"/>
  <c r="KW23" i="5"/>
  <c r="KV23" i="5"/>
  <c r="KU23" i="5"/>
  <c r="KT23" i="5"/>
  <c r="KS23" i="5"/>
  <c r="KR23" i="5"/>
  <c r="KQ23" i="5"/>
  <c r="KP23" i="5"/>
  <c r="KO23" i="5"/>
  <c r="KN23" i="5"/>
  <c r="KM23" i="5"/>
  <c r="KL23" i="5"/>
  <c r="KK23" i="5"/>
  <c r="KJ23" i="5"/>
  <c r="KI23" i="5"/>
  <c r="KH23" i="5"/>
  <c r="KG23" i="5"/>
  <c r="KF23" i="5"/>
  <c r="KE23" i="5"/>
  <c r="KD23" i="5"/>
  <c r="KC23" i="5"/>
  <c r="KB23" i="5"/>
  <c r="KA23" i="5"/>
  <c r="JZ23" i="5"/>
  <c r="JY23" i="5"/>
  <c r="JX23" i="5"/>
  <c r="JW23" i="5"/>
  <c r="JV23" i="5"/>
  <c r="JU23" i="5"/>
  <c r="JT23" i="5"/>
  <c r="JS23" i="5"/>
  <c r="JR23" i="5"/>
  <c r="JQ23" i="5"/>
  <c r="JP23" i="5"/>
  <c r="JO23" i="5"/>
  <c r="JN23" i="5"/>
  <c r="JM23" i="5"/>
  <c r="JL23" i="5"/>
  <c r="JK23" i="5"/>
  <c r="JJ23" i="5"/>
  <c r="JI23" i="5"/>
  <c r="JH23" i="5"/>
  <c r="JG23" i="5"/>
  <c r="JF23" i="5"/>
  <c r="JE23" i="5"/>
  <c r="JD23" i="5"/>
  <c r="JC23" i="5"/>
  <c r="JB23" i="5"/>
  <c r="JA23" i="5"/>
  <c r="IZ23" i="5"/>
  <c r="IY23" i="5"/>
  <c r="IX23" i="5"/>
  <c r="IW23" i="5"/>
  <c r="IV23" i="5"/>
  <c r="IU23" i="5"/>
  <c r="IT23" i="5"/>
  <c r="IS23" i="5"/>
  <c r="IR23" i="5"/>
  <c r="IQ23" i="5"/>
  <c r="IP23" i="5"/>
  <c r="IO23" i="5"/>
  <c r="IN23" i="5"/>
  <c r="IM23" i="5"/>
  <c r="IL23" i="5"/>
  <c r="IK23" i="5"/>
  <c r="IJ23" i="5"/>
  <c r="II23" i="5"/>
  <c r="IH23" i="5"/>
  <c r="IF23" i="5"/>
  <c r="IE23" i="5"/>
  <c r="ID23" i="5"/>
  <c r="IC23" i="5"/>
  <c r="IB23" i="5"/>
  <c r="IA23" i="5"/>
  <c r="HZ23" i="5"/>
  <c r="HY23" i="5"/>
  <c r="HX23" i="5"/>
  <c r="HW23" i="5"/>
  <c r="HV23" i="5"/>
  <c r="HU23" i="5"/>
  <c r="HT23" i="5"/>
  <c r="HS23" i="5"/>
  <c r="HR23" i="5"/>
  <c r="HQ23" i="5"/>
  <c r="HP23" i="5"/>
  <c r="HO23" i="5"/>
  <c r="HN23" i="5"/>
  <c r="HM23" i="5"/>
  <c r="HL23" i="5"/>
  <c r="HK23" i="5"/>
  <c r="HJ23" i="5"/>
  <c r="HI23" i="5"/>
  <c r="HH23" i="5"/>
  <c r="HG23" i="5"/>
  <c r="HF23" i="5"/>
  <c r="HE23" i="5"/>
  <c r="HD23" i="5"/>
  <c r="HC23" i="5"/>
  <c r="HB23" i="5"/>
  <c r="HA23" i="5"/>
  <c r="GZ23" i="5"/>
  <c r="GY23" i="5"/>
  <c r="GX23" i="5"/>
  <c r="GW23" i="5"/>
  <c r="GV23" i="5"/>
  <c r="GU23" i="5"/>
  <c r="GT23" i="5"/>
  <c r="GS23" i="5"/>
  <c r="GR23" i="5"/>
  <c r="GQ23" i="5"/>
  <c r="GP23" i="5"/>
  <c r="GO23" i="5"/>
  <c r="GN23" i="5"/>
  <c r="GM23" i="5"/>
  <c r="GL23" i="5"/>
  <c r="GK23" i="5"/>
  <c r="GJ23" i="5"/>
  <c r="GI23" i="5"/>
  <c r="GH23" i="5"/>
  <c r="GG23" i="5"/>
  <c r="GF23" i="5"/>
  <c r="GE23" i="5"/>
  <c r="GD23" i="5"/>
  <c r="GC23" i="5"/>
  <c r="GB23" i="5"/>
  <c r="GA23" i="5"/>
  <c r="FZ23" i="5"/>
  <c r="FY23" i="5"/>
  <c r="FX23" i="5"/>
  <c r="FW23" i="5"/>
  <c r="FV23" i="5"/>
  <c r="FU23" i="5"/>
  <c r="FT23" i="5"/>
  <c r="FS23" i="5"/>
  <c r="FR23" i="5"/>
  <c r="FQ23" i="5"/>
  <c r="FP23" i="5"/>
  <c r="FN23" i="5"/>
  <c r="FM23" i="5"/>
  <c r="FL23" i="5"/>
  <c r="FK23" i="5"/>
  <c r="FJ23" i="5"/>
  <c r="FI23" i="5"/>
  <c r="FH23" i="5"/>
  <c r="FG23" i="5"/>
  <c r="FF23" i="5"/>
  <c r="FE23" i="5"/>
  <c r="FD23" i="5"/>
  <c r="FC23" i="5"/>
  <c r="FB23" i="5"/>
  <c r="FA23" i="5"/>
  <c r="EZ23" i="5"/>
  <c r="EY23" i="5"/>
  <c r="EX23" i="5"/>
  <c r="EW23" i="5"/>
  <c r="EV23" i="5"/>
  <c r="ET23" i="5"/>
  <c r="ES23" i="5"/>
  <c r="ER23" i="5"/>
  <c r="EQ23" i="5"/>
  <c r="EP23" i="5"/>
  <c r="EO23" i="5"/>
  <c r="EN23" i="5"/>
  <c r="EM23" i="5"/>
  <c r="EL23" i="5"/>
  <c r="EK23" i="5"/>
  <c r="EJ23" i="5"/>
  <c r="EI23" i="5"/>
  <c r="EH23" i="5"/>
  <c r="EG23" i="5"/>
  <c r="EF23" i="5"/>
  <c r="EE23" i="5"/>
  <c r="ED23" i="5"/>
  <c r="EC23" i="5"/>
  <c r="EB23" i="5"/>
  <c r="EA23" i="5"/>
  <c r="DZ23" i="5"/>
  <c r="DY23" i="5"/>
  <c r="DX23" i="5"/>
  <c r="DW23" i="5"/>
  <c r="DV23" i="5"/>
  <c r="DU23" i="5"/>
  <c r="DT23" i="5"/>
  <c r="DS23" i="5"/>
  <c r="DR23" i="5"/>
  <c r="DQ23" i="5"/>
  <c r="DP23" i="5"/>
  <c r="DO23" i="5"/>
  <c r="DN23" i="5"/>
  <c r="DM23" i="5"/>
  <c r="DL23" i="5"/>
  <c r="DK23" i="5"/>
  <c r="DJ23" i="5"/>
  <c r="DI23" i="5"/>
  <c r="DH23" i="5"/>
  <c r="DG23" i="5"/>
  <c r="DF23" i="5"/>
  <c r="DE23" i="5"/>
  <c r="DD23" i="5"/>
  <c r="DC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CP23" i="5"/>
  <c r="CO23" i="5"/>
  <c r="CN23" i="5"/>
  <c r="CM23" i="5"/>
  <c r="CL23" i="5"/>
  <c r="CK23" i="5"/>
  <c r="CJ23" i="5"/>
  <c r="CI23" i="5"/>
  <c r="CH23" i="5"/>
  <c r="CG23" i="5"/>
  <c r="CF23" i="5"/>
  <c r="CE23" i="5"/>
  <c r="CD23" i="5"/>
  <c r="CC23" i="5"/>
  <c r="CB23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</calcChain>
</file>

<file path=xl/sharedStrings.xml><?xml version="1.0" encoding="utf-8"?>
<sst xmlns="http://schemas.openxmlformats.org/spreadsheetml/2006/main" count="2821" uniqueCount="2522">
  <si>
    <t>Id</t>
  </si>
  <si>
    <t>Name</t>
    <phoneticPr fontId="1" type="noConversion"/>
  </si>
  <si>
    <t>拳头</t>
  </si>
  <si>
    <t>匕首</t>
  </si>
  <si>
    <t>厚重匕首</t>
  </si>
  <si>
    <t>锋利匕首</t>
  </si>
  <si>
    <t>熟练匕首</t>
  </si>
  <si>
    <t>愚人匕首</t>
  </si>
  <si>
    <t>结晶匕首</t>
  </si>
  <si>
    <t>火焰匕首</t>
  </si>
  <si>
    <t>混沌匕首</t>
  </si>
  <si>
    <t>雷电匕首</t>
  </si>
  <si>
    <t>幽邃匕首</t>
  </si>
  <si>
    <t>暗匕首</t>
  </si>
  <si>
    <t>毒匕首</t>
  </si>
  <si>
    <t>血匕首</t>
  </si>
  <si>
    <t>粗制匕首</t>
  </si>
  <si>
    <t>祝福匕首</t>
  </si>
  <si>
    <t>游魂匕首</t>
  </si>
  <si>
    <t>盗贼短刀</t>
  </si>
  <si>
    <t>厚重盗贼短刀</t>
  </si>
  <si>
    <t>锋利盗贼短刀</t>
  </si>
  <si>
    <t>熟练盗贼短刀</t>
  </si>
  <si>
    <t>愚人盗贼短刀</t>
  </si>
  <si>
    <t>结晶盗贼短刀</t>
  </si>
  <si>
    <t>火焰盗贼短刀</t>
  </si>
  <si>
    <t>混沌盗贼短刀</t>
  </si>
  <si>
    <t>雷电盗贼短刀</t>
  </si>
  <si>
    <t>幽邃盗贼短刀</t>
  </si>
  <si>
    <t>暗盗贼短刀</t>
  </si>
  <si>
    <t>毒盗贼短刀</t>
  </si>
  <si>
    <t>血盗贼短刀</t>
  </si>
  <si>
    <t>粗制盗贼短刀</t>
  </si>
  <si>
    <t>祝福盗贼短刀</t>
  </si>
  <si>
    <t>游魂盗贼短刀</t>
  </si>
  <si>
    <t>格挡匕首</t>
  </si>
  <si>
    <t>厚重格挡匕首</t>
  </si>
  <si>
    <t>锋利格挡匕首</t>
  </si>
  <si>
    <t>熟练格挡匕首</t>
  </si>
  <si>
    <t>愚人格挡匕首</t>
  </si>
  <si>
    <t>结晶格挡匕首</t>
  </si>
  <si>
    <t>火焰格挡匕首</t>
  </si>
  <si>
    <t>混沌格挡匕首</t>
  </si>
  <si>
    <t>雷电格挡匕首</t>
  </si>
  <si>
    <t>幽邃格挡匕首</t>
  </si>
  <si>
    <t>暗格挡匕首</t>
  </si>
  <si>
    <t>毒格挡匕首</t>
  </si>
  <si>
    <t>血格挡匕首</t>
  </si>
  <si>
    <t>粗制格挡匕首</t>
  </si>
  <si>
    <t>祝福格挡匕首</t>
  </si>
  <si>
    <t>游魂格挡匕首</t>
  </si>
  <si>
    <t>咕鲁腐败短刀</t>
  </si>
  <si>
    <t>厚重咕鲁腐败短刀</t>
  </si>
  <si>
    <t>锋利咕鲁腐败短刀</t>
  </si>
  <si>
    <t>熟练咕鲁腐败短刀</t>
  </si>
  <si>
    <t>愚人咕鲁腐败短刀</t>
  </si>
  <si>
    <t>结晶咕鲁腐败短刀</t>
  </si>
  <si>
    <t>火焰咕鲁腐败短刀</t>
  </si>
  <si>
    <t>混沌咕鲁腐败短刀</t>
  </si>
  <si>
    <t>雷电咕鲁腐败短刀</t>
  </si>
  <si>
    <t>幽邃咕鲁腐败短刀</t>
  </si>
  <si>
    <t>暗咕鲁腐败短刀</t>
  </si>
  <si>
    <t>毒咕鲁腐败短刀</t>
  </si>
  <si>
    <t>血咕鲁腐败短刀</t>
  </si>
  <si>
    <t>粗制咕鲁腐败短刀</t>
  </si>
  <si>
    <t>祝福咕鲁腐败短刀</t>
  </si>
  <si>
    <t>游魂咕鲁腐败短刀</t>
  </si>
  <si>
    <t>镰刀剑</t>
  </si>
  <si>
    <t>厚重镰刀剑</t>
  </si>
  <si>
    <t>锋利镰刀剑</t>
  </si>
  <si>
    <t>熟练镰刀剑</t>
  </si>
  <si>
    <t>愚人镰刀剑</t>
  </si>
  <si>
    <t>结晶镰刀剑</t>
  </si>
  <si>
    <t>火焰镰刀剑</t>
  </si>
  <si>
    <t>混沌镰刀剑</t>
  </si>
  <si>
    <t>雷电镰刀剑</t>
  </si>
  <si>
    <t>幽邃镰刀剑</t>
  </si>
  <si>
    <t>暗镰刀剑</t>
  </si>
  <si>
    <t>毒镰刀剑</t>
  </si>
  <si>
    <t>血镰刀剑</t>
  </si>
  <si>
    <t>粗制镰刀剑</t>
  </si>
  <si>
    <t>祝福镰刀剑</t>
  </si>
  <si>
    <t>游魂镰刀剑</t>
  </si>
  <si>
    <t>贤者烛台</t>
  </si>
  <si>
    <t>尾骨短剑</t>
  </si>
  <si>
    <t>鸦人大短刀</t>
  </si>
  <si>
    <t>厚重鸦人大短刀</t>
  </si>
  <si>
    <t>锋利鸦人大短刀</t>
  </si>
  <si>
    <t>熟练鸦人大短刀</t>
  </si>
  <si>
    <t>愚人鸦人大短刀</t>
  </si>
  <si>
    <t>结晶鸦人大短刀</t>
  </si>
  <si>
    <t>火焰鸦人大短刀</t>
  </si>
  <si>
    <t>混沌鸦人大短刀</t>
  </si>
  <si>
    <t>雷电鸦人大短刀</t>
  </si>
  <si>
    <t>幽邃鸦人大短刀</t>
  </si>
  <si>
    <t>暗鸦人大短刀</t>
  </si>
  <si>
    <t>毒鸦人大短刀</t>
  </si>
  <si>
    <t>血鸦人大短刀</t>
  </si>
  <si>
    <t>粗制鸦人大短刀</t>
  </si>
  <si>
    <t>祝福鸦人大短刀</t>
  </si>
  <si>
    <t>游魂鸦人大短刀</t>
  </si>
  <si>
    <t>侍女短剑</t>
  </si>
  <si>
    <t>蓝宝珠短剑</t>
  </si>
  <si>
    <t>濡湿小镰刀</t>
  </si>
  <si>
    <t>厚重濡湿小镰刀</t>
  </si>
  <si>
    <t>锋利濡湿小镰刀</t>
  </si>
  <si>
    <t>熟练濡湿小镰刀</t>
  </si>
  <si>
    <t>愚人濡湿小镰刀</t>
  </si>
  <si>
    <t>结晶濡湿小镰刀</t>
  </si>
  <si>
    <t>火焰濡湿小镰刀</t>
  </si>
  <si>
    <t>混沌濡湿小镰刀</t>
  </si>
  <si>
    <t>雷电濡湿小镰刀</t>
  </si>
  <si>
    <t>幽邃濡湿小镰刀</t>
  </si>
  <si>
    <t>暗濡湿小镰刀</t>
  </si>
  <si>
    <t>毒濡湿小镰刀</t>
  </si>
  <si>
    <t>血濡湿小镰刀</t>
  </si>
  <si>
    <t>粗制濡湿小镰刀</t>
  </si>
  <si>
    <t>祝福濡湿小镰刀</t>
  </si>
  <si>
    <t>游魂濡湿小镰刀</t>
  </si>
  <si>
    <t>短剑</t>
  </si>
  <si>
    <t>厚重短剑</t>
  </si>
  <si>
    <t>锋利短剑</t>
  </si>
  <si>
    <t>熟练短剑</t>
  </si>
  <si>
    <t>愚人短剑</t>
  </si>
  <si>
    <t>结晶短剑</t>
  </si>
  <si>
    <t>火焰短剑</t>
  </si>
  <si>
    <t>混沌短剑</t>
  </si>
  <si>
    <t>雷电短剑</t>
  </si>
  <si>
    <t>幽邃短剑</t>
  </si>
  <si>
    <t>暗短剑</t>
  </si>
  <si>
    <t>毒短剑</t>
  </si>
  <si>
    <t>血短剑</t>
  </si>
  <si>
    <t>粗制短剑</t>
  </si>
  <si>
    <t>祝福短剑</t>
  </si>
  <si>
    <t>游魂短剑</t>
  </si>
  <si>
    <t>长剑</t>
  </si>
  <si>
    <t>厚重长剑</t>
  </si>
  <si>
    <t>锋利长剑</t>
  </si>
  <si>
    <t>熟练长剑</t>
  </si>
  <si>
    <t>愚人长剑</t>
  </si>
  <si>
    <t>结晶长剑</t>
  </si>
  <si>
    <t>火焰长剑</t>
  </si>
  <si>
    <t>混沌长剑</t>
  </si>
  <si>
    <t>雷电长剑</t>
  </si>
  <si>
    <t>幽邃长剑</t>
  </si>
  <si>
    <t>暗长剑</t>
  </si>
  <si>
    <t>毒长剑</t>
  </si>
  <si>
    <t>血长剑</t>
  </si>
  <si>
    <t>粗制长剑</t>
  </si>
  <si>
    <t>祝福长剑</t>
  </si>
  <si>
    <t>游魂长剑</t>
  </si>
  <si>
    <t>阔剑</t>
  </si>
  <si>
    <t>厚重阔剑</t>
  </si>
  <si>
    <t>锋利阔剑</t>
  </si>
  <si>
    <t>熟练阔剑</t>
  </si>
  <si>
    <t>愚人阔剑</t>
  </si>
  <si>
    <t>结晶阔剑</t>
  </si>
  <si>
    <t>火焰阔剑</t>
  </si>
  <si>
    <t>混沌阔剑</t>
  </si>
  <si>
    <t>雷电阔剑</t>
  </si>
  <si>
    <t>幽邃阔剑</t>
  </si>
  <si>
    <t>暗阔剑</t>
  </si>
  <si>
    <t>毒阔剑</t>
  </si>
  <si>
    <t>血阔剑</t>
  </si>
  <si>
    <t>粗制阔剑</t>
  </si>
  <si>
    <t>祝福阔剑</t>
  </si>
  <si>
    <t>游魂阔剑</t>
  </si>
  <si>
    <t>已折断的直剑</t>
  </si>
  <si>
    <t>厚重已折断的直剑</t>
  </si>
  <si>
    <t>锋利已折断的直剑</t>
  </si>
  <si>
    <t>熟练已折断的直剑</t>
  </si>
  <si>
    <t>愚人已折断的直剑</t>
  </si>
  <si>
    <t>结晶已折断的直剑</t>
  </si>
  <si>
    <t>火焰已折断的直剑</t>
  </si>
  <si>
    <t>混沌已折断的直剑</t>
  </si>
  <si>
    <t>雷电已折断的直剑</t>
  </si>
  <si>
    <t>幽邃已折断的直剑</t>
  </si>
  <si>
    <t>暗已折断的直剑</t>
  </si>
  <si>
    <t>毒已折断的直剑</t>
  </si>
  <si>
    <t>血已折断的直剑</t>
  </si>
  <si>
    <t>粗制已折断的直剑</t>
  </si>
  <si>
    <t>祝福已折断的直剑</t>
  </si>
  <si>
    <t>游魂已折断的直剑</t>
  </si>
  <si>
    <t>洛斯里克骑士剑</t>
  </si>
  <si>
    <t>厚重洛斯里克骑士剑</t>
  </si>
  <si>
    <t>锋利洛斯里克骑士剑</t>
  </si>
  <si>
    <t>熟练洛斯里克骑士剑</t>
  </si>
  <si>
    <t>愚人洛斯里克骑士剑</t>
  </si>
  <si>
    <t>结晶洛斯里克骑士剑</t>
  </si>
  <si>
    <t>火焰洛斯里克骑士剑</t>
  </si>
  <si>
    <t>混沌洛斯里克骑士剑</t>
  </si>
  <si>
    <t>雷电洛斯里克骑士剑</t>
  </si>
  <si>
    <t>幽邃洛斯里克骑士剑</t>
  </si>
  <si>
    <t>暗洛斯里克骑士剑</t>
  </si>
  <si>
    <t>毒洛斯里克骑士剑</t>
  </si>
  <si>
    <t>血洛斯里克骑士剑</t>
  </si>
  <si>
    <t>粗制洛斯里克骑士剑</t>
  </si>
  <si>
    <t>祝福洛斯里克骑士剑</t>
  </si>
  <si>
    <t>游魂洛斯里克骑士剑</t>
  </si>
  <si>
    <t>太阳直剑</t>
  </si>
  <si>
    <t>咕鲁腐败曲刀</t>
  </si>
  <si>
    <t>厚重咕鲁腐败曲刀</t>
  </si>
  <si>
    <t>锋利咕鲁腐败曲刀</t>
  </si>
  <si>
    <t>熟练咕鲁腐败曲刀</t>
  </si>
  <si>
    <t>愚人咕鲁腐败曲刀</t>
  </si>
  <si>
    <t>结晶咕鲁腐败曲刀</t>
  </si>
  <si>
    <t>火焰咕鲁腐败曲刀</t>
  </si>
  <si>
    <t>混沌咕鲁腐败曲刀</t>
  </si>
  <si>
    <t>雷电咕鲁腐败曲刀</t>
  </si>
  <si>
    <t>幽邃咕鲁腐败曲刀</t>
  </si>
  <si>
    <t>暗咕鲁腐败曲刀</t>
  </si>
  <si>
    <t>毒咕鲁腐败曲刀</t>
  </si>
  <si>
    <t>血咕鲁腐败曲刀</t>
  </si>
  <si>
    <t>粗制咕鲁腐败曲刀</t>
  </si>
  <si>
    <t>祝福咕鲁腐败曲刀</t>
  </si>
  <si>
    <t>游魂咕鲁腐败曲刀</t>
  </si>
  <si>
    <t>伊鲁席尔直剑</t>
  </si>
  <si>
    <t>圣者烛台</t>
  </si>
  <si>
    <t>摩利安刃剑</t>
  </si>
  <si>
    <t>亚斯特拉直剑</t>
  </si>
  <si>
    <t>厚重亚斯特拉直剑</t>
  </si>
  <si>
    <t>锋利亚斯特拉直剑</t>
  </si>
  <si>
    <t>熟练亚斯特拉直剑</t>
  </si>
  <si>
    <t>愚人亚斯特拉直剑</t>
  </si>
  <si>
    <t>结晶亚斯特拉直剑</t>
  </si>
  <si>
    <t>火焰亚斯特拉直剑</t>
  </si>
  <si>
    <t>混沌亚斯特拉直剑</t>
  </si>
  <si>
    <t>雷电亚斯特拉直剑</t>
  </si>
  <si>
    <t>幽邃亚斯特拉直剑</t>
  </si>
  <si>
    <t>暗亚斯特拉直剑</t>
  </si>
  <si>
    <t>毒亚斯特拉直剑</t>
  </si>
  <si>
    <t>血亚斯特拉直剑</t>
  </si>
  <si>
    <t>粗制亚斯特拉直剑</t>
  </si>
  <si>
    <t>祝福亚斯特拉直剑</t>
  </si>
  <si>
    <t>游魂亚斯特拉直剑</t>
  </si>
  <si>
    <t>刺针直剑</t>
  </si>
  <si>
    <t>厚重刺针直剑</t>
  </si>
  <si>
    <t>锋利刺针直剑</t>
  </si>
  <si>
    <t>熟练刺针直剑</t>
  </si>
  <si>
    <t>愚人刺针直剑</t>
  </si>
  <si>
    <t>结晶刺针直剑</t>
  </si>
  <si>
    <t>火焰刺针直剑</t>
  </si>
  <si>
    <t>混沌刺针直剑</t>
  </si>
  <si>
    <t>雷电刺针直剑</t>
  </si>
  <si>
    <t>幽邃刺针直剑</t>
  </si>
  <si>
    <t>暗刺针直剑</t>
  </si>
  <si>
    <t>毒刺针直剑</t>
  </si>
  <si>
    <t>血刺针直剑</t>
  </si>
  <si>
    <t>粗制刺针直剑</t>
  </si>
  <si>
    <t>祝福刺针直剑</t>
  </si>
  <si>
    <t>游魂刺针直剑</t>
  </si>
  <si>
    <t>处刑者大剑</t>
  </si>
  <si>
    <t>安里的直剑</t>
  </si>
  <si>
    <t>缟玛瑙刃剑</t>
  </si>
  <si>
    <t>环印骑士直剑</t>
  </si>
  <si>
    <t>盖尔大剑</t>
  </si>
  <si>
    <t>刺剑</t>
  </si>
  <si>
    <t>厚重刺剑</t>
  </si>
  <si>
    <t>锋利刺剑</t>
  </si>
  <si>
    <t>熟练刺剑</t>
  </si>
  <si>
    <t>愚人刺剑</t>
  </si>
  <si>
    <t>结晶刺剑</t>
  </si>
  <si>
    <t>火焰刺剑</t>
  </si>
  <si>
    <t>混沌刺剑</t>
  </si>
  <si>
    <t>雷电刺剑</t>
  </si>
  <si>
    <t>幽邃刺剑</t>
  </si>
  <si>
    <t>暗刺剑</t>
  </si>
  <si>
    <t>毒刺剑</t>
  </si>
  <si>
    <t>血刺剑</t>
  </si>
  <si>
    <t>粗制刺剑</t>
  </si>
  <si>
    <t>祝福刺剑</t>
  </si>
  <si>
    <t>游魂刺剑</t>
  </si>
  <si>
    <t>破甲细剑</t>
  </si>
  <si>
    <t>厚重破甲细剑</t>
  </si>
  <si>
    <t>锋利破甲细剑</t>
  </si>
  <si>
    <t>熟练破甲细剑</t>
  </si>
  <si>
    <t>愚人破甲细剑</t>
  </si>
  <si>
    <t>结晶破甲细剑</t>
  </si>
  <si>
    <t>火焰破甲细剑</t>
  </si>
  <si>
    <t>混沌破甲细剑</t>
  </si>
  <si>
    <t>雷电破甲细剑</t>
  </si>
  <si>
    <t>幽邃破甲细剑</t>
  </si>
  <si>
    <t>暗破甲细剑</t>
  </si>
  <si>
    <t>毒破甲细剑</t>
  </si>
  <si>
    <t>血破甲细剑</t>
  </si>
  <si>
    <t>粗制破甲细剑</t>
  </si>
  <si>
    <t>祝福破甲细剑</t>
  </si>
  <si>
    <t>游魂破甲细剑</t>
  </si>
  <si>
    <t>细剑</t>
  </si>
  <si>
    <t>厚重细剑</t>
  </si>
  <si>
    <t>锋利细剑</t>
  </si>
  <si>
    <t>熟练细剑</t>
  </si>
  <si>
    <t>愚人细剑</t>
  </si>
  <si>
    <t>结晶细剑</t>
  </si>
  <si>
    <t>火焰细剑</t>
  </si>
  <si>
    <t>混沌细剑</t>
  </si>
  <si>
    <t>雷电细剑</t>
  </si>
  <si>
    <t>幽邃细剑</t>
  </si>
  <si>
    <t>暗细剑</t>
  </si>
  <si>
    <t>毒细剑</t>
  </si>
  <si>
    <t>血细剑</t>
  </si>
  <si>
    <t>粗制细剑</t>
  </si>
  <si>
    <t>祝福细剑</t>
  </si>
  <si>
    <t>游魂细剑</t>
  </si>
  <si>
    <t>里卡尔刺剑</t>
  </si>
  <si>
    <t>厚重里卡尔刺剑</t>
  </si>
  <si>
    <t>锋利里卡尔刺剑</t>
  </si>
  <si>
    <t>熟练里卡尔刺剑</t>
  </si>
  <si>
    <t>愚人里卡尔刺剑</t>
  </si>
  <si>
    <t>结晶里卡尔刺剑</t>
  </si>
  <si>
    <t>火焰里卡尔刺剑</t>
  </si>
  <si>
    <t>混沌里卡尔刺剑</t>
  </si>
  <si>
    <t>雷电里卡尔刺剑</t>
  </si>
  <si>
    <t>幽邃里卡尔刺剑</t>
  </si>
  <si>
    <t>暗里卡尔刺剑</t>
  </si>
  <si>
    <t>毒里卡尔刺剑</t>
  </si>
  <si>
    <t>血里卡尔刺剑</t>
  </si>
  <si>
    <t>粗制里卡尔刺剑</t>
  </si>
  <si>
    <t>祝福里卡尔刺剑</t>
  </si>
  <si>
    <t>游魂里卡尔的剑</t>
  </si>
  <si>
    <t>结晶老者刺剑</t>
  </si>
  <si>
    <t>伊鲁席尔刺剑</t>
  </si>
  <si>
    <t>钩剑</t>
  </si>
  <si>
    <t>厚重钩剑</t>
  </si>
  <si>
    <t>锋利钩剑</t>
  </si>
  <si>
    <t>熟练钩剑</t>
  </si>
  <si>
    <t>愚人钩剑</t>
  </si>
  <si>
    <t>结晶钩剑</t>
  </si>
  <si>
    <t>火焰钩剑</t>
  </si>
  <si>
    <t>混沌钩剑</t>
  </si>
  <si>
    <t>雷电钩剑</t>
  </si>
  <si>
    <t>幽邃钩剑</t>
  </si>
  <si>
    <t>暗钩剑</t>
  </si>
  <si>
    <t>毒钩剑</t>
  </si>
  <si>
    <t>血钩剑</t>
  </si>
  <si>
    <t>粗制钩剑</t>
  </si>
  <si>
    <t>祝福钩剑</t>
  </si>
  <si>
    <t>游魂钩剑</t>
  </si>
  <si>
    <t>短弯刀</t>
  </si>
  <si>
    <t>厚重短弯刀</t>
  </si>
  <si>
    <t>锋利短弯刀</t>
  </si>
  <si>
    <t>熟练短弯刀</t>
  </si>
  <si>
    <t>愚人短弯刀</t>
  </si>
  <si>
    <t>结晶短弯刀</t>
  </si>
  <si>
    <t>火焰短弯刀</t>
  </si>
  <si>
    <t>混沌短弯刀</t>
  </si>
  <si>
    <t>雷电短弯刀</t>
  </si>
  <si>
    <t>幽邃短弯刀</t>
  </si>
  <si>
    <t>暗短弯刀</t>
  </si>
  <si>
    <t>毒短弯刀</t>
  </si>
  <si>
    <t>血短弯刀</t>
  </si>
  <si>
    <t>粗制短弯刀</t>
  </si>
  <si>
    <t>祝福短弯刀</t>
  </si>
  <si>
    <t>游魂短弯刀</t>
  </si>
  <si>
    <t>弯刃大刀</t>
  </si>
  <si>
    <t>厚重弯刃大刀</t>
  </si>
  <si>
    <t>锋利弯刃大刀</t>
  </si>
  <si>
    <t>熟练弯刃大刀</t>
  </si>
  <si>
    <t>愚人弯刃大刀</t>
  </si>
  <si>
    <t>结晶弯刃大刀</t>
  </si>
  <si>
    <t>火焰弯刃大刀</t>
  </si>
  <si>
    <t>混沌弯刃大刀</t>
  </si>
  <si>
    <t>雷电弯刃大刀</t>
  </si>
  <si>
    <t>幽邃弯刃大刀</t>
  </si>
  <si>
    <t>暗弯刃大刀</t>
  </si>
  <si>
    <t>毒弯刃大刀</t>
  </si>
  <si>
    <t>血弯刃大刀</t>
  </si>
  <si>
    <t>粗制弯刃大刀</t>
  </si>
  <si>
    <t>祝福弯刃大刀</t>
  </si>
  <si>
    <t>游魂弯刃大刀</t>
  </si>
  <si>
    <t>卡萨斯曲刀</t>
  </si>
  <si>
    <t>厚重卡萨斯曲刀</t>
  </si>
  <si>
    <t>锋利卡萨斯曲刀</t>
  </si>
  <si>
    <t>熟练卡萨斯曲刀</t>
  </si>
  <si>
    <t>愚人卡萨斯曲刀</t>
  </si>
  <si>
    <t>结晶卡萨斯曲刀</t>
  </si>
  <si>
    <t>火焰卡萨斯曲刀</t>
  </si>
  <si>
    <t>混沌卡萨斯曲刀</t>
  </si>
  <si>
    <t>雷电卡萨斯曲刀</t>
  </si>
  <si>
    <t>幽邃卡萨斯曲刀</t>
  </si>
  <si>
    <t>暗卡萨斯曲刀</t>
  </si>
  <si>
    <t>毒卡萨斯曲刀</t>
  </si>
  <si>
    <t>血卡萨斯曲刀</t>
  </si>
  <si>
    <t>粗制卡萨斯曲刀</t>
  </si>
  <si>
    <t>祝福卡萨斯曲刀</t>
  </si>
  <si>
    <t>游魂卡萨斯曲刀</t>
  </si>
  <si>
    <t>卡萨斯大曲刀</t>
  </si>
  <si>
    <t>厚重卡萨斯大曲刀</t>
  </si>
  <si>
    <t>锋利卡萨斯大曲刀</t>
  </si>
  <si>
    <t>熟练卡萨斯大曲刀</t>
  </si>
  <si>
    <t>愚人卡萨斯大曲刀</t>
  </si>
  <si>
    <t>结晶卡萨斯大曲刀</t>
  </si>
  <si>
    <t>火焰卡萨斯大曲刀</t>
  </si>
  <si>
    <t>混沌卡萨斯大曲刀</t>
  </si>
  <si>
    <t>雷电卡萨斯大曲刀</t>
  </si>
  <si>
    <t>幽邃卡萨斯大曲刀</t>
  </si>
  <si>
    <t>暗卡萨斯大曲刀</t>
  </si>
  <si>
    <t>毒卡萨斯大曲刀</t>
  </si>
  <si>
    <t>血卡萨斯大曲刀</t>
  </si>
  <si>
    <t>粗制卡萨斯大曲刀</t>
  </si>
  <si>
    <t>祝福卡萨斯大曲刀</t>
  </si>
  <si>
    <t>游魂卡萨斯大曲刀</t>
  </si>
  <si>
    <t>教宗骑士曲剑</t>
  </si>
  <si>
    <t>风暴曲剑</t>
  </si>
  <si>
    <t>绘画使者曲剑</t>
  </si>
  <si>
    <t>厚重绘画使者曲剑</t>
  </si>
  <si>
    <t>锋利绘画使者曲剑</t>
  </si>
  <si>
    <t>熟练绘画使者曲剑</t>
  </si>
  <si>
    <t>愚人绘画使者曲剑</t>
  </si>
  <si>
    <t>结晶绘画使者曲剑</t>
  </si>
  <si>
    <t>火焰绘画使者曲剑</t>
  </si>
  <si>
    <t>混沌绘画使者曲剑</t>
  </si>
  <si>
    <t>雷电绘画使者曲剑</t>
  </si>
  <si>
    <t>幽邃绘画使者曲剑</t>
  </si>
  <si>
    <t>暗绘画使者曲剑</t>
  </si>
  <si>
    <t>毒绘画使者曲剑</t>
  </si>
  <si>
    <t>血绘画使者曲剑</t>
  </si>
  <si>
    <t>粗制绘画使者曲剑</t>
  </si>
  <si>
    <t>祝福绘画使者曲剑</t>
  </si>
  <si>
    <t>游魂绘画使者曲剑</t>
  </si>
  <si>
    <t>月牙曲剑</t>
  </si>
  <si>
    <t>卡萨斯钩剑</t>
  </si>
  <si>
    <t>厚重卡萨斯钩剑</t>
  </si>
  <si>
    <t>锋利卡萨斯钩剑</t>
  </si>
  <si>
    <t>熟练卡萨斯钩剑</t>
  </si>
  <si>
    <t>愚人卡萨斯钩剑</t>
  </si>
  <si>
    <t>结晶卡萨斯钩剑</t>
  </si>
  <si>
    <t>火焰卡萨斯钩剑</t>
  </si>
  <si>
    <t>混沌卡萨斯钩剑</t>
  </si>
  <si>
    <t>雷电卡萨斯钩剑</t>
  </si>
  <si>
    <t>幽邃卡萨斯钩剑</t>
  </si>
  <si>
    <t>暗卡萨斯钩剑</t>
  </si>
  <si>
    <t>毒卡萨斯钩剑</t>
  </si>
  <si>
    <t>血卡萨斯钩剑</t>
  </si>
  <si>
    <t>粗制卡萨斯钩剑</t>
  </si>
  <si>
    <t>祝福卡萨斯钩剑</t>
  </si>
  <si>
    <t>游魂卡萨斯钩剑</t>
  </si>
  <si>
    <t>幽魂军刀</t>
  </si>
  <si>
    <t>厚重幽魂军刀</t>
  </si>
  <si>
    <t>锋利幽魂军刀</t>
  </si>
  <si>
    <t>熟练幽魂军刀</t>
  </si>
  <si>
    <t>愚人幽魂军刀</t>
  </si>
  <si>
    <t>结晶幽魂军刀</t>
  </si>
  <si>
    <t>火焰幽魂军刀</t>
  </si>
  <si>
    <t>混沌幽魂军刀</t>
  </si>
  <si>
    <t>雷电幽魂军刀</t>
  </si>
  <si>
    <t>幽邃幽魂军刀</t>
  </si>
  <si>
    <t>暗幽魂军刀</t>
  </si>
  <si>
    <t>毒幽魂军刀</t>
  </si>
  <si>
    <t>血幽魂军刀</t>
  </si>
  <si>
    <t>粗制幽魂军刀</t>
  </si>
  <si>
    <t>祝福幽魂军刀</t>
  </si>
  <si>
    <t>游魂幽魂军刀</t>
  </si>
  <si>
    <t>恶魔爪痕</t>
  </si>
  <si>
    <t>打刀</t>
  </si>
  <si>
    <t>厚重打刀</t>
  </si>
  <si>
    <t>锋利打刀</t>
  </si>
  <si>
    <t>熟练打刀</t>
  </si>
  <si>
    <t>愚人打刀</t>
  </si>
  <si>
    <t>结晶打刀</t>
  </si>
  <si>
    <t>火焰打刀</t>
  </si>
  <si>
    <t>混沌打刀</t>
  </si>
  <si>
    <t>雷电打刀</t>
  </si>
  <si>
    <t>幽邃打刀</t>
  </si>
  <si>
    <t>暗打刀</t>
  </si>
  <si>
    <t>毒打刀</t>
  </si>
  <si>
    <t>血打刀</t>
  </si>
  <si>
    <t>粗制打刀</t>
  </si>
  <si>
    <t>祝福打刀</t>
  </si>
  <si>
    <t>游魂打刀</t>
  </si>
  <si>
    <t>晾衣长刀</t>
  </si>
  <si>
    <t>厚重晾衣长刀</t>
  </si>
  <si>
    <t>锋利晾衣长刀</t>
  </si>
  <si>
    <t>熟练晾衣长刀</t>
  </si>
  <si>
    <t>愚人晾衣长刀</t>
  </si>
  <si>
    <t>结晶晾衣长刀</t>
  </si>
  <si>
    <t>火焰晾衣长刀</t>
  </si>
  <si>
    <t>混沌晾衣长刀</t>
  </si>
  <si>
    <t>雷电晾衣长刀</t>
  </si>
  <si>
    <t>幽邃晾衣长刀</t>
  </si>
  <si>
    <t>暗晾衣长刀</t>
  </si>
  <si>
    <t>毒晾衣长刀</t>
  </si>
  <si>
    <t>血晾衣长刀</t>
  </si>
  <si>
    <t>粗制晾衣长刀</t>
  </si>
  <si>
    <t>祝福晾衣长刀</t>
  </si>
  <si>
    <t>游魂晾衣长刀</t>
  </si>
  <si>
    <t>混沌刀刃</t>
  </si>
  <si>
    <t>黑刀</t>
  </si>
  <si>
    <t>厚重黑刀</t>
  </si>
  <si>
    <t>锋利黑刀</t>
  </si>
  <si>
    <t>熟练黑刀</t>
  </si>
  <si>
    <t>愚人黑刀</t>
  </si>
  <si>
    <t>结晶黑刀</t>
  </si>
  <si>
    <t>火焰黑刀</t>
  </si>
  <si>
    <t>混沌黑刀</t>
  </si>
  <si>
    <t>雷电黑刀</t>
  </si>
  <si>
    <t>幽邃黑刀</t>
  </si>
  <si>
    <t>暗黑刀</t>
  </si>
  <si>
    <t>毒黑刀</t>
  </si>
  <si>
    <t>血黑刀</t>
  </si>
  <si>
    <t>粗制黑刀</t>
  </si>
  <si>
    <t>祝福黑刀</t>
  </si>
  <si>
    <t>游魂黑刀</t>
  </si>
  <si>
    <t>血癫狂</t>
  </si>
  <si>
    <t>暗胧</t>
  </si>
  <si>
    <t>破碎刀</t>
  </si>
  <si>
    <t>混种大剑</t>
  </si>
  <si>
    <t>厚重混种大剑</t>
  </si>
  <si>
    <t>锋利混种大剑</t>
  </si>
  <si>
    <t>熟练混种大剑</t>
  </si>
  <si>
    <t>愚人混种大剑</t>
  </si>
  <si>
    <t>结晶混种大剑</t>
  </si>
  <si>
    <t>火焰混种大剑</t>
  </si>
  <si>
    <t>混沌混种大剑</t>
  </si>
  <si>
    <t>雷电混种大剑</t>
  </si>
  <si>
    <t>幽邃混种大剑</t>
  </si>
  <si>
    <t>暗混种大剑</t>
  </si>
  <si>
    <t>毒混种大剑</t>
  </si>
  <si>
    <t>血混种大剑</t>
  </si>
  <si>
    <t>粗制混种大剑</t>
  </si>
  <si>
    <t>祝福混种大剑</t>
  </si>
  <si>
    <t>游魂混种大剑</t>
  </si>
  <si>
    <t>大剑</t>
  </si>
  <si>
    <t>厚重大剑</t>
  </si>
  <si>
    <t>锋利大剑</t>
  </si>
  <si>
    <t>熟练大剑</t>
  </si>
  <si>
    <t>愚人大剑</t>
  </si>
  <si>
    <t>结晶大剑</t>
  </si>
  <si>
    <t>火焰大剑</t>
  </si>
  <si>
    <t>混沌大剑</t>
  </si>
  <si>
    <t>雷电大剑</t>
  </si>
  <si>
    <t>幽邃大剑</t>
  </si>
  <si>
    <t>暗大剑</t>
  </si>
  <si>
    <t>毒大剑</t>
  </si>
  <si>
    <t>血大剑</t>
  </si>
  <si>
    <t>粗制大剑</t>
  </si>
  <si>
    <t>祝福大剑</t>
  </si>
  <si>
    <t>游魂大剑</t>
  </si>
  <si>
    <t>双手巨剑</t>
  </si>
  <si>
    <t>厚重双手巨剑</t>
  </si>
  <si>
    <t>锋利双手巨剑</t>
  </si>
  <si>
    <t>熟练双手巨剑</t>
  </si>
  <si>
    <t>愚人双手巨剑</t>
  </si>
  <si>
    <t>结晶双手巨剑</t>
  </si>
  <si>
    <t>火焰双手巨剑</t>
  </si>
  <si>
    <t>混沌双手巨剑</t>
  </si>
  <si>
    <t>雷电双手巨剑</t>
  </si>
  <si>
    <t>幽邃双手巨剑</t>
  </si>
  <si>
    <t>暗双手巨剑</t>
  </si>
  <si>
    <t>毒双手巨剑</t>
  </si>
  <si>
    <t>血双手巨剑</t>
  </si>
  <si>
    <t>粗制双手巨剑</t>
  </si>
  <si>
    <t>祝福双手巨剑</t>
  </si>
  <si>
    <t>游魂双手巨剑</t>
  </si>
  <si>
    <t>巨剑</t>
  </si>
  <si>
    <t>厚重巨剑</t>
  </si>
  <si>
    <t>锋利巨剑</t>
  </si>
  <si>
    <t>熟练巨剑</t>
  </si>
  <si>
    <t>愚人巨剑</t>
  </si>
  <si>
    <t>结晶巨剑</t>
  </si>
  <si>
    <t>火焰巨剑</t>
  </si>
  <si>
    <t>混沌巨剑</t>
  </si>
  <si>
    <t>雷电巨剑</t>
  </si>
  <si>
    <t>幽邃巨剑</t>
  </si>
  <si>
    <t>暗巨剑</t>
  </si>
  <si>
    <t>毒巨剑</t>
  </si>
  <si>
    <t>血巨剑</t>
  </si>
  <si>
    <t>粗制巨剑</t>
  </si>
  <si>
    <t>祝福巨剑</t>
  </si>
  <si>
    <t>游魂巨剑</t>
  </si>
  <si>
    <t>亚斯特拉大剑</t>
  </si>
  <si>
    <t>厚重亚斯特拉大剑</t>
  </si>
  <si>
    <t>锋利亚斯特拉大剑</t>
  </si>
  <si>
    <t>熟练亚斯特拉大剑</t>
  </si>
  <si>
    <t>愚人亚斯特拉大剑</t>
  </si>
  <si>
    <t>结晶亚斯特拉大剑</t>
  </si>
  <si>
    <t>火焰亚斯特拉大剑</t>
  </si>
  <si>
    <t>混沌亚斯特拉大剑</t>
  </si>
  <si>
    <t>雷电亚斯特拉大剑</t>
  </si>
  <si>
    <t>幽邃亚斯特拉大剑</t>
  </si>
  <si>
    <t>暗亚斯特拉大剑</t>
  </si>
  <si>
    <t>毒亚斯特拉大剑</t>
  </si>
  <si>
    <t>血亚斯特拉大剑</t>
  </si>
  <si>
    <t>粗制亚斯特拉大剑</t>
  </si>
  <si>
    <t>祝福亚斯特拉大剑</t>
  </si>
  <si>
    <t>游魂亚斯特拉大剑</t>
  </si>
  <si>
    <t>丛云</t>
  </si>
  <si>
    <t>厚重丛云</t>
  </si>
  <si>
    <t>锋利丛云</t>
  </si>
  <si>
    <t>熟练丛云</t>
  </si>
  <si>
    <t>愚人丛云</t>
  </si>
  <si>
    <t>结晶丛云</t>
  </si>
  <si>
    <t>火焰丛云</t>
  </si>
  <si>
    <t>混沌丛云</t>
  </si>
  <si>
    <t>雷电丛云</t>
  </si>
  <si>
    <t>幽邃丛云</t>
  </si>
  <si>
    <t>暗丛云</t>
  </si>
  <si>
    <t>毒丛云</t>
  </si>
  <si>
    <t>血丛云</t>
  </si>
  <si>
    <t>粗制丛云</t>
  </si>
  <si>
    <t>祝福丛云</t>
  </si>
  <si>
    <t>游魂丛云</t>
  </si>
  <si>
    <t>洛斯里克骑士大剑</t>
  </si>
  <si>
    <t>厚重洛斯里克骑士大剑</t>
  </si>
  <si>
    <t>锋利洛斯里克骑士大剑</t>
  </si>
  <si>
    <t>熟练洛斯里克骑士大剑</t>
  </si>
  <si>
    <t>愚人洛斯里克骑士大剑</t>
  </si>
  <si>
    <t>结晶洛斯里克骑士大剑</t>
  </si>
  <si>
    <t>火焰洛斯里克骑士大剑</t>
  </si>
  <si>
    <t>混沌洛斯里克骑士大剑</t>
  </si>
  <si>
    <t>雷电洛斯里克骑士大剑</t>
  </si>
  <si>
    <t>幽邃洛斯里克骑士大剑</t>
  </si>
  <si>
    <t>暗洛斯里克骑士大剑</t>
  </si>
  <si>
    <t>毒洛斯里克骑士大剑</t>
  </si>
  <si>
    <t>血洛斯里克骑士大剑</t>
  </si>
  <si>
    <t>粗制洛斯里克骑士大剑</t>
  </si>
  <si>
    <t>祝福洛斯里克骑士大剑</t>
  </si>
  <si>
    <t>游魂洛斯里克骑士大剑</t>
  </si>
  <si>
    <t>黑骑士大剑</t>
  </si>
  <si>
    <t>焰形大剑</t>
  </si>
  <si>
    <t>厚重焰形大剑</t>
  </si>
  <si>
    <t>锋利焰形大剑</t>
  </si>
  <si>
    <t>熟练焰形大剑</t>
  </si>
  <si>
    <t>愚人焰形大剑</t>
  </si>
  <si>
    <t>结晶焰形大剑</t>
  </si>
  <si>
    <t>火焰焰形大剑</t>
  </si>
  <si>
    <t>混沌焰形大剑</t>
  </si>
  <si>
    <t>雷电焰形大剑</t>
  </si>
  <si>
    <t>幽邃焰形大剑</t>
  </si>
  <si>
    <t>暗焰形大剑</t>
  </si>
  <si>
    <t>毒焰形大剑</t>
  </si>
  <si>
    <t>血焰形大剑</t>
  </si>
  <si>
    <t>粗制焰形大剑</t>
  </si>
  <si>
    <t>祝福焰形大剑</t>
  </si>
  <si>
    <t>游魂焰形大剑</t>
  </si>
  <si>
    <t>流放者大刀</t>
  </si>
  <si>
    <t>厚重流放者大刀</t>
  </si>
  <si>
    <t>锋利流放者大刀</t>
  </si>
  <si>
    <t>熟练流放者大刀</t>
  </si>
  <si>
    <t>愚人流放者大刀</t>
  </si>
  <si>
    <t>结晶流放者大刀</t>
  </si>
  <si>
    <t>火焰流放者大刀</t>
  </si>
  <si>
    <t>混沌流放者大刀</t>
  </si>
  <si>
    <t>雷电流放者大刀</t>
  </si>
  <si>
    <t>幽邃流放者大刀</t>
  </si>
  <si>
    <t>暗流放者大刀</t>
  </si>
  <si>
    <t>毒流放者大刀</t>
  </si>
  <si>
    <t>血流放者大刀</t>
  </si>
  <si>
    <t>粗制流放者大刀</t>
  </si>
  <si>
    <t>祝福流放者大刀</t>
  </si>
  <si>
    <t>游魂流放者大刀</t>
  </si>
  <si>
    <t>制裁大剑</t>
  </si>
  <si>
    <t>罪业大剑</t>
  </si>
  <si>
    <t>教堂骑士大剑</t>
  </si>
  <si>
    <t>厚重教堂骑士大剑</t>
  </si>
  <si>
    <t>锋利教堂骑士大剑</t>
  </si>
  <si>
    <t>熟练教堂骑士大剑</t>
  </si>
  <si>
    <t>愚人教堂骑士大剑</t>
  </si>
  <si>
    <t>结晶教堂骑士大剑</t>
  </si>
  <si>
    <t>火焰教堂骑士大剑</t>
  </si>
  <si>
    <t>混沌教堂骑士大剑</t>
  </si>
  <si>
    <t>雷电教堂骑士大剑</t>
  </si>
  <si>
    <t>幽邃教堂骑士大剑</t>
  </si>
  <si>
    <t>暗教堂骑士大剑</t>
  </si>
  <si>
    <t>毒教堂骑士大剑</t>
  </si>
  <si>
    <t>血教堂骑士大剑</t>
  </si>
  <si>
    <t>粗制教堂骑士大剑</t>
  </si>
  <si>
    <t>祝福教堂骑士大剑</t>
  </si>
  <si>
    <t>游魂教堂骑士大剑</t>
  </si>
  <si>
    <t>法兰大剑</t>
  </si>
  <si>
    <t>尤姆大柴刀</t>
  </si>
  <si>
    <t>黑暗剑</t>
  </si>
  <si>
    <t>厚重黑暗剑</t>
  </si>
  <si>
    <t>锋利黑暗剑</t>
  </si>
  <si>
    <t>熟练黑暗剑</t>
  </si>
  <si>
    <t>愚人黑暗剑</t>
  </si>
  <si>
    <t>结晶黑暗剑</t>
  </si>
  <si>
    <t>火焰黑暗剑</t>
  </si>
  <si>
    <t>混沌黑暗剑</t>
  </si>
  <si>
    <t>雷电黑暗剑</t>
  </si>
  <si>
    <t>幽邃黑暗剑</t>
  </si>
  <si>
    <t>暗黑暗剑</t>
  </si>
  <si>
    <t>毒黑暗剑</t>
  </si>
  <si>
    <t>血黑暗剑</t>
  </si>
  <si>
    <t>粗制黑暗剑</t>
  </si>
  <si>
    <t>祝福黑暗剑</t>
  </si>
  <si>
    <t>游魂黑暗剑</t>
  </si>
  <si>
    <t>黑骑士剑</t>
  </si>
  <si>
    <t>洛里安大剑</t>
  </si>
  <si>
    <t>孪生王子大剑</t>
  </si>
  <si>
    <t>洛斯里克圣剑</t>
  </si>
  <si>
    <t>沃尼尔圣剑</t>
  </si>
  <si>
    <t>狼骑士大剑</t>
  </si>
  <si>
    <t>猎杀游魂大剑</t>
  </si>
  <si>
    <t>月光大剑</t>
  </si>
  <si>
    <t>龙血大剑</t>
  </si>
  <si>
    <t>厚重龙血大剑</t>
  </si>
  <si>
    <t>锋利龙血大剑</t>
  </si>
  <si>
    <t>熟练龙血大剑</t>
  </si>
  <si>
    <t>愚人龙血大剑</t>
  </si>
  <si>
    <t>结晶龙血大剑</t>
  </si>
  <si>
    <t>火焰龙血大剑</t>
  </si>
  <si>
    <t>混沌龙血大剑</t>
  </si>
  <si>
    <t>雷电龙血大剑</t>
  </si>
  <si>
    <t>幽邃龙血大剑</t>
  </si>
  <si>
    <t>暗龙血大剑</t>
  </si>
  <si>
    <t>毒龙血大剑</t>
  </si>
  <si>
    <t>血龙血大剑</t>
  </si>
  <si>
    <t>粗制龙血大剑</t>
  </si>
  <si>
    <t>祝福龙血大剑</t>
  </si>
  <si>
    <t>游魂龙血大剑</t>
  </si>
  <si>
    <t>传火大剑</t>
  </si>
  <si>
    <t>漫烟特大剑</t>
  </si>
  <si>
    <t>老狼曲剑</t>
  </si>
  <si>
    <t>风暴管束者</t>
  </si>
  <si>
    <t>哈兰得大曲剑</t>
  </si>
  <si>
    <t>厚重哈兰得大曲剑</t>
  </si>
  <si>
    <t>锋利哈兰得大曲剑</t>
  </si>
  <si>
    <t>熟练哈兰得大曲剑</t>
  </si>
  <si>
    <t>愚人哈兰得大曲剑</t>
  </si>
  <si>
    <t>结晶哈兰得大曲剑</t>
  </si>
  <si>
    <t>火焰哈兰得大曲剑</t>
  </si>
  <si>
    <t>混沌哈兰得大曲剑</t>
  </si>
  <si>
    <t>雷电哈兰得大曲剑</t>
  </si>
  <si>
    <t>幽邃哈兰得大曲剑</t>
  </si>
  <si>
    <t>暗哈兰得大曲剑</t>
  </si>
  <si>
    <t>毒哈兰得大曲剑</t>
  </si>
  <si>
    <t>血哈兰得大曲剑</t>
  </si>
  <si>
    <t>粗制哈兰得大曲剑</t>
  </si>
  <si>
    <t>祝福哈兰得大曲剑</t>
  </si>
  <si>
    <t>游魂哈兰得大曲剑</t>
  </si>
  <si>
    <t>手斧</t>
  </si>
  <si>
    <t>厚重手斧</t>
  </si>
  <si>
    <t>锋利手斧</t>
  </si>
  <si>
    <t>熟练手斧</t>
  </si>
  <si>
    <t>愚人手斧</t>
  </si>
  <si>
    <t>结晶手斧</t>
  </si>
  <si>
    <t>火焰手斧</t>
  </si>
  <si>
    <t>混沌手斧</t>
  </si>
  <si>
    <t>雷电手斧</t>
  </si>
  <si>
    <t>幽邃手斧</t>
  </si>
  <si>
    <t>暗手斧</t>
  </si>
  <si>
    <t>毒手斧</t>
  </si>
  <si>
    <t>血手斧</t>
  </si>
  <si>
    <t>粗制手斧</t>
  </si>
  <si>
    <t>祝福手斧</t>
  </si>
  <si>
    <t>游魂手斧</t>
  </si>
  <si>
    <t>战斧</t>
  </si>
  <si>
    <t>厚重战斧</t>
  </si>
  <si>
    <t>锋利战斧</t>
  </si>
  <si>
    <t>熟练战斧</t>
  </si>
  <si>
    <t>愚人战斧</t>
  </si>
  <si>
    <t>结晶战斧</t>
  </si>
  <si>
    <t>火焰战斧</t>
  </si>
  <si>
    <t>混沌战斧</t>
  </si>
  <si>
    <t>雷电战斧</t>
  </si>
  <si>
    <t>幽邃战斧</t>
  </si>
  <si>
    <t>暗战斧</t>
  </si>
  <si>
    <t>毒战斧</t>
  </si>
  <si>
    <t>血战斧</t>
  </si>
  <si>
    <t>粗制战斧</t>
  </si>
  <si>
    <t>祝福战斧</t>
  </si>
  <si>
    <t>游魂战斧</t>
  </si>
  <si>
    <t>山贼斧</t>
  </si>
  <si>
    <t>厚重山贼斧</t>
  </si>
  <si>
    <t>锋利山贼斧</t>
  </si>
  <si>
    <t>熟练山贼斧</t>
  </si>
  <si>
    <t>愚人山贼斧</t>
  </si>
  <si>
    <t>结晶山贼斧</t>
  </si>
  <si>
    <t>火焰山贼斧</t>
  </si>
  <si>
    <t>混沌山贼斧</t>
  </si>
  <si>
    <t>雷电山贼斧</t>
  </si>
  <si>
    <t>幽邃山贼斧</t>
  </si>
  <si>
    <t>暗山贼斧</t>
  </si>
  <si>
    <t>毒山贼斧</t>
  </si>
  <si>
    <t>血山贼斧</t>
  </si>
  <si>
    <t>粗制山贼斧</t>
  </si>
  <si>
    <t>祝福山贼斧</t>
  </si>
  <si>
    <t>游魂山贼斧</t>
  </si>
  <si>
    <t>弦月斧</t>
  </si>
  <si>
    <t>厚重弦月斧</t>
  </si>
  <si>
    <t>锋利弦月斧</t>
  </si>
  <si>
    <t>熟练弦月斧</t>
  </si>
  <si>
    <t>愚人弦月斧</t>
  </si>
  <si>
    <t>结晶弦月斧</t>
  </si>
  <si>
    <t>火焰弦月斧</t>
  </si>
  <si>
    <t>混沌弦月斧</t>
  </si>
  <si>
    <t>雷电弦月斧</t>
  </si>
  <si>
    <t>幽邃弦月斧</t>
  </si>
  <si>
    <t>暗弦月斧</t>
  </si>
  <si>
    <t>毒弦月斧</t>
  </si>
  <si>
    <t>血弦月斧</t>
  </si>
  <si>
    <t>粗制弦月斧</t>
  </si>
  <si>
    <t>祝福弦月斧</t>
  </si>
  <si>
    <t>游魂弦月斧</t>
  </si>
  <si>
    <t>巨斧</t>
  </si>
  <si>
    <t>厚重巨斧</t>
  </si>
  <si>
    <t>锋利巨斧</t>
  </si>
  <si>
    <t>熟练巨斧</t>
  </si>
  <si>
    <t>愚人巨斧</t>
  </si>
  <si>
    <t>结晶巨斧</t>
  </si>
  <si>
    <t>火焰巨斧</t>
  </si>
  <si>
    <t>混沌巨斧</t>
  </si>
  <si>
    <t>雷电巨斧</t>
  </si>
  <si>
    <t>幽邃巨斧</t>
  </si>
  <si>
    <t>暗巨斧</t>
  </si>
  <si>
    <t>毒巨斧</t>
  </si>
  <si>
    <t>血巨斧</t>
  </si>
  <si>
    <t>粗制巨斧</t>
  </si>
  <si>
    <t>祝福巨斧</t>
  </si>
  <si>
    <t>游魂巨斧</t>
  </si>
  <si>
    <t>切肉菜刀</t>
  </si>
  <si>
    <t>屠龙斧</t>
  </si>
  <si>
    <t>厚重屠龙斧</t>
  </si>
  <si>
    <t>锋利屠龙斧</t>
  </si>
  <si>
    <t>熟练屠龙斧</t>
  </si>
  <si>
    <t>愚人屠龙斧</t>
  </si>
  <si>
    <t>结晶屠龙斧</t>
  </si>
  <si>
    <t>火焰屠龙斧</t>
  </si>
  <si>
    <t>混沌屠龙斧</t>
  </si>
  <si>
    <t>雷电屠龙斧</t>
  </si>
  <si>
    <t>幽邃屠龙斧</t>
  </si>
  <si>
    <t>暗屠龙斧</t>
  </si>
  <si>
    <t>毒屠龙斧</t>
  </si>
  <si>
    <t>血屠龙斧</t>
  </si>
  <si>
    <t>粗制屠龙斧</t>
  </si>
  <si>
    <t>祝福屠龙斧</t>
  </si>
  <si>
    <t>游魂屠龙斧</t>
  </si>
  <si>
    <t>奴隶手斧</t>
  </si>
  <si>
    <t>厚重奴隶手斧</t>
  </si>
  <si>
    <t>锋利奴隶手斧</t>
  </si>
  <si>
    <t>熟练奴隶手斧</t>
  </si>
  <si>
    <t>愚人奴隶手斧</t>
  </si>
  <si>
    <t>结晶奴隶手斧</t>
  </si>
  <si>
    <t>火焰奴隶手斧</t>
  </si>
  <si>
    <t>混沌奴隶手斧</t>
  </si>
  <si>
    <t>雷电奴隶手斧</t>
  </si>
  <si>
    <t>幽邃奴隶手斧</t>
  </si>
  <si>
    <t>暗奴隶手斧</t>
  </si>
  <si>
    <t>毒奴隶手斧</t>
  </si>
  <si>
    <t>血奴隶手斧</t>
  </si>
  <si>
    <t>粗制奴隶手斧</t>
  </si>
  <si>
    <t>祝福奴隶手斧</t>
  </si>
  <si>
    <t>游魂奴隶手斧</t>
  </si>
  <si>
    <t>猎龙大斧</t>
  </si>
  <si>
    <t>恶魔大斧</t>
  </si>
  <si>
    <t>艾莲诺拉</t>
  </si>
  <si>
    <t>蛇人柴刀</t>
  </si>
  <si>
    <t>厚重蛇人柴刀</t>
  </si>
  <si>
    <t>锋利蛇人柴刀</t>
  </si>
  <si>
    <t>熟练蛇人柴刀</t>
  </si>
  <si>
    <t>愚人蛇人柴刀</t>
  </si>
  <si>
    <t>结晶蛇人柴刀</t>
  </si>
  <si>
    <t>火焰蛇人柴刀</t>
  </si>
  <si>
    <t>混沌蛇人柴刀</t>
  </si>
  <si>
    <t>雷电蛇人柴刀</t>
  </si>
  <si>
    <t>幽邃蛇人柴刀</t>
  </si>
  <si>
    <t>暗蛇人柴刀</t>
  </si>
  <si>
    <t>毒蛇人柴刀</t>
  </si>
  <si>
    <t>血蛇人柴刀</t>
  </si>
  <si>
    <t>粗制蛇人柴刀</t>
  </si>
  <si>
    <t>祝福蛇人柴刀</t>
  </si>
  <si>
    <t>游魂蛇人柴刀</t>
  </si>
  <si>
    <t>米尔伍德战斧</t>
  </si>
  <si>
    <t>厚重米尔伍德战斧</t>
  </si>
  <si>
    <t>锋利米尔伍德战斧</t>
  </si>
  <si>
    <t>熟练米尔伍德战斧</t>
  </si>
  <si>
    <t>愚人米尔伍德战斧</t>
  </si>
  <si>
    <t>结晶米尔伍德战斧</t>
  </si>
  <si>
    <t>火焰米尔伍德战斧</t>
  </si>
  <si>
    <t>混沌米尔伍德战斧</t>
  </si>
  <si>
    <t>雷电米尔伍德战斧</t>
  </si>
  <si>
    <t>幽邃米尔伍德战斧</t>
  </si>
  <si>
    <t>暗米尔伍德战斧</t>
  </si>
  <si>
    <t>毒米尔伍德战斧</t>
  </si>
  <si>
    <t>血米尔伍德战斧</t>
  </si>
  <si>
    <t>粗制米尔伍德战斧</t>
  </si>
  <si>
    <t>祝福米尔伍德战斧</t>
  </si>
  <si>
    <t>游魂米尔伍德战斧</t>
  </si>
  <si>
    <t>追地者</t>
  </si>
  <si>
    <t>棍棒</t>
  </si>
  <si>
    <t>厚重棍棒</t>
  </si>
  <si>
    <t>锋利棍棒</t>
  </si>
  <si>
    <t>熟练棍棒</t>
  </si>
  <si>
    <t>愚人棍棒</t>
  </si>
  <si>
    <t>结晶棍棒</t>
  </si>
  <si>
    <t>火焰棍棒</t>
  </si>
  <si>
    <t>混沌棍棒</t>
  </si>
  <si>
    <t>雷电棍棒</t>
  </si>
  <si>
    <t>幽邃棍棒</t>
  </si>
  <si>
    <t>暗棍棒</t>
  </si>
  <si>
    <t>毒棍棒</t>
  </si>
  <si>
    <t>血棍棒</t>
  </si>
  <si>
    <t>粗制棍棒</t>
  </si>
  <si>
    <t>祝福棍棒</t>
  </si>
  <si>
    <t>游魂棍棒</t>
  </si>
  <si>
    <t>锤矛</t>
  </si>
  <si>
    <t>厚重锤矛</t>
  </si>
  <si>
    <t>锋利锤矛</t>
  </si>
  <si>
    <t>熟练锤矛</t>
  </si>
  <si>
    <t>愚人锤矛</t>
  </si>
  <si>
    <t>结晶锤矛</t>
  </si>
  <si>
    <t>火焰锤矛</t>
  </si>
  <si>
    <t>混沌锤矛</t>
  </si>
  <si>
    <t>雷电锤矛</t>
  </si>
  <si>
    <t>幽邃锤矛</t>
  </si>
  <si>
    <t>暗锤矛</t>
  </si>
  <si>
    <t>毒锤矛</t>
  </si>
  <si>
    <t>血锤矛</t>
  </si>
  <si>
    <t>粗制锤矛</t>
  </si>
  <si>
    <t>祝福锤矛</t>
  </si>
  <si>
    <t>游魂锤矛</t>
  </si>
  <si>
    <t>朝星锤</t>
  </si>
  <si>
    <t>厚重朝星锤</t>
  </si>
  <si>
    <t>锋利朝星锤</t>
  </si>
  <si>
    <t>熟练朝星锤</t>
  </si>
  <si>
    <t>愚人朝星锤</t>
  </si>
  <si>
    <t>结晶朝星锤</t>
  </si>
  <si>
    <t>火焰朝星锤</t>
  </si>
  <si>
    <t>混沌朝星锤</t>
  </si>
  <si>
    <t>雷电朝星锤</t>
  </si>
  <si>
    <t>幽邃朝星锤</t>
  </si>
  <si>
    <t>暗朝星锤</t>
  </si>
  <si>
    <t>毒朝星锤</t>
  </si>
  <si>
    <t>血朝星锤</t>
  </si>
  <si>
    <t>粗制朝星锤</t>
  </si>
  <si>
    <t>祝福朝星锤</t>
  </si>
  <si>
    <t>游魂朝星锤</t>
  </si>
  <si>
    <t>强化棍棒</t>
  </si>
  <si>
    <t>厚重强化棍棒</t>
  </si>
  <si>
    <t>锋利强化棍棒</t>
  </si>
  <si>
    <t>熟练强化棍棒</t>
  </si>
  <si>
    <t>愚人强化棍棒</t>
  </si>
  <si>
    <t>结晶强化棍棒</t>
  </si>
  <si>
    <t>火焰强化棍棒</t>
  </si>
  <si>
    <t>混沌强化棍棒</t>
  </si>
  <si>
    <t>雷电强化棍棒</t>
  </si>
  <si>
    <t>幽邃强化棍棒</t>
  </si>
  <si>
    <t>暗强化棍棒</t>
  </si>
  <si>
    <t>毒强化棍棒</t>
  </si>
  <si>
    <t>血强化棍棒</t>
  </si>
  <si>
    <t>粗制强化棍棒</t>
  </si>
  <si>
    <t>祝福强化棍棒</t>
  </si>
  <si>
    <t>游魂强化棍棒</t>
  </si>
  <si>
    <t>大型棍棒</t>
  </si>
  <si>
    <t>厚重大型棍棒</t>
  </si>
  <si>
    <t>锋利大型棍棒</t>
  </si>
  <si>
    <t>熟练大型棍棒</t>
  </si>
  <si>
    <t>愚人大型棍棒</t>
  </si>
  <si>
    <t>结晶大型棍棒</t>
  </si>
  <si>
    <t>火焰大型棍棒</t>
  </si>
  <si>
    <t>混沌大型棍棒</t>
  </si>
  <si>
    <t>雷电大型棍棒</t>
  </si>
  <si>
    <t>幽邃大型棍棒</t>
  </si>
  <si>
    <t>暗大型棍棒</t>
  </si>
  <si>
    <t>毒大型棍棒</t>
  </si>
  <si>
    <t>血大型棍棒</t>
  </si>
  <si>
    <t>粗制大型棍棒</t>
  </si>
  <si>
    <t>祝福大型棍棒</t>
  </si>
  <si>
    <t>游魂大型棍棒</t>
  </si>
  <si>
    <t>巨型棍棒</t>
  </si>
  <si>
    <t>厚重巨型棍棒</t>
  </si>
  <si>
    <t>锋利巨型棍棒</t>
  </si>
  <si>
    <t>熟练巨型棍棒</t>
  </si>
  <si>
    <t>愚人巨型棍棒</t>
  </si>
  <si>
    <t>结晶巨型棍棒</t>
  </si>
  <si>
    <t>火焰巨型棍棒</t>
  </si>
  <si>
    <t>混沌巨型棍棒</t>
  </si>
  <si>
    <t>雷电巨型棍棒</t>
  </si>
  <si>
    <t>幽邃巨型棍棒</t>
  </si>
  <si>
    <t>暗巨型棍棒</t>
  </si>
  <si>
    <t>毒巨型棍棒</t>
  </si>
  <si>
    <t>血巨型棍棒</t>
  </si>
  <si>
    <t>粗制巨型棍棒</t>
  </si>
  <si>
    <t>祝福巨型棍棒</t>
  </si>
  <si>
    <t>游魂巨型棍棒</t>
  </si>
  <si>
    <t>巨型锤矛</t>
  </si>
  <si>
    <t>厚重巨型锤矛</t>
  </si>
  <si>
    <t>锋利巨型锤矛</t>
  </si>
  <si>
    <t>熟练巨型锤矛</t>
  </si>
  <si>
    <t>愚人巨型锤矛</t>
  </si>
  <si>
    <t>结晶巨型锤矛</t>
  </si>
  <si>
    <t>火焰巨型锤矛</t>
  </si>
  <si>
    <t>混沌巨型锤矛</t>
  </si>
  <si>
    <t>雷电巨型锤矛</t>
  </si>
  <si>
    <t>幽邃巨型锤矛</t>
  </si>
  <si>
    <t>暗巨型锤矛</t>
  </si>
  <si>
    <t>毒巨型锤矛</t>
  </si>
  <si>
    <t>血巨型锤矛</t>
  </si>
  <si>
    <t>粗制巨型锤矛</t>
  </si>
  <si>
    <t>祝福巨型锤矛</t>
  </si>
  <si>
    <t>游魂巨型锤矛</t>
  </si>
  <si>
    <t>大木槌</t>
  </si>
  <si>
    <t>厚重大木槌</t>
  </si>
  <si>
    <t>锋利大木槌</t>
  </si>
  <si>
    <t>熟练大木槌</t>
  </si>
  <si>
    <t>愚人大木槌</t>
  </si>
  <si>
    <t>结晶大木槌</t>
  </si>
  <si>
    <t>火焰大木槌</t>
  </si>
  <si>
    <t>混沌大木槌</t>
  </si>
  <si>
    <t>雷电大木槌</t>
  </si>
  <si>
    <t>幽邃大木槌</t>
  </si>
  <si>
    <t>暗大木槌</t>
  </si>
  <si>
    <t>毒大木槌</t>
  </si>
  <si>
    <t>血大木槌</t>
  </si>
  <si>
    <t>粗制大木槌</t>
  </si>
  <si>
    <t>祝福大木槌</t>
  </si>
  <si>
    <t>游魂大木槌</t>
  </si>
  <si>
    <t>石像鬼灯火槌</t>
  </si>
  <si>
    <t>玻尔多大锤</t>
  </si>
  <si>
    <t>老王大槌</t>
  </si>
  <si>
    <t>海泽儿的十字镐</t>
  </si>
  <si>
    <t>战镐</t>
  </si>
  <si>
    <t>厚重战镐</t>
  </si>
  <si>
    <t>锋利战镐</t>
  </si>
  <si>
    <t>熟练战镐</t>
  </si>
  <si>
    <t>愚人战镐</t>
  </si>
  <si>
    <t>结晶战镐</t>
  </si>
  <si>
    <t>火焰战镐</t>
  </si>
  <si>
    <t>混沌战镐</t>
  </si>
  <si>
    <t>雷电战镐</t>
  </si>
  <si>
    <t>幽邃战镐</t>
  </si>
  <si>
    <t>暗战镐</t>
  </si>
  <si>
    <t>毒战镐</t>
  </si>
  <si>
    <t>血战镐</t>
  </si>
  <si>
    <t>粗制战镐</t>
  </si>
  <si>
    <t>祝福战镐</t>
  </si>
  <si>
    <t>游魂战镐</t>
  </si>
  <si>
    <t>十字镐</t>
  </si>
  <si>
    <t>厚重十字镐</t>
  </si>
  <si>
    <t>锋利十字镐</t>
  </si>
  <si>
    <t>熟练十字镐</t>
  </si>
  <si>
    <t>愚人十字镐</t>
  </si>
  <si>
    <t>结晶十字镐</t>
  </si>
  <si>
    <t>火焰十字镐</t>
  </si>
  <si>
    <t>混沌十字镐</t>
  </si>
  <si>
    <t>雷电十字镐</t>
  </si>
  <si>
    <t>幽邃十字镐</t>
  </si>
  <si>
    <t>暗十字镐</t>
  </si>
  <si>
    <t>毒十字镐</t>
  </si>
  <si>
    <t>血十字镐</t>
  </si>
  <si>
    <t>粗制十字镐</t>
  </si>
  <si>
    <t>祝福十字镐</t>
  </si>
  <si>
    <t>游魂十字镐</t>
  </si>
  <si>
    <t>大龙牙</t>
  </si>
  <si>
    <t>斯摩的锤子</t>
  </si>
  <si>
    <t>铁匠铁锤</t>
  </si>
  <si>
    <t>厚重铁匠铁锤</t>
  </si>
  <si>
    <t>锋利铁匠铁锤</t>
  </si>
  <si>
    <t>熟练铁匠铁锤</t>
  </si>
  <si>
    <t>愚人铁匠铁锤</t>
  </si>
  <si>
    <t>结晶铁匠铁锤</t>
  </si>
  <si>
    <t>火焰铁匠铁锤</t>
  </si>
  <si>
    <t>混沌铁匠铁锤</t>
  </si>
  <si>
    <t>雷电铁匠铁锤</t>
  </si>
  <si>
    <t>幽邃铁匠铁锤</t>
  </si>
  <si>
    <t>暗铁匠铁锤</t>
  </si>
  <si>
    <t>毒铁匠铁锤</t>
  </si>
  <si>
    <t>血铁匠铁锤</t>
  </si>
  <si>
    <t>粗制铁匠铁锤</t>
  </si>
  <si>
    <t>祝福铁匠铁锤</t>
  </si>
  <si>
    <t>游魂铁匠铁锤</t>
  </si>
  <si>
    <t>摩恩大锤</t>
  </si>
  <si>
    <t>尖刺锤矛</t>
  </si>
  <si>
    <t>厚重尖刺锤矛</t>
  </si>
  <si>
    <t>锋利尖刺锤矛</t>
  </si>
  <si>
    <t>熟练尖刺锤矛</t>
  </si>
  <si>
    <t>愚人尖刺锤矛</t>
  </si>
  <si>
    <t>结晶尖刺锤矛</t>
  </si>
  <si>
    <t>火焰尖刺锤矛</t>
  </si>
  <si>
    <t>混沌尖刺锤矛</t>
  </si>
  <si>
    <t>雷电尖刺锤矛</t>
  </si>
  <si>
    <t>幽邃尖刺锤矛</t>
  </si>
  <si>
    <t>暗尖刺锤矛</t>
  </si>
  <si>
    <t>毒尖刺锤矛</t>
  </si>
  <si>
    <t>血尖刺锤矛</t>
  </si>
  <si>
    <t>粗制尖刺锤矛</t>
  </si>
  <si>
    <t>祝福尖刺锤矛</t>
  </si>
  <si>
    <t>游魂尖刺锤矛</t>
  </si>
  <si>
    <t>地鸣岩槌</t>
  </si>
  <si>
    <t>雷多大锤</t>
  </si>
  <si>
    <t>枪</t>
  </si>
  <si>
    <t>厚重枪</t>
  </si>
  <si>
    <t>锋利枪</t>
  </si>
  <si>
    <t>熟练枪</t>
  </si>
  <si>
    <t>愚人枪</t>
  </si>
  <si>
    <t>结晶枪</t>
  </si>
  <si>
    <t>火焰枪</t>
  </si>
  <si>
    <t>混沌枪</t>
  </si>
  <si>
    <t>雷电枪</t>
  </si>
  <si>
    <t>幽邃枪</t>
  </si>
  <si>
    <t>暗枪</t>
  </si>
  <si>
    <t>毒枪</t>
  </si>
  <si>
    <t>血枪</t>
  </si>
  <si>
    <t>粗制枪</t>
  </si>
  <si>
    <t>祝福枪</t>
  </si>
  <si>
    <t>游魂枪</t>
  </si>
  <si>
    <t>雁翅枪</t>
  </si>
  <si>
    <t>厚重雁翅枪</t>
  </si>
  <si>
    <t>锋利雁翅枪</t>
  </si>
  <si>
    <t>熟练雁翅枪</t>
  </si>
  <si>
    <t>愚人雁翅枪</t>
  </si>
  <si>
    <t>结晶雁翅枪</t>
  </si>
  <si>
    <t>火焰雁翅枪</t>
  </si>
  <si>
    <t>混沌雁翅枪</t>
  </si>
  <si>
    <t>雷电雁翅枪</t>
  </si>
  <si>
    <t>幽邃雁翅枪</t>
  </si>
  <si>
    <t>暗雁翅枪</t>
  </si>
  <si>
    <t>毒雁翅枪</t>
  </si>
  <si>
    <t>血雁翅枪</t>
  </si>
  <si>
    <t>粗制雁翅枪</t>
  </si>
  <si>
    <t>祝福雁翅枪</t>
  </si>
  <si>
    <t>游魂雁翅枪</t>
  </si>
  <si>
    <t>游击枪</t>
  </si>
  <si>
    <t>厚重游击枪</t>
  </si>
  <si>
    <t>锋利游击枪</t>
  </si>
  <si>
    <t>熟练游击枪</t>
  </si>
  <si>
    <t>愚人游击枪</t>
  </si>
  <si>
    <t>结晶游击枪</t>
  </si>
  <si>
    <t>火焰游击枪</t>
  </si>
  <si>
    <t>混沌游击枪</t>
  </si>
  <si>
    <t>雷电游击枪</t>
  </si>
  <si>
    <t>幽邃游击枪</t>
  </si>
  <si>
    <t>暗游击枪</t>
  </si>
  <si>
    <t>毒游击枪</t>
  </si>
  <si>
    <t>血游击枪</t>
  </si>
  <si>
    <t>粗制游击枪</t>
  </si>
  <si>
    <t>祝福游击枪</t>
  </si>
  <si>
    <t>游魂游击枪</t>
  </si>
  <si>
    <t>巨骑枪</t>
  </si>
  <si>
    <t>厚重巨骑枪</t>
  </si>
  <si>
    <t>锋利巨骑枪</t>
  </si>
  <si>
    <t>熟练巨骑枪</t>
  </si>
  <si>
    <t>愚人巨骑枪</t>
  </si>
  <si>
    <t>结晶巨骑枪</t>
  </si>
  <si>
    <t>火焰巨骑枪</t>
  </si>
  <si>
    <t>混沌巨骑枪</t>
  </si>
  <si>
    <t>雷电巨骑枪</t>
  </si>
  <si>
    <t>幽邃巨骑枪</t>
  </si>
  <si>
    <t>暗巨骑枪</t>
  </si>
  <si>
    <t>毒巨骑枪</t>
  </si>
  <si>
    <t>血巨骑枪</t>
  </si>
  <si>
    <t>粗制巨骑枪</t>
  </si>
  <si>
    <t>祝福巨骑枪</t>
  </si>
  <si>
    <t>游魂巨骑枪</t>
  </si>
  <si>
    <t>洛斯里克骑士长枪</t>
  </si>
  <si>
    <t>厚重洛斯里克骑士长枪</t>
  </si>
  <si>
    <t>锋利洛斯里克骑士长枪</t>
  </si>
  <si>
    <t>熟练洛斯里克骑士长枪</t>
  </si>
  <si>
    <t>愚人洛斯里克骑士长枪</t>
  </si>
  <si>
    <t>结晶洛斯里克骑士长枪</t>
  </si>
  <si>
    <t>火焰洛斯里克骑士长枪</t>
  </si>
  <si>
    <t>混沌洛斯里克骑士长枪</t>
  </si>
  <si>
    <t>雷电洛斯里克骑士长枪</t>
  </si>
  <si>
    <t>幽邃洛斯里克骑士长枪</t>
  </si>
  <si>
    <t>暗洛斯里克骑士长枪</t>
  </si>
  <si>
    <t>毒洛斯里克骑士长枪</t>
  </si>
  <si>
    <t>血洛斯里克骑士长枪</t>
  </si>
  <si>
    <t>粗制洛斯里克骑士长枪</t>
  </si>
  <si>
    <t>祝福洛斯里克骑士长枪</t>
  </si>
  <si>
    <t>游魂洛斯里克骑士长枪</t>
  </si>
  <si>
    <t>四齿钉耙</t>
  </si>
  <si>
    <t>厚重四齿钉耙</t>
  </si>
  <si>
    <t>锋利四齿钉耙</t>
  </si>
  <si>
    <t>熟练四齿钉耙</t>
  </si>
  <si>
    <t>愚人四齿钉耙</t>
  </si>
  <si>
    <t>结晶四齿钉耙</t>
  </si>
  <si>
    <t>火焰四齿钉耙</t>
  </si>
  <si>
    <t>混沌四齿钉耙</t>
  </si>
  <si>
    <t>雷电四齿钉耙</t>
  </si>
  <si>
    <t>幽邃四齿钉耙</t>
  </si>
  <si>
    <t>暗四齿钉耙</t>
  </si>
  <si>
    <t>毒四齿钉耙</t>
  </si>
  <si>
    <t>血四齿钉耙</t>
  </si>
  <si>
    <t>粗制四齿钉耙</t>
  </si>
  <si>
    <t>祝福四齿钉耙</t>
  </si>
  <si>
    <t>游魂四齿钉耙</t>
  </si>
  <si>
    <t>石像鬼灯火枪</t>
  </si>
  <si>
    <t>咕鲁腐败枪</t>
  </si>
  <si>
    <t>厚重咕鲁腐败枪</t>
  </si>
  <si>
    <t>锋利咕鲁腐败枪</t>
  </si>
  <si>
    <t>熟练咕鲁腐败枪</t>
  </si>
  <si>
    <t>愚人咕鲁腐败枪</t>
  </si>
  <si>
    <t>结晶咕鲁腐败枪</t>
  </si>
  <si>
    <t>火焰咕鲁腐败枪</t>
  </si>
  <si>
    <t>混沌咕鲁腐败枪</t>
  </si>
  <si>
    <t>雷电咕鲁腐败枪</t>
  </si>
  <si>
    <t>幽邃咕鲁腐败枪</t>
  </si>
  <si>
    <t>暗咕鲁腐败枪</t>
  </si>
  <si>
    <t>毒咕鲁腐败枪</t>
  </si>
  <si>
    <t>血咕鲁腐败枪</t>
  </si>
  <si>
    <t>粗制咕鲁腐败枪</t>
  </si>
  <si>
    <t>祝福咕鲁腐败枪</t>
  </si>
  <si>
    <t>游魂咕鲁腐败枪</t>
  </si>
  <si>
    <t>尾骨枪</t>
  </si>
  <si>
    <t>烙铁</t>
  </si>
  <si>
    <t>猎龙剑枪</t>
  </si>
  <si>
    <t>阿尔斯特枪</t>
  </si>
  <si>
    <t>圣者双叉枪</t>
  </si>
  <si>
    <t>厚重圣者双叉枪</t>
  </si>
  <si>
    <t>锋利圣者双叉枪</t>
  </si>
  <si>
    <t>熟练圣者双叉枪</t>
  </si>
  <si>
    <t>愚人圣者双叉枪</t>
  </si>
  <si>
    <t>结晶圣者双叉枪</t>
  </si>
  <si>
    <t>火焰圣者双叉枪</t>
  </si>
  <si>
    <t>混沌圣者双叉枪</t>
  </si>
  <si>
    <t>雷电圣者双叉枪</t>
  </si>
  <si>
    <t>幽邃圣者双叉枪</t>
  </si>
  <si>
    <t>暗圣者双叉枪</t>
  </si>
  <si>
    <t>毒圣者双叉枪</t>
  </si>
  <si>
    <t>血圣者双叉枪</t>
  </si>
  <si>
    <t>粗制圣者双叉枪</t>
  </si>
  <si>
    <t>祝福圣者双叉枪</t>
  </si>
  <si>
    <t>游魂圣者双叉枪</t>
  </si>
  <si>
    <t>幽儿希卡枪</t>
  </si>
  <si>
    <t>矛</t>
  </si>
  <si>
    <t>厚重矛</t>
  </si>
  <si>
    <t>锋利矛</t>
  </si>
  <si>
    <t>熟练矛</t>
  </si>
  <si>
    <t>愚人矛</t>
  </si>
  <si>
    <t>结晶矛</t>
  </si>
  <si>
    <t>火焰矛</t>
  </si>
  <si>
    <t>混沌矛</t>
  </si>
  <si>
    <t>雷电矛</t>
  </si>
  <si>
    <t>幽邃矛</t>
  </si>
  <si>
    <t>暗矛</t>
  </si>
  <si>
    <t>毒矛</t>
  </si>
  <si>
    <t>血矛</t>
  </si>
  <si>
    <t>粗制矛</t>
  </si>
  <si>
    <t>祝福矛</t>
  </si>
  <si>
    <t>游魂矛</t>
  </si>
  <si>
    <t>猎龙枪</t>
  </si>
  <si>
    <t>幽魂投枪</t>
  </si>
  <si>
    <t>厚重幽魂投枪</t>
  </si>
  <si>
    <t>锋利幽魂投枪</t>
  </si>
  <si>
    <t>熟练幽魂投枪</t>
  </si>
  <si>
    <t>愚人幽魂投枪</t>
  </si>
  <si>
    <t>结晶幽魂投枪</t>
  </si>
  <si>
    <t>火焰幽魂投枪</t>
  </si>
  <si>
    <t>混沌幽魂投枪</t>
  </si>
  <si>
    <t>雷电幽魂投枪</t>
  </si>
  <si>
    <t>幽邃幽魂投枪</t>
  </si>
  <si>
    <t>暗幽魂投枪</t>
  </si>
  <si>
    <t>毒幽魂投枪</t>
  </si>
  <si>
    <t>血幽魂投枪</t>
  </si>
  <si>
    <t>粗制幽魂投枪</t>
  </si>
  <si>
    <t>祝福幽魂投枪</t>
  </si>
  <si>
    <t>游魂幽魂投枪</t>
  </si>
  <si>
    <t>环印骑士枪</t>
  </si>
  <si>
    <t>洛斯里克军旗</t>
  </si>
  <si>
    <t>厚重洛斯里克军旗</t>
  </si>
  <si>
    <t>锋利洛斯里克军旗</t>
  </si>
  <si>
    <t>熟练洛斯里克军旗</t>
  </si>
  <si>
    <t>愚人洛斯里克军旗</t>
  </si>
  <si>
    <t>结晶洛斯里克军旗</t>
  </si>
  <si>
    <t>火焰洛斯里克军旗</t>
  </si>
  <si>
    <t>混沌洛斯里克军旗</t>
  </si>
  <si>
    <t>雷电洛斯里克军旗</t>
  </si>
  <si>
    <t>幽邃洛斯里克军旗</t>
  </si>
  <si>
    <t>暗洛斯里克军旗</t>
  </si>
  <si>
    <t>毒洛斯里克军旗</t>
  </si>
  <si>
    <t>血洛斯里克军旗</t>
  </si>
  <si>
    <t>粗制洛斯里克军旗</t>
  </si>
  <si>
    <t>祝福洛斯里克军旗</t>
  </si>
  <si>
    <t>游魂洛斯里克军旗</t>
  </si>
  <si>
    <t>狂王磔枪</t>
  </si>
  <si>
    <t>大镰刀</t>
  </si>
  <si>
    <t>厚重大镰刀</t>
  </si>
  <si>
    <t>锋利大镰刀</t>
  </si>
  <si>
    <t>熟练大镰刀</t>
  </si>
  <si>
    <t>愚人大镰刀</t>
  </si>
  <si>
    <t>结晶大镰刀</t>
  </si>
  <si>
    <t>火焰大镰刀</t>
  </si>
  <si>
    <t>混沌大镰刀</t>
  </si>
  <si>
    <t>雷电大镰刀</t>
  </si>
  <si>
    <t>幽邃大镰刀</t>
  </si>
  <si>
    <t>暗大镰刀</t>
  </si>
  <si>
    <t>毒大镰刀</t>
  </si>
  <si>
    <t>血大镰刀</t>
  </si>
  <si>
    <t>粗制大镰刀</t>
  </si>
  <si>
    <t>祝福大镰刀</t>
  </si>
  <si>
    <t>游魂大镰刀</t>
  </si>
  <si>
    <t>鹤嘴戟</t>
  </si>
  <si>
    <t>厚重鹤嘴戟</t>
  </si>
  <si>
    <t>锋利鹤嘴戟</t>
  </si>
  <si>
    <t>熟练鹤嘴戟</t>
  </si>
  <si>
    <t>愚人鹤嘴戟</t>
  </si>
  <si>
    <t>结晶鹤嘴戟</t>
  </si>
  <si>
    <t>火焰鹤嘴戟</t>
  </si>
  <si>
    <t>混沌鹤嘴戟</t>
  </si>
  <si>
    <t>雷电鹤嘴戟</t>
  </si>
  <si>
    <t>幽邃鹤嘴戟</t>
  </si>
  <si>
    <t>暗鹤嘴戟</t>
  </si>
  <si>
    <t>毒鹤嘴戟</t>
  </si>
  <si>
    <t>血鹤嘴戟</t>
  </si>
  <si>
    <t>粗制鹤嘴戟</t>
  </si>
  <si>
    <t>祝福鹤嘴戟</t>
  </si>
  <si>
    <t>游魂鹤嘴戟</t>
  </si>
  <si>
    <t>剑刃戟</t>
  </si>
  <si>
    <t>厚重剑刃戟</t>
  </si>
  <si>
    <t>锋利剑刃戟</t>
  </si>
  <si>
    <t>熟练剑刃戟</t>
  </si>
  <si>
    <t>愚人剑刃戟</t>
  </si>
  <si>
    <t>结晶剑刃戟</t>
  </si>
  <si>
    <t>火焰剑刃戟</t>
  </si>
  <si>
    <t>混沌剑刃戟</t>
  </si>
  <si>
    <t>雷电剑刃戟</t>
  </si>
  <si>
    <t>幽邃剑刃戟</t>
  </si>
  <si>
    <t>暗剑刃戟</t>
  </si>
  <si>
    <t>毒剑刃戟</t>
  </si>
  <si>
    <t>血剑刃戟</t>
  </si>
  <si>
    <t>粗制剑刃戟</t>
  </si>
  <si>
    <t>祝福剑刃戟</t>
  </si>
  <si>
    <t>游魂剑刃戟</t>
  </si>
  <si>
    <t>戟</t>
  </si>
  <si>
    <t>厚重戟</t>
  </si>
  <si>
    <t>锋利戟</t>
  </si>
  <si>
    <t>熟练戟</t>
  </si>
  <si>
    <t>愚人戟</t>
  </si>
  <si>
    <t>结晶戟</t>
  </si>
  <si>
    <t>火焰戟</t>
  </si>
  <si>
    <t>混沌戟</t>
  </si>
  <si>
    <t>雷电戟</t>
  </si>
  <si>
    <t>幽邃戟</t>
  </si>
  <si>
    <t>暗戟</t>
  </si>
  <si>
    <t>毒戟</t>
  </si>
  <si>
    <t>血戟</t>
  </si>
  <si>
    <t>粗制戟</t>
  </si>
  <si>
    <t>祝福戟</t>
  </si>
  <si>
    <t>游魂戟</t>
  </si>
  <si>
    <t>黑骑士大斧</t>
  </si>
  <si>
    <t>教宗骑士大镰刀</t>
  </si>
  <si>
    <t>鸦人大镰刀</t>
  </si>
  <si>
    <t>厚重鸦人大镰刀</t>
  </si>
  <si>
    <t>锋利鸦人大镰刀</t>
  </si>
  <si>
    <t>熟练鸦人大镰刀</t>
  </si>
  <si>
    <t>愚人鸦人大镰刀</t>
  </si>
  <si>
    <t>结晶鸦人大镰刀</t>
  </si>
  <si>
    <t>火焰鸦人大镰刀</t>
  </si>
  <si>
    <t>混沌鸦人大镰刀</t>
  </si>
  <si>
    <t>雷电鸦人大镰刀</t>
  </si>
  <si>
    <t>幽邃鸦人大镰刀</t>
  </si>
  <si>
    <t>暗鸦人大镰刀</t>
  </si>
  <si>
    <t>毒鸦人大镰刀</t>
  </si>
  <si>
    <t>血鸦人大镰刀</t>
  </si>
  <si>
    <t>粗制鸦人大镰刀</t>
  </si>
  <si>
    <t>祝福鸦人大镰刀</t>
  </si>
  <si>
    <t>游魂鸦人大镰刀</t>
  </si>
  <si>
    <t>羽翼骑士戟</t>
  </si>
  <si>
    <t>厚重羽翼骑士戟</t>
  </si>
  <si>
    <t>锋利羽翼骑士戟</t>
  </si>
  <si>
    <t>熟练羽翼骑士戟</t>
  </si>
  <si>
    <t>愚人羽翼骑士戟</t>
  </si>
  <si>
    <t>结晶羽翼骑士戟</t>
  </si>
  <si>
    <t>火焰羽翼骑士戟</t>
  </si>
  <si>
    <t>混沌羽翼骑士戟</t>
  </si>
  <si>
    <t>雷电羽翼骑士戟</t>
  </si>
  <si>
    <t>幽邃羽翼骑士戟</t>
  </si>
  <si>
    <t>暗羽翼骑士戟</t>
  </si>
  <si>
    <t>毒羽翼骑士戟</t>
  </si>
  <si>
    <t>血羽翼骑士戟</t>
  </si>
  <si>
    <t>粗制羽翼骑士戟</t>
  </si>
  <si>
    <t>祝福羽翼骑士戟</t>
  </si>
  <si>
    <t>游魂羽翼骑士戟</t>
  </si>
  <si>
    <t>古达的戟</t>
  </si>
  <si>
    <t>红柄戟</t>
  </si>
  <si>
    <t>厚重红柄戟</t>
  </si>
  <si>
    <t>锋利红柄戟</t>
  </si>
  <si>
    <t>熟练红柄戟</t>
  </si>
  <si>
    <t>愚人红柄戟</t>
  </si>
  <si>
    <t>结晶红柄戟</t>
  </si>
  <si>
    <t>火焰红柄戟</t>
  </si>
  <si>
    <t>混沌红柄戟</t>
  </si>
  <si>
    <t>雷电红柄戟</t>
  </si>
  <si>
    <t>幽邃红柄戟</t>
  </si>
  <si>
    <t>暗红柄戟</t>
  </si>
  <si>
    <t>毒红柄戟</t>
  </si>
  <si>
    <t>血红柄戟</t>
  </si>
  <si>
    <t>粗制红柄戟</t>
  </si>
  <si>
    <t>祝福红柄戟</t>
  </si>
  <si>
    <t>游魂红柄戟</t>
  </si>
  <si>
    <t>黑骑士剑刃戟</t>
  </si>
  <si>
    <t>火刑光芒</t>
  </si>
  <si>
    <t>半叶大刀</t>
  </si>
  <si>
    <t>厚重半叶大刀</t>
  </si>
  <si>
    <t>锋利半叶大刀</t>
  </si>
  <si>
    <t>熟练半叶大刀</t>
  </si>
  <si>
    <t>愚人半叶大刀</t>
  </si>
  <si>
    <t>结晶半叶大刀</t>
  </si>
  <si>
    <t>火焰半叶大刀</t>
  </si>
  <si>
    <t>混沌半叶大刀</t>
  </si>
  <si>
    <t>雷电半叶大刀</t>
  </si>
  <si>
    <t>幽邃半叶大刀</t>
  </si>
  <si>
    <t>暗半叶大刀</t>
  </si>
  <si>
    <t>毒半叶大刀</t>
  </si>
  <si>
    <t>血半叶大刀</t>
  </si>
  <si>
    <t>粗制半叶大刀</t>
  </si>
  <si>
    <t>祝福半叶大刀</t>
  </si>
  <si>
    <t>游魂半叶大刀</t>
  </si>
  <si>
    <t>芙莉德大镰刀</t>
  </si>
  <si>
    <t>钩爪</t>
  </si>
  <si>
    <t>厚重钩爪</t>
  </si>
  <si>
    <t>锋利钩爪</t>
  </si>
  <si>
    <t>熟练钩爪</t>
  </si>
  <si>
    <t>愚人钩爪</t>
  </si>
  <si>
    <t>结晶钩爪</t>
  </si>
  <si>
    <t>火焰钩爪</t>
  </si>
  <si>
    <t>混沌钩爪</t>
  </si>
  <si>
    <t>雷电钩爪</t>
  </si>
  <si>
    <t>幽邃钩爪</t>
  </si>
  <si>
    <t>暗钩爪</t>
  </si>
  <si>
    <t>毒钩爪</t>
  </si>
  <si>
    <t>血钩爪</t>
  </si>
  <si>
    <t>粗制钩爪</t>
  </si>
  <si>
    <t>祝福钩爪</t>
  </si>
  <si>
    <t>游魂钩爪</t>
  </si>
  <si>
    <t>护手带</t>
  </si>
  <si>
    <t>厚重护手带</t>
  </si>
  <si>
    <t>锋利护手带</t>
  </si>
  <si>
    <t>熟练护手带</t>
  </si>
  <si>
    <t>愚人护手带</t>
  </si>
  <si>
    <t>结晶护手带</t>
  </si>
  <si>
    <t>火焰护手带</t>
  </si>
  <si>
    <t>混沌护手带</t>
  </si>
  <si>
    <t>雷电护手带</t>
  </si>
  <si>
    <t>幽邃护手带</t>
  </si>
  <si>
    <t>暗护手带</t>
  </si>
  <si>
    <t>毒护手带</t>
  </si>
  <si>
    <t>血护手带</t>
  </si>
  <si>
    <t>粗制护手带</t>
  </si>
  <si>
    <t>祝福护手带</t>
  </si>
  <si>
    <t>游魂护手带</t>
  </si>
  <si>
    <t>傀儡钩爪</t>
  </si>
  <si>
    <t>厚重傀儡钩爪</t>
  </si>
  <si>
    <t>锋利傀儡钩爪</t>
  </si>
  <si>
    <t>熟练傀儡钩爪</t>
  </si>
  <si>
    <t>愚人傀儡钩爪</t>
  </si>
  <si>
    <t>结晶傀儡钩爪</t>
  </si>
  <si>
    <t>火焰傀儡钩爪</t>
  </si>
  <si>
    <t>混沌傀儡钩爪</t>
  </si>
  <si>
    <t>雷电傀儡钩爪</t>
  </si>
  <si>
    <t>幽邃傀儡钩爪</t>
  </si>
  <si>
    <t>暗傀儡钩爪</t>
  </si>
  <si>
    <t>毒傀儡钩爪</t>
  </si>
  <si>
    <t>血傀儡钩爪</t>
  </si>
  <si>
    <t>粗制傀儡钩爪</t>
  </si>
  <si>
    <t>祝福傀儡钩爪</t>
  </si>
  <si>
    <t>游魂傀儡钩爪</t>
  </si>
  <si>
    <t>恶魔指虎</t>
  </si>
  <si>
    <t>黑暗之手</t>
  </si>
  <si>
    <t>鸦爪</t>
  </si>
  <si>
    <t>厚重鸦爪</t>
  </si>
  <si>
    <t>锋利鸦爪</t>
  </si>
  <si>
    <t>熟练鸦爪</t>
  </si>
  <si>
    <t>愚人鸦爪</t>
  </si>
  <si>
    <t>结晶鸦爪</t>
  </si>
  <si>
    <t>火焰鸦爪</t>
  </si>
  <si>
    <t>混沌鸦爪</t>
  </si>
  <si>
    <t>雷电鸦爪</t>
  </si>
  <si>
    <t>幽邃鸦爪</t>
  </si>
  <si>
    <t>暗鸦爪</t>
  </si>
  <si>
    <t>毒鸦爪</t>
  </si>
  <si>
    <t>血鸦爪</t>
  </si>
  <si>
    <t>粗制鸦爪</t>
  </si>
  <si>
    <t>祝福鸦爪</t>
  </si>
  <si>
    <t>游魂鸦爪</t>
  </si>
  <si>
    <t>软鞭</t>
  </si>
  <si>
    <t>厚重软鞭</t>
  </si>
  <si>
    <t>锋利软鞭</t>
  </si>
  <si>
    <t>熟练软鞭</t>
  </si>
  <si>
    <t>愚人软鞭</t>
  </si>
  <si>
    <t>结晶软鞭</t>
  </si>
  <si>
    <t>火焰软鞭</t>
  </si>
  <si>
    <t>混沌软鞭</t>
  </si>
  <si>
    <t>雷电软鞭</t>
  </si>
  <si>
    <t>幽邃软鞭</t>
  </si>
  <si>
    <t>暗软鞭</t>
  </si>
  <si>
    <t>毒软鞭</t>
  </si>
  <si>
    <t>血软鞭</t>
  </si>
  <si>
    <t>粗制软鞭</t>
  </si>
  <si>
    <t>祝福软鞭</t>
  </si>
  <si>
    <t>游魂软鞭</t>
  </si>
  <si>
    <t>魔女黑发</t>
  </si>
  <si>
    <t>荆棘软鞭</t>
  </si>
  <si>
    <t>厚重荆棘软鞭</t>
  </si>
  <si>
    <t>锋利荆棘软鞭</t>
  </si>
  <si>
    <t>熟练荆棘软鞭</t>
  </si>
  <si>
    <t>愚人荆棘软鞭</t>
  </si>
  <si>
    <t>结晶荆棘软鞭</t>
  </si>
  <si>
    <t>火焰荆棘软鞭</t>
  </si>
  <si>
    <t>混沌荆棘软鞭</t>
  </si>
  <si>
    <t>雷电荆棘软鞭</t>
  </si>
  <si>
    <t>幽邃荆棘软鞭</t>
  </si>
  <si>
    <t>暗荆棘软鞭</t>
  </si>
  <si>
    <t>毒荆棘软鞭</t>
  </si>
  <si>
    <t>血荆棘软鞭</t>
  </si>
  <si>
    <t>粗制荆棘软鞭</t>
  </si>
  <si>
    <t>祝福荆棘软鞭</t>
  </si>
  <si>
    <t>游魂荆棘软鞭</t>
  </si>
  <si>
    <t>斑斓鞭</t>
  </si>
  <si>
    <t>艾雷德尔蔷薇</t>
  </si>
  <si>
    <t>护符</t>
  </si>
  <si>
    <t>魔法师杖</t>
  </si>
  <si>
    <t>说书人杖</t>
  </si>
  <si>
    <t>托钵杖</t>
  </si>
  <si>
    <t>蛆人杖</t>
  </si>
  <si>
    <t>大主教的大杖</t>
  </si>
  <si>
    <t>金枝杖枪</t>
  </si>
  <si>
    <t>幽儿希卡圣铃</t>
  </si>
  <si>
    <t>老者结晶杖</t>
  </si>
  <si>
    <t>异端杖</t>
  </si>
  <si>
    <t>宫廷魔法师杖</t>
  </si>
  <si>
    <t>妖树枝条</t>
  </si>
  <si>
    <t>伊札里斯杖</t>
  </si>
  <si>
    <t>圣职圣铃</t>
  </si>
  <si>
    <t>祭司圣铃</t>
  </si>
  <si>
    <t>神木铃草</t>
  </si>
  <si>
    <t>夸特铃铛</t>
  </si>
  <si>
    <t>结晶圣铃</t>
  </si>
  <si>
    <t>太阳护符</t>
  </si>
  <si>
    <t>粗布护符</t>
  </si>
  <si>
    <t>薄暮护符</t>
  </si>
  <si>
    <t>圣女护符</t>
  </si>
  <si>
    <t>白发护符</t>
  </si>
  <si>
    <t>咒术之火</t>
  </si>
  <si>
    <t>咒术送灵火</t>
  </si>
  <si>
    <t>濡湿长柄杖</t>
  </si>
  <si>
    <t>费莲诺尔圣铃</t>
  </si>
  <si>
    <t>说客右臂</t>
  </si>
  <si>
    <t>猎龙大弓</t>
  </si>
  <si>
    <t>短弓</t>
  </si>
  <si>
    <t>复合弓</t>
  </si>
  <si>
    <t>轻弩</t>
  </si>
  <si>
    <t>亚伯里斯</t>
  </si>
  <si>
    <t>长弓</t>
  </si>
  <si>
    <t>龙骑兵弓</t>
  </si>
  <si>
    <t>雅帆琳</t>
  </si>
  <si>
    <t>骑士弩</t>
  </si>
  <si>
    <t>重弩</t>
  </si>
  <si>
    <t>白树弓</t>
  </si>
  <si>
    <t>暗月长弓</t>
  </si>
  <si>
    <t>伐鬼大弓</t>
  </si>
  <si>
    <t>法里斯弓</t>
  </si>
  <si>
    <t>狙击弩</t>
  </si>
  <si>
    <t>米尔伍德大弓</t>
  </si>
  <si>
    <t>连射弩</t>
  </si>
  <si>
    <t>佣兵对刀</t>
  </si>
  <si>
    <t>厚重佣兵对刀</t>
  </si>
  <si>
    <t>锋利佣兵对刀</t>
  </si>
  <si>
    <t>熟练佣兵对刀</t>
  </si>
  <si>
    <t>愚人佣兵对刀</t>
  </si>
  <si>
    <t>结晶佣兵对刀</t>
  </si>
  <si>
    <t>火焰佣兵对刀</t>
  </si>
  <si>
    <t>混沌佣兵对刀</t>
  </si>
  <si>
    <t>雷电佣兵对刀</t>
  </si>
  <si>
    <t>幽邃佣兵对刀</t>
  </si>
  <si>
    <t>暗佣兵对刀</t>
  </si>
  <si>
    <t>毒佣兵对刀</t>
  </si>
  <si>
    <t>血佣兵对刀</t>
  </si>
  <si>
    <t>粗制佣兵对刀</t>
  </si>
  <si>
    <t>祝福佣兵对刀</t>
  </si>
  <si>
    <t>游魂佣兵对刀</t>
  </si>
  <si>
    <t>守墓人对刀</t>
  </si>
  <si>
    <t>厚重守墓人对刀</t>
  </si>
  <si>
    <t>锋利守墓人对刀</t>
  </si>
  <si>
    <t>熟练守墓人对刀</t>
  </si>
  <si>
    <t>愚人守墓人对刀</t>
  </si>
  <si>
    <t>结晶守墓人对刀</t>
  </si>
  <si>
    <t>火焰守墓人对刀</t>
  </si>
  <si>
    <t>混沌守墓人对刀</t>
  </si>
  <si>
    <t>雷电守墓人对刀</t>
  </si>
  <si>
    <t>幽邃守墓人对刀</t>
  </si>
  <si>
    <t>暗守墓人对刀</t>
  </si>
  <si>
    <t>毒守墓人对刀</t>
  </si>
  <si>
    <t>血守墓人对刀</t>
  </si>
  <si>
    <t>粗制守墓人对刀</t>
  </si>
  <si>
    <t>祝福守墓人对刀</t>
  </si>
  <si>
    <t>游魂守墓人对刀</t>
  </si>
  <si>
    <t>羽翼骑士断头斧</t>
  </si>
  <si>
    <t>厚重羽翼骑士断头斧</t>
  </si>
  <si>
    <t>锋利羽翼骑士断头斧</t>
  </si>
  <si>
    <t>熟练羽翼骑士断头斧</t>
  </si>
  <si>
    <t>愚人羽翼骑士断头斧</t>
  </si>
  <si>
    <t>结晶羽翼骑士断头斧</t>
  </si>
  <si>
    <t>火焰羽翼骑士断头斧</t>
  </si>
  <si>
    <t>混沌羽翼骑士断头斧</t>
  </si>
  <si>
    <t>雷电羽翼骑士断头斧</t>
  </si>
  <si>
    <t>幽邃羽翼骑士断头斧</t>
  </si>
  <si>
    <t>暗羽翼骑士断头斧</t>
  </si>
  <si>
    <t>毒羽翼骑士断头斧</t>
  </si>
  <si>
    <t>血羽翼骑士断头斧</t>
  </si>
  <si>
    <t>粗制羽翼骑士断头斧</t>
  </si>
  <si>
    <t>祝福羽翼骑士断头斧</t>
  </si>
  <si>
    <t>游魂羽翼骑士断头斧</t>
  </si>
  <si>
    <t>成对舞娘魔剑</t>
  </si>
  <si>
    <t>大柴刀</t>
  </si>
  <si>
    <t>厚重大柴刀</t>
  </si>
  <si>
    <t>锋利大柴刀</t>
  </si>
  <si>
    <t>熟练大柴刀</t>
  </si>
  <si>
    <t>愚人大柴刀</t>
  </si>
  <si>
    <t>结晶大柴刀</t>
  </si>
  <si>
    <t>火焰大柴刀</t>
  </si>
  <si>
    <t>混沌大柴刀</t>
  </si>
  <si>
    <t>雷电大柴刀</t>
  </si>
  <si>
    <t>幽邃大柴刀</t>
  </si>
  <si>
    <t>暗大柴刀</t>
  </si>
  <si>
    <t>毒大柴刀</t>
  </si>
  <si>
    <t>血大柴刀</t>
  </si>
  <si>
    <t>粗制大柴刀</t>
  </si>
  <si>
    <t>祝福大柴刀</t>
  </si>
  <si>
    <t>游魂大柴刀</t>
  </si>
  <si>
    <t>成对山贼短刀</t>
  </si>
  <si>
    <t>厚重成对山贼短刀</t>
  </si>
  <si>
    <t>锋利成对山贼短刀</t>
  </si>
  <si>
    <t>熟练成对山贼短刀</t>
  </si>
  <si>
    <t>愚人成对山贼短刀</t>
  </si>
  <si>
    <t>结晶成对山贼短刀</t>
  </si>
  <si>
    <t>火焰成对山贼短刀</t>
  </si>
  <si>
    <t>混沌成对山贼短刀</t>
  </si>
  <si>
    <t>雷电成对山贼短刀</t>
  </si>
  <si>
    <t>幽邃成对山贼短刀</t>
  </si>
  <si>
    <t>暗成对山贼短刀</t>
  </si>
  <si>
    <t>毒成对山贼短刀</t>
  </si>
  <si>
    <t>血成对山贼短刀</t>
  </si>
  <si>
    <t>粗制成对山贼短刀</t>
  </si>
  <si>
    <t>祝福成对山贼短刀</t>
  </si>
  <si>
    <t>游魂成对山贼短刀</t>
  </si>
  <si>
    <t>歌德希尔特对剑</t>
  </si>
  <si>
    <t>厚重歌德希尔特对剑</t>
  </si>
  <si>
    <t>锋利歌德希尔特对剑</t>
  </si>
  <si>
    <t>熟练歌德希尔特对剑</t>
  </si>
  <si>
    <t>愚人歌德希尔特对剑</t>
  </si>
  <si>
    <t>结晶歌德希尔特对剑</t>
  </si>
  <si>
    <t>火焰歌德希尔特对剑</t>
  </si>
  <si>
    <t>混沌歌德希尔特对剑</t>
  </si>
  <si>
    <t>雷电歌德希尔特对剑</t>
  </si>
  <si>
    <t>幽邃歌德希尔特对剑</t>
  </si>
  <si>
    <t>暗歌德希尔特对剑</t>
  </si>
  <si>
    <t>毒歌德希尔特对剑</t>
  </si>
  <si>
    <t>血歌德希尔特对剑</t>
  </si>
  <si>
    <t>粗制歌德希尔特对剑</t>
  </si>
  <si>
    <t>祝福歌德希尔特对剑</t>
  </si>
  <si>
    <t>游魂歌德希尔特对剑</t>
  </si>
  <si>
    <t>鬼切与姥断</t>
  </si>
  <si>
    <t>厚重鬼切与姥断</t>
  </si>
  <si>
    <t>锋利鬼切与姥断</t>
  </si>
  <si>
    <t>熟练鬼切与姥断</t>
  </si>
  <si>
    <t>愚人鬼切与姥断</t>
  </si>
  <si>
    <t>结晶鬼切与姥断</t>
  </si>
  <si>
    <t>火焰鬼切与姥断</t>
  </si>
  <si>
    <t>混沌鬼切与姥断</t>
  </si>
  <si>
    <t>雷电鬼切与姥断</t>
  </si>
  <si>
    <t>幽邃鬼切与姥断</t>
  </si>
  <si>
    <t>暗鬼切与姥断</t>
  </si>
  <si>
    <t>毒鬼切与姥断</t>
  </si>
  <si>
    <t>血鬼切与姥断</t>
  </si>
  <si>
    <t>粗制鬼切与姥断</t>
  </si>
  <si>
    <t>祝福鬼切与姥断</t>
  </si>
  <si>
    <t>游魂鬼切与姥断</t>
  </si>
  <si>
    <t>多兰对枪</t>
  </si>
  <si>
    <t>厚重多兰对枪</t>
  </si>
  <si>
    <t>锋利多兰对枪</t>
  </si>
  <si>
    <t>熟练多兰对枪</t>
  </si>
  <si>
    <t>愚人多兰对枪</t>
  </si>
  <si>
    <t>结晶多兰对枪</t>
  </si>
  <si>
    <t>火焰多兰对枪</t>
  </si>
  <si>
    <t>混沌多兰对枪</t>
  </si>
  <si>
    <t>雷电多兰对枪</t>
  </si>
  <si>
    <t>幽邃多兰对枪</t>
  </si>
  <si>
    <t>暗多兰对枪</t>
  </si>
  <si>
    <t>毒多兰对枪</t>
  </si>
  <si>
    <t>血多兰对枪</t>
  </si>
  <si>
    <t>粗制多兰对枪</t>
  </si>
  <si>
    <t>祝福多兰对枪</t>
  </si>
  <si>
    <t>游魂多兰对枪</t>
  </si>
  <si>
    <t>大门盾</t>
  </si>
  <si>
    <t>厚重大门盾</t>
  </si>
  <si>
    <t>锋利大门盾</t>
  </si>
  <si>
    <t>熟练大门盾</t>
  </si>
  <si>
    <t>愚人大门盾</t>
  </si>
  <si>
    <t>结晶大门盾</t>
  </si>
  <si>
    <t>火焰大门盾</t>
  </si>
  <si>
    <t>混沌大门盾</t>
  </si>
  <si>
    <t>雷电大门盾</t>
  </si>
  <si>
    <t>幽邃大门盾</t>
  </si>
  <si>
    <t>暗大门盾</t>
  </si>
  <si>
    <t>毒大门盾</t>
  </si>
  <si>
    <t>血大门盾</t>
  </si>
  <si>
    <t>粗制大门盾</t>
  </si>
  <si>
    <t>祝福大门盾</t>
  </si>
  <si>
    <t>游魂大门盾</t>
  </si>
  <si>
    <t>多兰对槌</t>
  </si>
  <si>
    <t>厚重多兰对槌</t>
  </si>
  <si>
    <t>锋利多兰对槌</t>
  </si>
  <si>
    <t>熟练多兰对槌</t>
  </si>
  <si>
    <t>愚人多兰对槌</t>
  </si>
  <si>
    <t>结晶多兰对槌</t>
  </si>
  <si>
    <t>火焰多兰对槌</t>
  </si>
  <si>
    <t>混沌多兰对槌</t>
  </si>
  <si>
    <t>雷电多兰对槌</t>
  </si>
  <si>
    <t>幽邃多兰对槌</t>
  </si>
  <si>
    <t>暗多兰对槌</t>
  </si>
  <si>
    <t>毒多兰对槌</t>
  </si>
  <si>
    <t>血多兰对槌</t>
  </si>
  <si>
    <t>粗制多兰对槌</t>
  </si>
  <si>
    <t>祝福多兰对槌</t>
  </si>
  <si>
    <t>游魂多兰对槌</t>
  </si>
  <si>
    <t>果敢心</t>
  </si>
  <si>
    <t>鸦羽</t>
  </si>
  <si>
    <t>厚重鸦羽</t>
  </si>
  <si>
    <t>锋利鸦羽</t>
  </si>
  <si>
    <t>熟练鸦羽</t>
  </si>
  <si>
    <t>愚人鸦羽</t>
  </si>
  <si>
    <t>结晶鸦羽</t>
  </si>
  <si>
    <t>火焰鸦羽</t>
  </si>
  <si>
    <t>混沌鸦羽</t>
  </si>
  <si>
    <t>雷电鸦羽</t>
  </si>
  <si>
    <t>幽邃鸦羽</t>
  </si>
  <si>
    <t>暗鸦羽</t>
  </si>
  <si>
    <t>毒鸦羽</t>
  </si>
  <si>
    <t>血鸦羽</t>
  </si>
  <si>
    <t>粗制鸦羽</t>
  </si>
  <si>
    <t>祝福鸦羽</t>
  </si>
  <si>
    <t>游魂鸦羽</t>
  </si>
  <si>
    <t>环印骑士成对大剑</t>
  </si>
  <si>
    <t>小圆盾</t>
  </si>
  <si>
    <t>厚重小圆盾</t>
  </si>
  <si>
    <t>锋利小圆盾</t>
  </si>
  <si>
    <t>熟练小圆盾</t>
  </si>
  <si>
    <t>愚人小圆盾</t>
  </si>
  <si>
    <t>结晶小圆盾</t>
  </si>
  <si>
    <t>火焰小圆盾</t>
  </si>
  <si>
    <t>混沌小圆盾</t>
  </si>
  <si>
    <t>雷电小圆盾</t>
  </si>
  <si>
    <t>幽邃小圆盾</t>
  </si>
  <si>
    <t>暗小圆盾</t>
  </si>
  <si>
    <t>毒小圆盾</t>
  </si>
  <si>
    <t>血小圆盾</t>
  </si>
  <si>
    <t>粗制小圆盾</t>
  </si>
  <si>
    <t>祝福小圆盾</t>
  </si>
  <si>
    <t>游魂小圆盾</t>
  </si>
  <si>
    <t>小皮盾</t>
  </si>
  <si>
    <t>厚重小皮盾</t>
  </si>
  <si>
    <t>锋利小皮盾</t>
  </si>
  <si>
    <t>熟练小皮盾</t>
  </si>
  <si>
    <t>愚人小皮盾</t>
  </si>
  <si>
    <t>结晶小皮盾</t>
  </si>
  <si>
    <t>火焰小皮盾</t>
  </si>
  <si>
    <t>混沌小皮盾</t>
  </si>
  <si>
    <t>雷电小皮盾</t>
  </si>
  <si>
    <t>幽邃小皮盾</t>
  </si>
  <si>
    <t>暗小皮盾</t>
  </si>
  <si>
    <t>毒小皮盾</t>
  </si>
  <si>
    <t>血小皮盾</t>
  </si>
  <si>
    <t>粗制小皮盾</t>
  </si>
  <si>
    <t>祝福小皮盾</t>
  </si>
  <si>
    <t>游魂小皮盾</t>
  </si>
  <si>
    <t>圆盾</t>
  </si>
  <si>
    <t>厚重圆盾</t>
  </si>
  <si>
    <t>锋利圆盾</t>
  </si>
  <si>
    <t>熟练圆盾</t>
  </si>
  <si>
    <t>愚人圆盾</t>
  </si>
  <si>
    <t>结晶圆盾</t>
  </si>
  <si>
    <t>火焰圆盾</t>
  </si>
  <si>
    <t>混沌圆盾</t>
  </si>
  <si>
    <t>雷电圆盾</t>
  </si>
  <si>
    <t>幽邃圆盾</t>
  </si>
  <si>
    <t>暗圆盾</t>
  </si>
  <si>
    <t>毒圆盾</t>
  </si>
  <si>
    <t>血圆盾</t>
  </si>
  <si>
    <t>粗制圆盾</t>
  </si>
  <si>
    <t>祝福圆盾</t>
  </si>
  <si>
    <t>游魂圆盾</t>
  </si>
  <si>
    <t>大皮盾</t>
  </si>
  <si>
    <t>厚重大皮盾</t>
  </si>
  <si>
    <t>锋利大皮盾</t>
  </si>
  <si>
    <t>熟练大皮盾</t>
  </si>
  <si>
    <t>愚人大皮盾</t>
  </si>
  <si>
    <t>结晶大皮盾</t>
  </si>
  <si>
    <t>火焰大皮盾</t>
  </si>
  <si>
    <t>混沌大皮盾</t>
  </si>
  <si>
    <t>雷电大皮盾</t>
  </si>
  <si>
    <t>幽邃大皮盾</t>
  </si>
  <si>
    <t>暗大皮盾</t>
  </si>
  <si>
    <t>毒大皮盾</t>
  </si>
  <si>
    <t>血大皮盾</t>
  </si>
  <si>
    <t>粗制大皮盾</t>
  </si>
  <si>
    <t>祝福大皮盾</t>
  </si>
  <si>
    <t>游魂大皮盾</t>
  </si>
  <si>
    <t>霍克伍德盾</t>
  </si>
  <si>
    <t>厚重霍克伍德盾</t>
  </si>
  <si>
    <t>锋利霍克伍德盾</t>
  </si>
  <si>
    <t>熟练霍克伍德盾</t>
  </si>
  <si>
    <t>愚人霍克伍德盾</t>
  </si>
  <si>
    <t>结晶霍克伍德盾</t>
  </si>
  <si>
    <t>火焰霍克伍德盾</t>
  </si>
  <si>
    <t>混沌霍克伍德盾</t>
  </si>
  <si>
    <t>雷电霍克伍德盾</t>
  </si>
  <si>
    <t>幽邃霍克伍德盾</t>
  </si>
  <si>
    <t>暗霍克伍德盾</t>
  </si>
  <si>
    <t>毒霍克伍德盾</t>
  </si>
  <si>
    <t>血霍克伍德盾</t>
  </si>
  <si>
    <t>粗制霍克伍德盾</t>
  </si>
  <si>
    <t>祝福霍克伍德盾</t>
  </si>
  <si>
    <t>游魂霍克伍德盾</t>
  </si>
  <si>
    <t>铁圆盾</t>
  </si>
  <si>
    <t>厚重铁圆盾</t>
  </si>
  <si>
    <t>锋利铁圆盾</t>
  </si>
  <si>
    <t>熟练铁圆盾</t>
  </si>
  <si>
    <t>愚人铁圆盾</t>
  </si>
  <si>
    <t>结晶铁圆盾</t>
  </si>
  <si>
    <t>火焰铁圆盾</t>
  </si>
  <si>
    <t>混沌铁圆盾</t>
  </si>
  <si>
    <t>雷电铁圆盾</t>
  </si>
  <si>
    <t>幽邃铁圆盾</t>
  </si>
  <si>
    <t>暗铁圆盾</t>
  </si>
  <si>
    <t>毒铁圆盾</t>
  </si>
  <si>
    <t>血铁圆盾</t>
  </si>
  <si>
    <t>粗制铁圆盾</t>
  </si>
  <si>
    <t>祝福铁圆盾</t>
  </si>
  <si>
    <t>游魂铁圆盾</t>
  </si>
  <si>
    <t>木盾</t>
  </si>
  <si>
    <t>厚重木盾</t>
  </si>
  <si>
    <t>锋利木盾</t>
  </si>
  <si>
    <t>熟练木盾</t>
  </si>
  <si>
    <t>愚人木盾</t>
  </si>
  <si>
    <t>结晶木盾</t>
  </si>
  <si>
    <t>火焰木盾</t>
  </si>
  <si>
    <t>混沌木盾</t>
  </si>
  <si>
    <t>雷电木盾</t>
  </si>
  <si>
    <t>幽邃木盾</t>
  </si>
  <si>
    <t>暗木盾</t>
  </si>
  <si>
    <t>毒木盾</t>
  </si>
  <si>
    <t>血木盾</t>
  </si>
  <si>
    <t>粗制木盾</t>
  </si>
  <si>
    <t>祝福木盾</t>
  </si>
  <si>
    <t>游魂木盾</t>
  </si>
  <si>
    <t>鸢形盾</t>
  </si>
  <si>
    <t>厚重鸢形盾</t>
  </si>
  <si>
    <t>锋利鸢形盾</t>
  </si>
  <si>
    <t>熟练鸢形盾</t>
  </si>
  <si>
    <t>愚人鸢形盾</t>
  </si>
  <si>
    <t>结晶鸢形盾</t>
  </si>
  <si>
    <t>火焰鸢形盾</t>
  </si>
  <si>
    <t>混沌鸢形盾</t>
  </si>
  <si>
    <t>雷电鸢形盾</t>
  </si>
  <si>
    <t>幽邃鸢形盾</t>
  </si>
  <si>
    <t>暗鸢形盾</t>
  </si>
  <si>
    <t>毒鸢形盾</t>
  </si>
  <si>
    <t>血鸢形盾</t>
  </si>
  <si>
    <t>粗制鸢形盾</t>
  </si>
  <si>
    <t>祝福鸢形盾</t>
  </si>
  <si>
    <t>游魂鸢形盾</t>
  </si>
  <si>
    <t>咕鲁腐败盾</t>
  </si>
  <si>
    <t>厚重咕鲁腐败盾</t>
  </si>
  <si>
    <t>锋利咕鲁腐败盾</t>
  </si>
  <si>
    <t>熟练咕鲁腐败盾</t>
  </si>
  <si>
    <t>愚人咕鲁腐败盾</t>
  </si>
  <si>
    <t>结晶咕鲁腐败盾</t>
  </si>
  <si>
    <t>火焰咕鲁腐败盾</t>
  </si>
  <si>
    <t>混沌咕鲁腐败盾</t>
  </si>
  <si>
    <t>雷电咕鲁腐败盾</t>
  </si>
  <si>
    <t>幽邃咕鲁腐败盾</t>
  </si>
  <si>
    <t>暗咕鲁腐败盾</t>
  </si>
  <si>
    <t>毒咕鲁腐败盾</t>
  </si>
  <si>
    <t>血咕鲁腐败盾</t>
  </si>
  <si>
    <t>粗制咕鲁腐败盾</t>
  </si>
  <si>
    <t>祝福咕鲁腐败盾</t>
  </si>
  <si>
    <t>游魂咕鲁腐败盾</t>
  </si>
  <si>
    <t>哈维尔大盾</t>
  </si>
  <si>
    <t>团牌</t>
  </si>
  <si>
    <t>厚重团牌</t>
  </si>
  <si>
    <t>锋利团牌</t>
  </si>
  <si>
    <t>熟练团牌</t>
  </si>
  <si>
    <t>愚人团牌</t>
  </si>
  <si>
    <t>结晶团牌</t>
  </si>
  <si>
    <t>火焰团牌</t>
  </si>
  <si>
    <t>混沌团牌</t>
  </si>
  <si>
    <t>雷电团牌</t>
  </si>
  <si>
    <t>幽邃团牌</t>
  </si>
  <si>
    <t>暗团牌</t>
  </si>
  <si>
    <t>毒团牌</t>
  </si>
  <si>
    <t>血团牌</t>
  </si>
  <si>
    <t>粗制团牌</t>
  </si>
  <si>
    <t>祝福团牌</t>
  </si>
  <si>
    <t>游魂团牌</t>
  </si>
  <si>
    <t>鹿角圆盾</t>
  </si>
  <si>
    <t>厚重鹿角圆盾</t>
  </si>
  <si>
    <t>锋利鹿角圆盾</t>
  </si>
  <si>
    <t>熟练鹿角圆盾</t>
  </si>
  <si>
    <t>愚人鹿角圆盾</t>
  </si>
  <si>
    <t>结晶鹿角圆盾</t>
  </si>
  <si>
    <t>火焰鹿角圆盾</t>
  </si>
  <si>
    <t>混沌鹿角圆盾</t>
  </si>
  <si>
    <t>雷电鹿角圆盾</t>
  </si>
  <si>
    <t>幽邃鹿角圆盾</t>
  </si>
  <si>
    <t>暗鹿角圆盾</t>
  </si>
  <si>
    <t>毒鹿角圆盾</t>
  </si>
  <si>
    <t>血鹿角圆盾</t>
  </si>
  <si>
    <t>粗制鹿角圆盾</t>
  </si>
  <si>
    <t>祝福鹿角圆盾</t>
  </si>
  <si>
    <t>游魂鹿角圆盾</t>
  </si>
  <si>
    <t>战士圆盾</t>
  </si>
  <si>
    <t>厚重战士圆盾</t>
  </si>
  <si>
    <t>锋利战士圆盾</t>
  </si>
  <si>
    <t>熟练战士圆盾</t>
  </si>
  <si>
    <t>愚人战士圆盾</t>
  </si>
  <si>
    <t>结晶战士圆盾</t>
  </si>
  <si>
    <t>火焰战士圆盾</t>
  </si>
  <si>
    <t>混沌战士圆盾</t>
  </si>
  <si>
    <t>雷电战士圆盾</t>
  </si>
  <si>
    <t>幽邃战士圆盾</t>
  </si>
  <si>
    <t>暗战士圆盾</t>
  </si>
  <si>
    <t>毒战士圆盾</t>
  </si>
  <si>
    <t>血战士圆盾</t>
  </si>
  <si>
    <t>粗制战士圆盾</t>
  </si>
  <si>
    <t>祝福战士圆盾</t>
  </si>
  <si>
    <t>游魂战士圆盾</t>
  </si>
  <si>
    <t>孪生蛇纹圆盾</t>
  </si>
  <si>
    <t>厚重孪生蛇纹圆盾</t>
  </si>
  <si>
    <t>锋利孪生蛇纹圆盾</t>
  </si>
  <si>
    <t>熟练孪生蛇纹圆盾</t>
  </si>
  <si>
    <t>愚人孪生蛇纹圆盾</t>
  </si>
  <si>
    <t>结晶孪生蛇纹圆盾</t>
  </si>
  <si>
    <t>火焰孪生蛇纹圆盾</t>
  </si>
  <si>
    <t>混沌孪生蛇纹圆盾</t>
  </si>
  <si>
    <t>雷电孪生蛇纹圆盾</t>
  </si>
  <si>
    <t>幽邃孪生蛇纹圆盾</t>
  </si>
  <si>
    <t>暗孪生蛇纹圆盾</t>
  </si>
  <si>
    <t>毒孪生蛇纹圆盾</t>
  </si>
  <si>
    <t>血孪生蛇纹圆盾</t>
  </si>
  <si>
    <t>粗制孪生蛇纹圆盾</t>
  </si>
  <si>
    <t>祝福孪生蛇纹圆盾</t>
  </si>
  <si>
    <t>游魂孪生蛇纹圆盾</t>
  </si>
  <si>
    <t>红白圆盾</t>
  </si>
  <si>
    <t>厚重红白圆盾</t>
  </si>
  <si>
    <t>锋利红白圆盾</t>
  </si>
  <si>
    <t>熟练红白圆盾</t>
  </si>
  <si>
    <t>愚人红白圆盾</t>
  </si>
  <si>
    <t>结晶红白圆盾</t>
  </si>
  <si>
    <t>火焰红白圆盾</t>
  </si>
  <si>
    <t>混沌红白圆盾</t>
  </si>
  <si>
    <t>雷电红白圆盾</t>
  </si>
  <si>
    <t>幽邃红白圆盾</t>
  </si>
  <si>
    <t>暗红白圆盾</t>
  </si>
  <si>
    <t>毒红白圆盾</t>
  </si>
  <si>
    <t>血红白圆盾</t>
  </si>
  <si>
    <t>粗制红白圆盾</t>
  </si>
  <si>
    <t>祝福红白圆盾</t>
  </si>
  <si>
    <t>游魂红白圆盾</t>
  </si>
  <si>
    <t>木板盾</t>
  </si>
  <si>
    <t>厚重木板盾</t>
  </si>
  <si>
    <t>锋利木板盾</t>
  </si>
  <si>
    <t>熟练木板盾</t>
  </si>
  <si>
    <t>愚人木板盾</t>
  </si>
  <si>
    <t>结晶木板盾</t>
  </si>
  <si>
    <t>火焰木板盾</t>
  </si>
  <si>
    <t>混沌木板盾</t>
  </si>
  <si>
    <t>雷电木板盾</t>
  </si>
  <si>
    <t>幽邃木板盾</t>
  </si>
  <si>
    <t>暗木板盾</t>
  </si>
  <si>
    <t>毒木板盾</t>
  </si>
  <si>
    <t>血木板盾</t>
  </si>
  <si>
    <t>粗制木板盾</t>
  </si>
  <si>
    <t>祝福木板盾</t>
  </si>
  <si>
    <t>游魂木板盾</t>
  </si>
  <si>
    <t>皮盾</t>
  </si>
  <si>
    <t>厚重皮盾</t>
  </si>
  <si>
    <t>锋利皮盾</t>
  </si>
  <si>
    <t>熟练皮盾</t>
  </si>
  <si>
    <t>愚人皮盾</t>
  </si>
  <si>
    <t>结晶皮盾</t>
  </si>
  <si>
    <t>火焰皮盾</t>
  </si>
  <si>
    <t>混沌皮盾</t>
  </si>
  <si>
    <t>雷电皮盾</t>
  </si>
  <si>
    <t>幽邃皮盾</t>
  </si>
  <si>
    <t>暗皮盾</t>
  </si>
  <si>
    <t>毒皮盾</t>
  </si>
  <si>
    <t>血皮盾</t>
  </si>
  <si>
    <t>粗制皮盾</t>
  </si>
  <si>
    <t>祝福皮盾</t>
  </si>
  <si>
    <t>游魂皮盾</t>
  </si>
  <si>
    <t>红圆盾</t>
  </si>
  <si>
    <t>厚重红圆盾</t>
  </si>
  <si>
    <t>锋利红圆盾</t>
  </si>
  <si>
    <t>熟练红圆盾</t>
  </si>
  <si>
    <t>愚人红圆盾</t>
  </si>
  <si>
    <t>结晶红圆盾</t>
  </si>
  <si>
    <t>火焰红圆盾</t>
  </si>
  <si>
    <t>混沌红圆盾</t>
  </si>
  <si>
    <t>雷电红圆盾</t>
  </si>
  <si>
    <t>幽邃红圆盾</t>
  </si>
  <si>
    <t>暗红圆盾</t>
  </si>
  <si>
    <t>毒红圆盾</t>
  </si>
  <si>
    <t>血红圆盾</t>
  </si>
  <si>
    <t>粗制红圆盾</t>
  </si>
  <si>
    <t>祝福红圆盾</t>
  </si>
  <si>
    <t>游魂红圆盾</t>
  </si>
  <si>
    <t>东方铁盾</t>
  </si>
  <si>
    <t>厚重东方铁盾</t>
  </si>
  <si>
    <t>锋利东方铁盾</t>
  </si>
  <si>
    <t>熟练东方铁盾</t>
  </si>
  <si>
    <t>愚人东方铁盾</t>
  </si>
  <si>
    <t>结晶东方铁盾</t>
  </si>
  <si>
    <t>火焰东方铁盾</t>
  </si>
  <si>
    <t>混沌东方铁盾</t>
  </si>
  <si>
    <t>雷电东方铁盾</t>
  </si>
  <si>
    <t>幽邃东方铁盾</t>
  </si>
  <si>
    <t>暗东方铁盾</t>
  </si>
  <si>
    <t>毒东方铁盾</t>
  </si>
  <si>
    <t>血东方铁盾</t>
  </si>
  <si>
    <t>粗制东方铁盾</t>
  </si>
  <si>
    <t>祝福东方铁盾</t>
  </si>
  <si>
    <t>游魂东方铁盾</t>
  </si>
  <si>
    <t>林德盾</t>
  </si>
  <si>
    <t>厚重林德盾</t>
  </si>
  <si>
    <t>锋利林德盾</t>
  </si>
  <si>
    <t>熟练林德盾</t>
  </si>
  <si>
    <t>愚人林德盾</t>
  </si>
  <si>
    <t>结晶林德盾</t>
  </si>
  <si>
    <t>火焰林德盾</t>
  </si>
  <si>
    <t>混沌林德盾</t>
  </si>
  <si>
    <t>雷电林德盾</t>
  </si>
  <si>
    <t>幽邃林德盾</t>
  </si>
  <si>
    <t>暗林德盾</t>
  </si>
  <si>
    <t>毒林德盾</t>
  </si>
  <si>
    <t>血林德盾</t>
  </si>
  <si>
    <t>粗制林德盾</t>
  </si>
  <si>
    <t>祝福林德盾</t>
  </si>
  <si>
    <t>游魂林德盾</t>
  </si>
  <si>
    <t>金鹰小盾</t>
  </si>
  <si>
    <t>厚重金鹰小盾</t>
  </si>
  <si>
    <t>锋利金鹰小盾</t>
  </si>
  <si>
    <t>熟练金鹰小盾</t>
  </si>
  <si>
    <t>愚人金鹰小盾</t>
  </si>
  <si>
    <t>结晶金鹰小盾</t>
  </si>
  <si>
    <t>火焰金鹰小盾</t>
  </si>
  <si>
    <t>混沌金鹰小盾</t>
  </si>
  <si>
    <t>雷电金鹰小盾</t>
  </si>
  <si>
    <t>幽邃金鹰小盾</t>
  </si>
  <si>
    <t>暗金鹰小盾</t>
  </si>
  <si>
    <t>毒金鹰小盾</t>
  </si>
  <si>
    <t>血金鹰小盾</t>
  </si>
  <si>
    <t>粗制金鹰小盾</t>
  </si>
  <si>
    <t>祝福金鹰小盾</t>
  </si>
  <si>
    <t>游魂金鹰小盾</t>
  </si>
  <si>
    <t>圣花盾</t>
  </si>
  <si>
    <t>古龙绘大盾</t>
  </si>
  <si>
    <t>幽魂盾</t>
  </si>
  <si>
    <t>厚重幽魂盾</t>
  </si>
  <si>
    <t>锋利幽魂盾</t>
  </si>
  <si>
    <t>熟练幽魂盾</t>
  </si>
  <si>
    <t>愚人幽魂盾</t>
  </si>
  <si>
    <t>结晶幽魂盾</t>
  </si>
  <si>
    <t>火焰幽魂盾</t>
  </si>
  <si>
    <t>混沌幽魂盾</t>
  </si>
  <si>
    <t>雷电幽魂盾</t>
  </si>
  <si>
    <t>幽邃幽魂盾</t>
  </si>
  <si>
    <t>暗幽魂盾</t>
  </si>
  <si>
    <t>毒幽魂盾</t>
  </si>
  <si>
    <t>血幽魂盾</t>
  </si>
  <si>
    <t>粗制幽魂盾</t>
  </si>
  <si>
    <t>祝福幽魂盾</t>
  </si>
  <si>
    <t>游魂幽魂盾</t>
  </si>
  <si>
    <t>龙头盾</t>
  </si>
  <si>
    <t>洛斯里克骑士盾</t>
  </si>
  <si>
    <t>厚重洛斯里克骑士盾</t>
  </si>
  <si>
    <t>锋利洛斯里克骑士盾</t>
  </si>
  <si>
    <t>熟练洛斯里克骑士盾</t>
  </si>
  <si>
    <t>愚人洛斯里克骑士盾</t>
  </si>
  <si>
    <t>结晶洛斯里克骑士盾</t>
  </si>
  <si>
    <t>火焰洛斯里克骑士盾</t>
  </si>
  <si>
    <t>混沌洛斯里克骑士盾</t>
  </si>
  <si>
    <t>雷电洛斯里克骑士盾</t>
  </si>
  <si>
    <t>幽邃洛斯里克骑士盾</t>
  </si>
  <si>
    <t>暗洛斯里克骑士盾</t>
  </si>
  <si>
    <t>毒洛斯里克骑士盾</t>
  </si>
  <si>
    <t>血洛斯里克骑士盾</t>
  </si>
  <si>
    <t>粗制洛斯里克骑士盾</t>
  </si>
  <si>
    <t>祝福洛斯里克骑士盾</t>
  </si>
  <si>
    <t>游魂洛斯里克骑士盾</t>
  </si>
  <si>
    <t>骑士盾</t>
  </si>
  <si>
    <t>厚重骑士盾</t>
  </si>
  <si>
    <t>锋利骑士盾</t>
  </si>
  <si>
    <t>熟练骑士盾</t>
  </si>
  <si>
    <t>愚人骑士盾</t>
  </si>
  <si>
    <t>结晶骑士盾</t>
  </si>
  <si>
    <t>火焰骑士盾</t>
  </si>
  <si>
    <t>混沌骑士盾</t>
  </si>
  <si>
    <t>雷电骑士盾</t>
  </si>
  <si>
    <t>幽邃骑士盾</t>
  </si>
  <si>
    <t>暗骑士盾</t>
  </si>
  <si>
    <t>毒骑士盾</t>
  </si>
  <si>
    <t>血骑士盾</t>
  </si>
  <si>
    <t>粗制骑士盾</t>
  </si>
  <si>
    <t>祝福骑士盾</t>
  </si>
  <si>
    <t>游魂骑士盾</t>
  </si>
  <si>
    <t>教宗骑士盾</t>
  </si>
  <si>
    <t>卡萨斯盾</t>
  </si>
  <si>
    <t>厚重卡萨斯盾</t>
  </si>
  <si>
    <t>锋利卡萨斯盾</t>
  </si>
  <si>
    <t>熟练卡萨斯盾</t>
  </si>
  <si>
    <t>愚人卡萨斯盾</t>
  </si>
  <si>
    <t>结晶卡萨斯盾</t>
  </si>
  <si>
    <t>火焰卡萨斯盾</t>
  </si>
  <si>
    <t>混沌卡萨斯盾</t>
  </si>
  <si>
    <t>雷电卡萨斯盾</t>
  </si>
  <si>
    <t>幽邃卡萨斯盾</t>
  </si>
  <si>
    <t>暗卡萨斯盾</t>
  </si>
  <si>
    <t>毒卡萨斯盾</t>
  </si>
  <si>
    <t>血卡萨斯盾</t>
  </si>
  <si>
    <t>粗制卡萨斯盾</t>
  </si>
  <si>
    <t>祝福卡萨斯盾</t>
  </si>
  <si>
    <t>游魂卡萨斯盾</t>
  </si>
  <si>
    <t>黑骑士盾</t>
  </si>
  <si>
    <t>银骑士盾</t>
  </si>
  <si>
    <t>刺针盾</t>
  </si>
  <si>
    <t>厚重刺针盾</t>
  </si>
  <si>
    <t>锋利刺针盾</t>
  </si>
  <si>
    <t>熟练刺针盾</t>
  </si>
  <si>
    <t>愚人刺针盾</t>
  </si>
  <si>
    <t>结晶刺针盾</t>
  </si>
  <si>
    <t>火焰刺针盾</t>
  </si>
  <si>
    <t>混沌刺针盾</t>
  </si>
  <si>
    <t>雷电刺针盾</t>
  </si>
  <si>
    <t>幽邃刺针盾</t>
  </si>
  <si>
    <t>暗刺针盾</t>
  </si>
  <si>
    <t>毒刺针盾</t>
  </si>
  <si>
    <t>血刺针盾</t>
  </si>
  <si>
    <t>粗制刺针盾</t>
  </si>
  <si>
    <t>祝福刺针盾</t>
  </si>
  <si>
    <t>游魂刺针盾</t>
  </si>
  <si>
    <t>突刺盾</t>
  </si>
  <si>
    <t>厚重突刺盾</t>
  </si>
  <si>
    <t>锋利突刺盾</t>
  </si>
  <si>
    <t>熟练突刺盾</t>
  </si>
  <si>
    <t>愚人突刺盾</t>
  </si>
  <si>
    <t>结晶突刺盾</t>
  </si>
  <si>
    <t>火焰突刺盾</t>
  </si>
  <si>
    <t>混沌突刺盾</t>
  </si>
  <si>
    <t>雷电突刺盾</t>
  </si>
  <si>
    <t>幽邃突刺盾</t>
  </si>
  <si>
    <t>暗突刺盾</t>
  </si>
  <si>
    <t>毒突刺盾</t>
  </si>
  <si>
    <t>血突刺盾</t>
  </si>
  <si>
    <t>粗制突刺盾</t>
  </si>
  <si>
    <t>祝福突刺盾</t>
  </si>
  <si>
    <t>游魂突刺盾</t>
  </si>
  <si>
    <t>双鸟纹木盾</t>
  </si>
  <si>
    <t>厚重双鸟纹木盾</t>
  </si>
  <si>
    <t>锋利双鸟纹木盾</t>
  </si>
  <si>
    <t>熟练双鸟纹木盾</t>
  </si>
  <si>
    <t>愚人双鸟纹木盾</t>
  </si>
  <si>
    <t>结晶双鸟纹木盾</t>
  </si>
  <si>
    <t>火焰双鸟纹木盾</t>
  </si>
  <si>
    <t>混沌双鸟纹木盾</t>
  </si>
  <si>
    <t>雷电双鸟纹木盾</t>
  </si>
  <si>
    <t>幽邃双鸟纹木盾</t>
  </si>
  <si>
    <t>暗双鸟纹木盾</t>
  </si>
  <si>
    <t>毒双鸟纹木盾</t>
  </si>
  <si>
    <t>血双鸟纹木盾</t>
  </si>
  <si>
    <t>粗制双鸟纹木盾</t>
  </si>
  <si>
    <t>祝福双鸟纹木盾</t>
  </si>
  <si>
    <t>游魂双鸟纹木盾</t>
  </si>
  <si>
    <t>太阳纹盾</t>
  </si>
  <si>
    <t>厚重太阳纹盾</t>
  </si>
  <si>
    <t>锋利太阳纹盾</t>
  </si>
  <si>
    <t>熟练太阳纹盾</t>
  </si>
  <si>
    <t>愚人太阳纹盾</t>
  </si>
  <si>
    <t>结晶太阳纹盾</t>
  </si>
  <si>
    <t>火焰太阳纹盾</t>
  </si>
  <si>
    <t>混沌太阳纹盾</t>
  </si>
  <si>
    <t>雷电太阳纹盾</t>
  </si>
  <si>
    <t>幽邃太阳纹盾</t>
  </si>
  <si>
    <t>暗太阳纹盾</t>
  </si>
  <si>
    <t>毒太阳纹盾</t>
  </si>
  <si>
    <t>血太阳纹盾</t>
  </si>
  <si>
    <t>粗制太阳纹盾</t>
  </si>
  <si>
    <t>祝福太阳纹盾</t>
  </si>
  <si>
    <t>游魂太阳纹盾</t>
  </si>
  <si>
    <t>图纹盾</t>
  </si>
  <si>
    <t>龙图纹盾</t>
  </si>
  <si>
    <t>蜘蛛纹盾</t>
  </si>
  <si>
    <t>厚重蜘蛛纹盾</t>
  </si>
  <si>
    <t>锋利蜘蛛纹盾</t>
  </si>
  <si>
    <t>熟练蜘蛛纹盾</t>
  </si>
  <si>
    <t>愚人蜘蛛纹盾</t>
  </si>
  <si>
    <t>结晶蜘蛛纹盾</t>
  </si>
  <si>
    <t>火焰蜘蛛纹盾</t>
  </si>
  <si>
    <t>混沌蜘蛛纹盾</t>
  </si>
  <si>
    <t>雷电蜘蛛纹盾</t>
  </si>
  <si>
    <t>幽邃蜘蛛纹盾</t>
  </si>
  <si>
    <t>暗蜘蛛纹盾</t>
  </si>
  <si>
    <t>毒蜘蛛纹盾</t>
  </si>
  <si>
    <t>血蜘蛛纹盾</t>
  </si>
  <si>
    <t>粗制蜘蛛纹盾</t>
  </si>
  <si>
    <t>祝福蜘蛛纹盾</t>
  </si>
  <si>
    <t>游魂蜘蛛纹盾</t>
  </si>
  <si>
    <t>草纹盾</t>
  </si>
  <si>
    <t>黄昏盾</t>
  </si>
  <si>
    <t>厚重黄昏盾</t>
  </si>
  <si>
    <t>锋利黄昏盾</t>
  </si>
  <si>
    <t>熟练黄昏盾</t>
  </si>
  <si>
    <t>愚人黄昏盾</t>
  </si>
  <si>
    <t>结晶黄昏盾</t>
  </si>
  <si>
    <t>火焰黄昏盾</t>
  </si>
  <si>
    <t>混沌黄昏盾</t>
  </si>
  <si>
    <t>雷电黄昏盾</t>
  </si>
  <si>
    <t>幽邃黄昏盾</t>
  </si>
  <si>
    <t>暗黄昏盾</t>
  </si>
  <si>
    <t>毒黄昏盾</t>
  </si>
  <si>
    <t>血黄昏盾</t>
  </si>
  <si>
    <t>粗制黄昏盾</t>
  </si>
  <si>
    <t>祝福黄昏盾</t>
  </si>
  <si>
    <t>游魂黄昏盾</t>
  </si>
  <si>
    <t>金翼图纹盾</t>
  </si>
  <si>
    <t>蓝木盾</t>
  </si>
  <si>
    <t>厚重蓝木盾</t>
  </si>
  <si>
    <t>锋利蓝木盾</t>
  </si>
  <si>
    <t>熟练蓝木盾</t>
  </si>
  <si>
    <t>愚人蓝木盾</t>
  </si>
  <si>
    <t>结晶蓝木盾</t>
  </si>
  <si>
    <t>火焰蓝木盾</t>
  </si>
  <si>
    <t>混沌蓝木盾</t>
  </si>
  <si>
    <t>雷电蓝木盾</t>
  </si>
  <si>
    <t>幽邃蓝木盾</t>
  </si>
  <si>
    <t>暗蓝木盾</t>
  </si>
  <si>
    <t>毒蓝木盾</t>
  </si>
  <si>
    <t>血蓝木盾</t>
  </si>
  <si>
    <t>粗制蓝木盾</t>
  </si>
  <si>
    <t>祝福蓝木盾</t>
  </si>
  <si>
    <t>游魂蓝木盾</t>
  </si>
  <si>
    <t>银鹫鸢形盾</t>
  </si>
  <si>
    <t>厚重银鹫鸢形盾</t>
  </si>
  <si>
    <t>锋利银鹫鸢形盾</t>
  </si>
  <si>
    <t>熟练银鹫鸢形盾</t>
  </si>
  <si>
    <t>愚人银鹫鸢形盾</t>
  </si>
  <si>
    <t>结晶银鹫鸢形盾</t>
  </si>
  <si>
    <t>火焰银鹫鸢形盾</t>
  </si>
  <si>
    <t>混沌银鹫鸢形盾</t>
  </si>
  <si>
    <t>雷电银鹫鸢形盾</t>
  </si>
  <si>
    <t>幽邃银鹫鸢形盾</t>
  </si>
  <si>
    <t>暗银鹫鸢形盾</t>
  </si>
  <si>
    <t>毒银鹫鸢形盾</t>
  </si>
  <si>
    <t>血银鹫鸢形盾</t>
  </si>
  <si>
    <t>粗制银鹫鸢形盾</t>
  </si>
  <si>
    <t>祝福银鹫鸢形盾</t>
  </si>
  <si>
    <t>游魂银鹫鸢形盾</t>
  </si>
  <si>
    <t>石像圆盾</t>
  </si>
  <si>
    <t>厚重石像圆盾</t>
  </si>
  <si>
    <t>锋利石像圆盾</t>
  </si>
  <si>
    <t>熟练石像圆盾</t>
  </si>
  <si>
    <t>愚人石像圆盾</t>
  </si>
  <si>
    <t>结晶石像圆盾</t>
  </si>
  <si>
    <t>火焰石像圆盾</t>
  </si>
  <si>
    <t>混沌石像圆盾</t>
  </si>
  <si>
    <t>雷电石像圆盾</t>
  </si>
  <si>
    <t>幽邃石像圆盾</t>
  </si>
  <si>
    <t>暗石像圆盾</t>
  </si>
  <si>
    <t>毒石像圆盾</t>
  </si>
  <si>
    <t>血石像圆盾</t>
  </si>
  <si>
    <t>粗制石像圆盾</t>
  </si>
  <si>
    <t>祝福石像圆盾</t>
  </si>
  <si>
    <t>游魂石像圆盾</t>
  </si>
  <si>
    <t>神木图纹盾</t>
  </si>
  <si>
    <t>隶兽盾</t>
  </si>
  <si>
    <t>厚重隶兽盾</t>
  </si>
  <si>
    <t>锋利隶兽盾</t>
  </si>
  <si>
    <t>熟练隶兽盾</t>
  </si>
  <si>
    <t>愚人隶兽盾</t>
  </si>
  <si>
    <t>结晶隶兽盾</t>
  </si>
  <si>
    <t>火焰隶兽盾</t>
  </si>
  <si>
    <t>混沌隶兽盾</t>
  </si>
  <si>
    <t>雷电隶兽盾</t>
  </si>
  <si>
    <t>幽邃隶兽盾</t>
  </si>
  <si>
    <t>暗隶兽盾</t>
  </si>
  <si>
    <t>毒隶兽盾</t>
  </si>
  <si>
    <t>血隶兽盾</t>
  </si>
  <si>
    <t>粗制隶兽盾</t>
  </si>
  <si>
    <t>祝福隶兽盾</t>
  </si>
  <si>
    <t>游魂隶兽盾</t>
  </si>
  <si>
    <t>渴望盾</t>
  </si>
  <si>
    <t>战神木盾</t>
  </si>
  <si>
    <t>厚重战神木盾</t>
  </si>
  <si>
    <t>锋利战神木盾</t>
  </si>
  <si>
    <t>熟练战神木盾</t>
  </si>
  <si>
    <t>愚人战神木盾</t>
  </si>
  <si>
    <t>结晶战神木盾</t>
  </si>
  <si>
    <t>火焰战神木盾</t>
  </si>
  <si>
    <t>混沌战神木盾</t>
  </si>
  <si>
    <t>雷电战神木盾</t>
  </si>
  <si>
    <t>幽邃战神木盾</t>
  </si>
  <si>
    <t>暗战神木盾</t>
  </si>
  <si>
    <t>毒战神木盾</t>
  </si>
  <si>
    <t>血战神木盾</t>
  </si>
  <si>
    <t>粗制战神木盾</t>
  </si>
  <si>
    <t>祝福战神木盾</t>
  </si>
  <si>
    <t>游魂战神木盾</t>
  </si>
  <si>
    <t>灵树盾</t>
  </si>
  <si>
    <t>龙头大盾</t>
  </si>
  <si>
    <t>洛斯里克骑士大盾</t>
  </si>
  <si>
    <t>厚重洛斯里克骑士大盾</t>
  </si>
  <si>
    <t>锋利洛斯里克骑士大盾</t>
  </si>
  <si>
    <t>熟练洛斯里克骑士大盾</t>
  </si>
  <si>
    <t>愚人洛斯里克骑士大盾</t>
  </si>
  <si>
    <t>结晶洛斯里克骑士大盾</t>
  </si>
  <si>
    <t>火焰洛斯里克骑士大盾</t>
  </si>
  <si>
    <t>混沌洛斯里克骑士大盾</t>
  </si>
  <si>
    <t>雷电洛斯里克骑士大盾</t>
  </si>
  <si>
    <t>幽邃洛斯里克骑士大盾</t>
  </si>
  <si>
    <t>暗洛斯里克骑士大盾</t>
  </si>
  <si>
    <t>毒洛斯里克骑士大盾</t>
  </si>
  <si>
    <t>血洛斯里克骑士大盾</t>
  </si>
  <si>
    <t>粗制洛斯里克骑士大盾</t>
  </si>
  <si>
    <t>祝福洛斯里克骑士大盾</t>
  </si>
  <si>
    <t>游魂洛斯里克骑士大盾</t>
  </si>
  <si>
    <t>教堂骑士大盾</t>
  </si>
  <si>
    <t>厚重教堂骑士大盾</t>
  </si>
  <si>
    <t>锋利教堂骑士大盾</t>
  </si>
  <si>
    <t>熟练教堂骑士大盾</t>
  </si>
  <si>
    <t>愚人教堂骑士大盾</t>
  </si>
  <si>
    <t>结晶教堂骑士大盾</t>
  </si>
  <si>
    <t>火焰教堂骑士大盾</t>
  </si>
  <si>
    <t>混沌教堂骑士大盾</t>
  </si>
  <si>
    <t>雷电教堂骑士大盾</t>
  </si>
  <si>
    <t>幽邃教堂骑士大盾</t>
  </si>
  <si>
    <t>暗教堂骑士大盾</t>
  </si>
  <si>
    <t>毒教堂骑士大盾</t>
  </si>
  <si>
    <t>血教堂骑士大盾</t>
  </si>
  <si>
    <t>粗制教堂骑士大盾</t>
  </si>
  <si>
    <t>祝福教堂骑士大盾</t>
  </si>
  <si>
    <t>游魂教堂骑士大盾</t>
  </si>
  <si>
    <t>猎龙大盾</t>
  </si>
  <si>
    <t>呻吟盾</t>
  </si>
  <si>
    <t>尤姆大盾</t>
  </si>
  <si>
    <t>黑铁大盾</t>
  </si>
  <si>
    <t>厚重黑铁大盾</t>
  </si>
  <si>
    <t>锋利黑铁大盾</t>
  </si>
  <si>
    <t>熟练黑铁大盾</t>
  </si>
  <si>
    <t>愚人黑铁大盾</t>
  </si>
  <si>
    <t>结晶黑铁大盾</t>
  </si>
  <si>
    <t>火焰黑铁大盾</t>
  </si>
  <si>
    <t>混沌黑铁大盾</t>
  </si>
  <si>
    <t>雷电黑铁大盾</t>
  </si>
  <si>
    <t>幽邃黑铁大盾</t>
  </si>
  <si>
    <t>暗黑铁大盾</t>
  </si>
  <si>
    <t>毒黑铁大盾</t>
  </si>
  <si>
    <t>血黑铁大盾</t>
  </si>
  <si>
    <t>粗制黑铁大盾</t>
  </si>
  <si>
    <t>祝福黑铁大盾</t>
  </si>
  <si>
    <t>游魂黑铁大盾</t>
  </si>
  <si>
    <t>狼骑士大盾</t>
  </si>
  <si>
    <t>双龙大盾</t>
  </si>
  <si>
    <t>厚重双龙大盾</t>
  </si>
  <si>
    <t>锋利双龙大盾</t>
  </si>
  <si>
    <t>熟练双龙大盾</t>
  </si>
  <si>
    <t>愚人双龙大盾</t>
  </si>
  <si>
    <t>结晶双龙大盾</t>
  </si>
  <si>
    <t>火焰双龙大盾</t>
  </si>
  <si>
    <t>混沌双龙大盾</t>
  </si>
  <si>
    <t>雷电双龙大盾</t>
  </si>
  <si>
    <t>幽邃双龙大盾</t>
  </si>
  <si>
    <t>暗双龙大盾</t>
  </si>
  <si>
    <t>毒双龙大盾</t>
  </si>
  <si>
    <t>血双龙大盾</t>
  </si>
  <si>
    <t>粗制双龙大盾</t>
  </si>
  <si>
    <t>祝福双龙大盾</t>
  </si>
  <si>
    <t>游魂双龙大盾</t>
  </si>
  <si>
    <t>荣誉大盾</t>
  </si>
  <si>
    <t>抗咒大盾</t>
  </si>
  <si>
    <t>骸骨车轮盾</t>
  </si>
  <si>
    <t>厚重骸骨车轮盾</t>
  </si>
  <si>
    <t>锋利骸骨车轮盾</t>
  </si>
  <si>
    <t>熟练骸骨车轮盾</t>
  </si>
  <si>
    <t>愚人骸骨车轮盾</t>
  </si>
  <si>
    <t>结晶骸骨车轮盾</t>
  </si>
  <si>
    <t>火焰骸骨车轮盾</t>
  </si>
  <si>
    <t>混沌骸骨车轮盾</t>
  </si>
  <si>
    <t>雷电骸骨车轮盾</t>
  </si>
  <si>
    <t>幽邃骸骨车轮盾</t>
  </si>
  <si>
    <t>暗骸骨车轮盾</t>
  </si>
  <si>
    <t>毒骸骨车轮盾</t>
  </si>
  <si>
    <t>血骸骨车轮盾</t>
  </si>
  <si>
    <t>粗制骸骨车轮盾</t>
  </si>
  <si>
    <t>祝福骸骨车轮盾</t>
  </si>
  <si>
    <t>游魂骸骨车轮盾</t>
  </si>
  <si>
    <t>石制大盾</t>
  </si>
  <si>
    <t>厚重石制大盾</t>
  </si>
  <si>
    <t>锋利石制大盾</t>
  </si>
  <si>
    <t>熟练石制大盾</t>
  </si>
  <si>
    <t>愚人石制大盾</t>
  </si>
  <si>
    <t>结晶石制大盾</t>
  </si>
  <si>
    <t>火焰石制大盾</t>
  </si>
  <si>
    <t>混沌石制大盾</t>
  </si>
  <si>
    <t>雷电石制大盾</t>
  </si>
  <si>
    <t>幽邃石制大盾</t>
  </si>
  <si>
    <t>暗石制大盾</t>
  </si>
  <si>
    <t>毒石制大盾</t>
  </si>
  <si>
    <t>血石制大盾</t>
  </si>
  <si>
    <t>粗制石制大盾</t>
  </si>
  <si>
    <t>祝福石制大盾</t>
  </si>
  <si>
    <t>游魂石制大盾</t>
  </si>
  <si>
    <t>火把</t>
  </si>
  <si>
    <t>幽魂火把</t>
  </si>
  <si>
    <t>AttackBasePhysics</t>
  </si>
  <si>
    <t>AttackBaseMagic</t>
  </si>
  <si>
    <t>AttackBaseFire</t>
  </si>
  <si>
    <t>AttackBaseDark</t>
  </si>
  <si>
    <t>ReinforceTypeId</t>
    <phoneticPr fontId="1" type="noConversion"/>
  </si>
  <si>
    <t>PhysicsAtkRate</t>
    <phoneticPr fontId="1" type="noConversion"/>
  </si>
  <si>
    <t>MagicAtkRate</t>
  </si>
  <si>
    <t>FireAtkRate</t>
  </si>
  <si>
    <t>ThunderAtkRate</t>
  </si>
  <si>
    <t>DarkAtkRate</t>
  </si>
  <si>
    <t>PhysicsStatFunc</t>
    <phoneticPr fontId="1" type="noConversion"/>
  </si>
  <si>
    <t>MagicStatFunc</t>
  </si>
  <si>
    <t>FireStatFunc</t>
  </si>
  <si>
    <t>ThunderStatFunc</t>
  </si>
  <si>
    <t>DarkStatFunc</t>
  </si>
  <si>
    <t>id</t>
  </si>
  <si>
    <t>CorrectStrength</t>
  </si>
  <si>
    <t>CorrectAgility</t>
  </si>
  <si>
    <t>CorrectMagic</t>
  </si>
  <si>
    <t>CorrectFaith</t>
  </si>
  <si>
    <t>CorrectLuck</t>
  </si>
  <si>
    <t>CorrectStrengthRate</t>
  </si>
  <si>
    <t>CorrectAgilityRate</t>
  </si>
  <si>
    <t>CorrectMagicRate</t>
  </si>
  <si>
    <t>CorrectFaithRate</t>
  </si>
  <si>
    <t>CorrectLuckRate</t>
  </si>
  <si>
    <t>AtkRate</t>
    <phoneticPr fontId="1" type="noConversion"/>
  </si>
  <si>
    <t>AttributeCorrectRate</t>
    <phoneticPr fontId="1" type="noConversion"/>
  </si>
  <si>
    <t>physical</t>
  </si>
  <si>
    <t>magic</t>
  </si>
  <si>
    <t>fire</t>
  </si>
  <si>
    <t>lightning</t>
  </si>
  <si>
    <t>dark</t>
  </si>
  <si>
    <t>00000</t>
  </si>
  <si>
    <t>00011</t>
  </si>
  <si>
    <t>00111</t>
  </si>
  <si>
    <t>01100</t>
  </si>
  <si>
    <t>01000</t>
  </si>
  <si>
    <t>00100</t>
  </si>
  <si>
    <t>01011</t>
  </si>
  <si>
    <t>10011</t>
  </si>
  <si>
    <t>11011</t>
  </si>
  <si>
    <t>01110</t>
  </si>
  <si>
    <t>11100</t>
  </si>
  <si>
    <t>01111</t>
  </si>
  <si>
    <t>10100</t>
  </si>
  <si>
    <t>Strength</t>
  </si>
  <si>
    <t>Agility</t>
  </si>
  <si>
    <t>Faith</t>
  </si>
  <si>
    <t>Magic</t>
  </si>
  <si>
    <t>Luck</t>
  </si>
  <si>
    <t>五位数从右到左依次为</t>
    <phoneticPr fontId="1" type="noConversion"/>
  </si>
  <si>
    <t>0表示该攻击力类型不接受对应属性补正</t>
    <phoneticPr fontId="1" type="noConversion"/>
  </si>
  <si>
    <t>1表示接受对应的属性补正</t>
    <phoneticPr fontId="1" type="noConversion"/>
  </si>
  <si>
    <t>ProperStrength</t>
  </si>
  <si>
    <t>ProperAgility</t>
  </si>
  <si>
    <t>ProperMagic</t>
  </si>
  <si>
    <t>ProperFaith</t>
  </si>
  <si>
    <t>ProperAttribute</t>
    <phoneticPr fontId="1" type="noConversion"/>
  </si>
  <si>
    <t>AttributeCorrect</t>
    <phoneticPr fontId="1" type="noConversion"/>
  </si>
  <si>
    <t>StaticFunction</t>
    <phoneticPr fontId="1" type="noConversion"/>
  </si>
  <si>
    <t>AttackBase</t>
    <phoneticPr fontId="1" type="noConversion"/>
  </si>
  <si>
    <t>武器</t>
    <phoneticPr fontId="1" type="noConversion"/>
  </si>
  <si>
    <t>选择武器</t>
    <phoneticPr fontId="1" type="noConversion"/>
  </si>
  <si>
    <t>质变类型</t>
    <phoneticPr fontId="1" type="noConversion"/>
  </si>
  <si>
    <t>强化等级</t>
    <phoneticPr fontId="1" type="noConversion"/>
  </si>
  <si>
    <t>是否双持</t>
    <phoneticPr fontId="1" type="noConversion"/>
  </si>
  <si>
    <t>人物属性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</si>
  <si>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</si>
  <si>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</si>
  <si>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</si>
  <si>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信仰</t>
    <phoneticPr fontId="1" type="noConversion"/>
  </si>
  <si>
    <t>运气</t>
    <phoneticPr fontId="1" type="noConversion"/>
  </si>
  <si>
    <t>属性范围</t>
    <phoneticPr fontId="1" type="noConversion"/>
  </si>
  <si>
    <t>DarkSouls III Weapon Calculator</t>
    <phoneticPr fontId="1" type="noConversion"/>
  </si>
  <si>
    <t>Id</t>
    <phoneticPr fontId="1" type="noConversion"/>
  </si>
  <si>
    <t>CanInfuse</t>
    <phoneticPr fontId="1" type="noConversion"/>
  </si>
  <si>
    <t>暗</t>
    <phoneticPr fontId="1" type="noConversion"/>
  </si>
  <si>
    <t>武器</t>
    <phoneticPr fontId="1" type="noConversion"/>
  </si>
  <si>
    <t>MaterialSetId</t>
  </si>
  <si>
    <t>OtherId</t>
    <phoneticPr fontId="1" type="noConversion"/>
  </si>
  <si>
    <t>MaterialSetId</t>
    <phoneticPr fontId="1" type="noConversion"/>
  </si>
  <si>
    <t>物理</t>
    <phoneticPr fontId="1" type="noConversion"/>
  </si>
  <si>
    <t>魔力</t>
    <phoneticPr fontId="1" type="noConversion"/>
  </si>
  <si>
    <t>雷</t>
    <phoneticPr fontId="1" type="noConversion"/>
  </si>
  <si>
    <t>基础白字</t>
    <phoneticPr fontId="1" type="noConversion"/>
  </si>
  <si>
    <t>补正</t>
    <phoneticPr fontId="1" type="noConversion"/>
  </si>
  <si>
    <t>Physics</t>
    <phoneticPr fontId="1" type="noConversion"/>
  </si>
  <si>
    <t>Magic</t>
    <phoneticPr fontId="1" type="noConversion"/>
  </si>
  <si>
    <t>Fire</t>
    <phoneticPr fontId="1" type="noConversion"/>
  </si>
  <si>
    <t>Dark</t>
    <phoneticPr fontId="1" type="noConversion"/>
  </si>
  <si>
    <t>AttackBaseThunder</t>
    <phoneticPr fontId="1" type="noConversion"/>
  </si>
  <si>
    <t>最终面板</t>
    <phoneticPr fontId="1" type="noConversion"/>
  </si>
  <si>
    <t>面板总和</t>
    <phoneticPr fontId="1" type="noConversion"/>
  </si>
  <si>
    <t>实际参与计算属性</t>
    <phoneticPr fontId="1" type="noConversion"/>
  </si>
  <si>
    <t>id</t>
    <phoneticPr fontId="1" type="noConversion"/>
  </si>
  <si>
    <t>判断</t>
    <phoneticPr fontId="1" type="noConversion"/>
  </si>
  <si>
    <t>是</t>
    <phoneticPr fontId="1" type="noConversion"/>
  </si>
  <si>
    <t>否</t>
  </si>
  <si>
    <t>否</t>
    <phoneticPr fontId="1" type="noConversion"/>
  </si>
  <si>
    <t>火</t>
    <phoneticPr fontId="1" type="noConversion"/>
  </si>
  <si>
    <t>Basic</t>
    <phoneticPr fontId="1" type="noConversion"/>
  </si>
  <si>
    <t>ReinforceRate</t>
    <phoneticPr fontId="1" type="noConversion"/>
  </si>
  <si>
    <t>最终基础白字</t>
    <phoneticPr fontId="1" type="noConversion"/>
  </si>
  <si>
    <t>质变前缀</t>
    <phoneticPr fontId="1" type="noConversion"/>
  </si>
  <si>
    <t>基础白字计算</t>
    <phoneticPr fontId="1" type="noConversion"/>
  </si>
  <si>
    <t>补正倍率计算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</si>
  <si>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</si>
  <si>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</si>
  <si>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</si>
  <si>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信仰</t>
    <phoneticPr fontId="1" type="noConversion"/>
  </si>
  <si>
    <t>幸运</t>
    <phoneticPr fontId="1" type="noConversion"/>
  </si>
  <si>
    <t>AecpId</t>
  </si>
  <si>
    <t>武器强化后补正系数</t>
    <phoneticPr fontId="1" type="noConversion"/>
  </si>
  <si>
    <t>补正倍率</t>
    <phoneticPr fontId="1" type="noConversion"/>
  </si>
  <si>
    <t>StaticFunctionId</t>
    <phoneticPr fontId="1" type="noConversion"/>
  </si>
  <si>
    <t>Thunder</t>
    <phoneticPr fontId="1" type="noConversion"/>
  </si>
  <si>
    <t>混沌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</si>
</sst>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sz val="2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2" borderId="1" applyNumberFormat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2" xfId="0" applyBorder="1">
      <alignment vertical="center"/>
    </xf>
    <xf numFmtId="0" fontId="2" fillId="2" borderId="1" xfId="1">
      <alignment vertical="center"/>
    </xf>
    <xf numFmtId="0" fontId="2" fillId="2" borderId="1" xfId="1" applyNumberFormat="1">
      <alignment vertical="center"/>
    </xf>
    <xf numFmtId="0" fontId="0" fillId="0" borderId="2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常规" xfId="0" builtinId="0"/>
    <cellStyle name="输入" xfId="1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74E7E-01D0-47F0-B56A-E965DB25B50F}">
  <sheetPr codeName="Sheet1"/>
  <dimension ref="A1:AE101"/>
  <sheetViews>
    <sheetView tabSelected="1" workbookViewId="0">
      <selection activeCell="J13" sqref="J13"/>
    </sheetView>
  </sheetViews>
  <sheetFormatPr defaultRowHeight="14.25" x14ac:dyDescent="0.2"/>
  <cols>
    <col min="2" max="2" width="15.5" customWidth="1"/>
    <col min="4" max="4" width="10.625" customWidth="1"/>
    <col min="5" max="5" width="5" customWidth="1"/>
    <col min="8" max="9" width="13" customWidth="1"/>
    <col min="10" max="10" width="5" customWidth="1"/>
    <col min="18" max="18" width="5" customWidth="1"/>
  </cols>
  <sheetData>
    <row r="1" spans="1:31" ht="50.1" customHeight="1" x14ac:dyDescent="0.2">
      <c r="A1" s="7" t="s">
        <v>2478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1" x14ac:dyDescent="0.2">
      <c r="A2" s="6" t="s">
        <v>2466</v>
      </c>
      <c r="B2" s="6"/>
      <c r="C2" s="6" t="s">
        <v>2471</v>
      </c>
      <c r="D2" s="6"/>
      <c r="F2" s="8"/>
      <c r="G2" s="6" t="s">
        <v>2509</v>
      </c>
      <c r="H2" s="6"/>
      <c r="I2" s="6"/>
      <c r="K2" s="6"/>
      <c r="L2" s="6" t="s">
        <v>2510</v>
      </c>
      <c r="M2" s="6"/>
      <c r="N2" s="6"/>
      <c r="O2" s="6"/>
      <c r="P2" s="6"/>
      <c r="Q2" s="6"/>
      <c r="S2" s="1"/>
      <c r="T2" s="1" t="s">
        <v>2489</v>
      </c>
      <c r="U2" s="1" t="s">
        <v>2490</v>
      </c>
      <c r="V2" s="1" t="s">
        <v>2496</v>
      </c>
      <c r="W2" s="1" t="s">
        <v>2497</v>
      </c>
      <c r="AA2" t="s">
        <v>2482</v>
      </c>
      <c r="AB2" t="s">
        <v>2477</v>
      </c>
      <c r="AC2" t="s">
        <v>2500</v>
      </c>
      <c r="AD2" s="5" t="s">
        <v>2519</v>
      </c>
      <c r="AE2" s="5"/>
    </row>
    <row r="3" spans="1:31" x14ac:dyDescent="0.2">
      <c r="A3" s="1" t="s">
        <v>2467</v>
      </c>
      <c r="B3" s="2" t="s">
        <v>671</v>
      </c>
      <c r="C3" s="1" t="s">
        <v>2472</v>
      </c>
      <c r="D3" s="2">
        <v>40</v>
      </c>
      <c r="F3" s="9"/>
      <c r="G3" s="1" t="s">
        <v>2505</v>
      </c>
      <c r="H3" s="1" t="s">
        <v>2506</v>
      </c>
      <c r="I3" s="1" t="s">
        <v>2507</v>
      </c>
      <c r="K3" s="6"/>
      <c r="L3" s="1" t="s">
        <v>2511</v>
      </c>
      <c r="M3" s="1" t="s">
        <v>2512</v>
      </c>
      <c r="N3" s="1" t="s">
        <v>2513</v>
      </c>
      <c r="O3" s="1" t="s">
        <v>2514</v>
      </c>
      <c r="P3" s="1" t="s">
        <v>2515</v>
      </c>
      <c r="Q3" s="4" t="s">
        <v>2518</v>
      </c>
      <c r="S3" s="1" t="s">
        <v>2486</v>
      </c>
      <c r="T3" s="1">
        <f>I4</f>
        <v>115.50000000000001</v>
      </c>
      <c r="U3" s="1">
        <f>T3*Q4/100</f>
        <v>98.700525000000013</v>
      </c>
      <c r="V3" s="1">
        <f>T3+U3</f>
        <v>214.20052500000003</v>
      </c>
      <c r="W3" s="1">
        <f>SUM(V3:V7)</f>
        <v>590.55067499816118</v>
      </c>
      <c r="AA3" t="s">
        <v>2483</v>
      </c>
      <c r="AB3">
        <v>1</v>
      </c>
      <c r="AC3" t="s">
        <v>2501</v>
      </c>
      <c r="AD3" t="s">
        <v>2491</v>
      </c>
      <c r="AE3">
        <f>VLOOKUP($B$7&amp;$B$3,WeaponPara!B:O,ROW(A10),0)</f>
        <v>0</v>
      </c>
    </row>
    <row r="4" spans="1:31" x14ac:dyDescent="0.2">
      <c r="A4" s="1" t="s">
        <v>2468</v>
      </c>
      <c r="B4" s="2" t="s">
        <v>2521</v>
      </c>
      <c r="C4" s="1" t="s">
        <v>2473</v>
      </c>
      <c r="D4" s="2">
        <v>52</v>
      </c>
      <c r="F4" s="1" t="s">
        <v>2486</v>
      </c>
      <c r="G4" s="1">
        <f>VLOOKUP(B7&amp;B3,WeaponPara!B:J,5,0)</f>
        <v>105</v>
      </c>
      <c r="H4" s="1">
        <f>VLOOKUP(AA10,ReinforceRate!A:F,2,0)</f>
        <v>1.1000000000000001</v>
      </c>
      <c r="I4" s="1">
        <f>G4*H4</f>
        <v>115.50000000000001</v>
      </c>
      <c r="K4" s="1" t="s">
        <v>2486</v>
      </c>
      <c r="L4" s="1">
        <f>VALUE(MID(VLOOKUP(AA12,'AtkTypeCorrect-Attribute'!A:F,2,0),5,1))*B10*VLOOKUP(AE3,StaticFunction!A:CV,Main!D10+1,0)/100</f>
        <v>52.65</v>
      </c>
      <c r="M4" s="1">
        <f>VALUE(MID(VLOOKUP(AA12,'AtkTypeCorrect-Attribute'!A:F,2,0),4,1))*B11*VLOOKUP(AE3,StaticFunction!A:CV,D11+1,0)/100</f>
        <v>32.805</v>
      </c>
      <c r="N4" s="1">
        <f>VALUE(MID(VLOOKUP(AA12,'AtkTypeCorrect-Attribute'!A:F,2,0),3,1))*B12*VLOOKUP(AE3,StaticFunction!A:CV,D12+1,0)/100</f>
        <v>0</v>
      </c>
      <c r="O4" s="1">
        <f>VALUE(MID(VLOOKUP(AA12,'AtkTypeCorrect-Attribute'!A:F,2,0),2,1))*B13*VLOOKUP(AE3,StaticFunction!A:CV,D13+1,0)/100</f>
        <v>0</v>
      </c>
      <c r="P4" s="1">
        <f>VALUE(MID(VLOOKUP(AA12,'AtkTypeCorrect-Attribute'!A:F,2,0),1,1))*B14*VLOOKUP(AE3,StaticFunction!A:CV,D14+1,0)/100</f>
        <v>0</v>
      </c>
      <c r="Q4" s="1">
        <f>SUM(L4:P4)</f>
        <v>85.454999999999998</v>
      </c>
      <c r="S4" s="1" t="s">
        <v>2487</v>
      </c>
      <c r="T4" s="1">
        <f>I5</f>
        <v>0</v>
      </c>
      <c r="U4" s="1">
        <f>T4*Q5/100</f>
        <v>0</v>
      </c>
      <c r="V4" s="1">
        <f t="shared" ref="V4:V7" si="0">T4+U4</f>
        <v>0</v>
      </c>
      <c r="W4" s="1"/>
      <c r="AA4">
        <f>VLOOKUP(B3,WeaponPara!B:E,2,0)</f>
        <v>0</v>
      </c>
      <c r="AB4">
        <v>2</v>
      </c>
      <c r="AC4" t="s">
        <v>2503</v>
      </c>
      <c r="AD4" t="s">
        <v>2492</v>
      </c>
      <c r="AE4">
        <f>VLOOKUP($B$7&amp;$B$3,WeaponPara!B:O,ROW(A11),0)</f>
        <v>0</v>
      </c>
    </row>
    <row r="5" spans="1:31" x14ac:dyDescent="0.2">
      <c r="A5" s="1" t="s">
        <v>2469</v>
      </c>
      <c r="B5" s="3">
        <v>10</v>
      </c>
      <c r="C5" s="1" t="s">
        <v>2474</v>
      </c>
      <c r="D5" s="2">
        <v>92</v>
      </c>
      <c r="F5" s="1" t="s">
        <v>2487</v>
      </c>
      <c r="G5" s="1">
        <f>VLOOKUP(B7&amp;B3,WeaponPara!B:J,6,0)</f>
        <v>0</v>
      </c>
      <c r="H5" s="1">
        <f>VLOOKUP(AA10,ReinforceRate!A:F,3,0)</f>
        <v>1</v>
      </c>
      <c r="I5" s="1">
        <f t="shared" ref="I5:I8" si="1">G5*H5</f>
        <v>0</v>
      </c>
      <c r="K5" s="1" t="s">
        <v>2487</v>
      </c>
      <c r="L5" s="1">
        <f>VALUE(MID(VLOOKUP(AA12,'AtkTypeCorrect-Attribute'!A:F,3,0),5,1))*B10*VLOOKUP(AE4,StaticFunction!A:CV,Main!D10+1,0)/100</f>
        <v>0</v>
      </c>
      <c r="M5" s="1">
        <f>VALUE(MID(VLOOKUP(AA12,'AtkTypeCorrect-Attribute'!A:F,3,0),4,1))*B11*VLOOKUP(AE4,StaticFunction!A:CV,D11+1,0)/100</f>
        <v>0</v>
      </c>
      <c r="N5" s="1">
        <f>VALUE(MID(VLOOKUP(AA12,'AtkTypeCorrect-Attribute'!A:F,3,0),3,1))*B12*VLOOKUP(AE4,StaticFunction!A:CV,D12+1,0)/100</f>
        <v>102.49437974542001</v>
      </c>
      <c r="O5" s="1">
        <f>VALUE(MID(VLOOKUP(AA12,'AtkTypeCorrect-Attribute'!A:F,3,0),2,1))*B13*VLOOKUP(AE4,StaticFunction!A:CV,D13+1,0)/100</f>
        <v>0</v>
      </c>
      <c r="P5" s="1">
        <f>VALUE(MID(VLOOKUP(AA12,'AtkTypeCorrect-Attribute'!A:F,3,0),1,1))*B14*VLOOKUP(AE4,StaticFunction!A:CV,D14+1,0)/100</f>
        <v>0</v>
      </c>
      <c r="Q5" s="1">
        <f t="shared" ref="Q5:Q8" si="2">SUM(L5:P5)</f>
        <v>102.49437974542001</v>
      </c>
      <c r="S5" s="1" t="s">
        <v>2504</v>
      </c>
      <c r="T5" s="1">
        <f>I6</f>
        <v>120.74999999999999</v>
      </c>
      <c r="U5" s="1">
        <f>T5*Q6/100</f>
        <v>255.6001499981611</v>
      </c>
      <c r="V5" s="1">
        <f t="shared" si="0"/>
        <v>376.3501499981611</v>
      </c>
      <c r="W5" s="1"/>
      <c r="AA5" t="s">
        <v>2480</v>
      </c>
      <c r="AB5">
        <v>3</v>
      </c>
      <c r="AD5" t="s">
        <v>2493</v>
      </c>
      <c r="AE5">
        <f>VLOOKUP($B$7&amp;$B$3,WeaponPara!B:O,ROW(A12),0)</f>
        <v>4</v>
      </c>
    </row>
    <row r="6" spans="1:31" x14ac:dyDescent="0.2">
      <c r="A6" s="1" t="s">
        <v>2470</v>
      </c>
      <c r="B6" s="2" t="s">
        <v>2502</v>
      </c>
      <c r="C6" s="1" t="s">
        <v>2475</v>
      </c>
      <c r="D6" s="2">
        <v>99</v>
      </c>
      <c r="F6" s="1" t="s">
        <v>2504</v>
      </c>
      <c r="G6" s="1">
        <f>VLOOKUP(B7&amp;B3,WeaponPara!B:J,7,0)</f>
        <v>105</v>
      </c>
      <c r="H6" s="1">
        <f>VLOOKUP(AA10,ReinforceRate!A:F,4,0)</f>
        <v>1.1499999999999999</v>
      </c>
      <c r="I6" s="1">
        <f t="shared" si="1"/>
        <v>120.74999999999999</v>
      </c>
      <c r="K6" s="1" t="s">
        <v>2504</v>
      </c>
      <c r="L6" s="1">
        <f>VALUE(MID(VLOOKUP(AA12,'AtkTypeCorrect-Attribute'!A:F,4,0),5,1))*B10*VLOOKUP(AE5,StaticFunction!A:CV,Main!D10+1,0)/100</f>
        <v>0</v>
      </c>
      <c r="M6" s="1">
        <f>VALUE(MID(VLOOKUP(AA12,'AtkTypeCorrect-Attribute'!A:F,4,0),4,1))*B11*VLOOKUP(AE5,StaticFunction!A:CV,D11+1,0)/100</f>
        <v>0</v>
      </c>
      <c r="N6" s="1">
        <f>VALUE(MID(VLOOKUP(AA12,'AtkTypeCorrect-Attribute'!A:F,4,0),3,1))*B12*VLOOKUP(AE5,StaticFunction!A:CV,D12+1,0)/100</f>
        <v>105.07714285562001</v>
      </c>
      <c r="O6" s="1">
        <f>VALUE(MID(VLOOKUP(AA12,'AtkTypeCorrect-Attribute'!A:F,4,0),2,1))*B13*VLOOKUP(AE5,StaticFunction!A:CV,D13+1,0)/100</f>
        <v>106.6</v>
      </c>
      <c r="P6" s="1">
        <f>VALUE(MID(VLOOKUP(AA12,'AtkTypeCorrect-Attribute'!A:F,4,0),1,1))*B14*VLOOKUP(AE5,StaticFunction!A:CV,D14+1,0)/100</f>
        <v>0</v>
      </c>
      <c r="Q6" s="1">
        <f t="shared" si="2"/>
        <v>211.67714285561999</v>
      </c>
      <c r="S6" s="1" t="s">
        <v>2488</v>
      </c>
      <c r="T6" s="1">
        <f>I7</f>
        <v>0</v>
      </c>
      <c r="U6" s="1">
        <f>T6*Q7/100</f>
        <v>0</v>
      </c>
      <c r="V6" s="1">
        <f t="shared" si="0"/>
        <v>0</v>
      </c>
      <c r="W6" s="1"/>
      <c r="AA6" t="b">
        <f>VLOOKUP(B3,WeaponName!A:B,2,0)</f>
        <v>1</v>
      </c>
      <c r="AB6">
        <v>4</v>
      </c>
      <c r="AD6" t="s">
        <v>2520</v>
      </c>
      <c r="AE6">
        <f>VLOOKUP($B$7&amp;$B$3,WeaponPara!B:O,ROW(A13),0)</f>
        <v>0</v>
      </c>
    </row>
    <row r="7" spans="1:31" x14ac:dyDescent="0.2">
      <c r="A7" s="1" t="s">
        <v>2508</v>
      </c>
      <c r="B7" s="1" t="str">
        <f>IF(OR(B4="无法质变",B4=""),"",B4)</f>
        <v>混沌</v>
      </c>
      <c r="C7" s="1" t="s">
        <v>2476</v>
      </c>
      <c r="D7" s="2">
        <v>40</v>
      </c>
      <c r="F7" s="1" t="s">
        <v>2488</v>
      </c>
      <c r="G7" s="1">
        <f>VLOOKUP(B7&amp;B3,WeaponPara!B:J,8,0)</f>
        <v>0</v>
      </c>
      <c r="H7" s="1">
        <f>VLOOKUP(AA10,ReinforceRate!A:F,5,0)</f>
        <v>1</v>
      </c>
      <c r="I7" s="1">
        <f t="shared" si="1"/>
        <v>0</v>
      </c>
      <c r="K7" s="1" t="s">
        <v>2488</v>
      </c>
      <c r="L7" s="1">
        <f>VALUE(MID(VLOOKUP(AA12,'AtkTypeCorrect-Attribute'!A:F,5,0),5,1))*B10*VLOOKUP(AE6,StaticFunction!A:CV,Main!D10+1,0)/100</f>
        <v>0</v>
      </c>
      <c r="M7" s="1">
        <f>VALUE(MID(VLOOKUP(AA12,'AtkTypeCorrect-Attribute'!A:F,5,0),4,1))*B11*VLOOKUP(AE6,StaticFunction!A:CV,D11+1,0)/100</f>
        <v>0</v>
      </c>
      <c r="N7" s="1">
        <f>VALUE(MID(VLOOKUP(AA12,'AtkTypeCorrect-Attribute'!A:F,5,0),3,1))*B12*VLOOKUP(AE6,StaticFunction!A:CV,D12+1,0)/100</f>
        <v>0</v>
      </c>
      <c r="O7" s="1">
        <f>VALUE(MID(VLOOKUP(AA12,'AtkTypeCorrect-Attribute'!A:F,5,0),2,1))*B13*VLOOKUP(AE6,StaticFunction!A:CV,D13+1,0)/100</f>
        <v>106.6</v>
      </c>
      <c r="P7" s="1">
        <f>VALUE(MID(VLOOKUP(AA12,'AtkTypeCorrect-Attribute'!A:F,5,0),1,1))*B14*VLOOKUP(AE6,StaticFunction!A:CV,D14+1,0)/100</f>
        <v>0</v>
      </c>
      <c r="Q7" s="1">
        <f t="shared" si="2"/>
        <v>106.6</v>
      </c>
      <c r="S7" s="1" t="s">
        <v>2481</v>
      </c>
      <c r="T7" s="1">
        <f>I8</f>
        <v>0</v>
      </c>
      <c r="U7" s="1">
        <f>T7*Q8/100</f>
        <v>0</v>
      </c>
      <c r="V7" s="1">
        <f t="shared" si="0"/>
        <v>0</v>
      </c>
      <c r="W7" s="1"/>
      <c r="AA7" t="s">
        <v>2499</v>
      </c>
      <c r="AB7">
        <v>5</v>
      </c>
      <c r="AD7" t="s">
        <v>2494</v>
      </c>
      <c r="AE7">
        <f>VLOOKUP($B$7&amp;$B$3,WeaponPara!B:O,ROW(A14),0)</f>
        <v>0</v>
      </c>
    </row>
    <row r="8" spans="1:31" x14ac:dyDescent="0.2">
      <c r="F8" s="1" t="s">
        <v>2481</v>
      </c>
      <c r="G8" s="1">
        <f>VLOOKUP(B7&amp;B3,WeaponPara!B:J,9,0)</f>
        <v>0</v>
      </c>
      <c r="H8" s="1">
        <f>VLOOKUP(AA10,ReinforceRate!A:F,6,0)</f>
        <v>1</v>
      </c>
      <c r="I8" s="1">
        <f t="shared" si="1"/>
        <v>0</v>
      </c>
      <c r="K8" s="1" t="s">
        <v>2481</v>
      </c>
      <c r="L8" s="1">
        <f>VALUE(MID(VLOOKUP(AA12,'AtkTypeCorrect-Attribute'!A:F,6,0),5,1))*B10*VLOOKUP(AE7,StaticFunction!A:CV,Main!D10+1,0)/100</f>
        <v>0</v>
      </c>
      <c r="M8" s="1">
        <f>VALUE(MID(VLOOKUP(AA12,'AtkTypeCorrect-Attribute'!A:F,6,0),4,1))*B11*VLOOKUP(AE7,StaticFunction!A:CV,D11+1,0)/100</f>
        <v>0</v>
      </c>
      <c r="N8" s="1">
        <f>VALUE(MID(VLOOKUP(AA12,'AtkTypeCorrect-Attribute'!A:F,6,0),3,1))*B12*VLOOKUP(AE7,StaticFunction!A:CV,D12+1,0)/100</f>
        <v>102.49437974542001</v>
      </c>
      <c r="O8" s="1">
        <f>VALUE(MID(VLOOKUP(AA12,'AtkTypeCorrect-Attribute'!A:F,6,0),2,1))*B13*VLOOKUP(AE7,StaticFunction!A:CV,D13+1,0)/100</f>
        <v>106.6</v>
      </c>
      <c r="P8" s="1">
        <f>VALUE(MID(VLOOKUP(AA12,'AtkTypeCorrect-Attribute'!A:F,6,0),1,1))*B14*VLOOKUP(AE7,StaticFunction!A:CV,D14+1,0)/100</f>
        <v>0</v>
      </c>
      <c r="Q8" s="1">
        <f t="shared" si="2"/>
        <v>209.09437974541999</v>
      </c>
      <c r="AA8">
        <f>VLOOKUP(B3,WeaponName!A:C,3,0)</f>
        <v>6240000</v>
      </c>
      <c r="AB8">
        <v>6</v>
      </c>
    </row>
    <row r="9" spans="1:31" x14ac:dyDescent="0.2">
      <c r="A9" s="6" t="s">
        <v>2517</v>
      </c>
      <c r="B9" s="6"/>
      <c r="C9" s="6" t="s">
        <v>2498</v>
      </c>
      <c r="D9" s="6"/>
      <c r="AA9" t="s">
        <v>2408</v>
      </c>
      <c r="AB9">
        <v>7</v>
      </c>
    </row>
    <row r="10" spans="1:31" x14ac:dyDescent="0.2">
      <c r="A10" s="1" t="s">
        <v>2472</v>
      </c>
      <c r="B10" s="1">
        <f>VLOOKUP(B7&amp;B3,WeaponPara!B:T,15,0)*VLOOKUP(AA10,ReinforceRate!A:K,7,0)</f>
        <v>70.2</v>
      </c>
      <c r="C10" s="1" t="s">
        <v>2472</v>
      </c>
      <c r="D10" s="1">
        <f>IF(AND(OR(LEFT(AA8,2)&lt;&gt;"16",RIGHT(B3,3)="大柴刀"),B6="是"),MIN(INT(D3*1.5),99),D3)</f>
        <v>40</v>
      </c>
      <c r="AA10">
        <f>VLOOKUP(B7&amp;B3,WeaponPara!B:E,3,0)+B5</f>
        <v>710</v>
      </c>
      <c r="AB10">
        <v>8</v>
      </c>
    </row>
    <row r="11" spans="1:31" x14ac:dyDescent="0.2">
      <c r="A11" s="1" t="s">
        <v>2473</v>
      </c>
      <c r="B11" s="1">
        <f>VLOOKUP(B7&amp;B3,WeaponPara!B:T,16,0)*VLOOKUP(AA10,ReinforceRate!A:K,8,0)</f>
        <v>40.5</v>
      </c>
      <c r="C11" s="1" t="s">
        <v>2473</v>
      </c>
      <c r="D11" s="1">
        <f>D4</f>
        <v>52</v>
      </c>
      <c r="AA11" t="s">
        <v>2516</v>
      </c>
      <c r="AB11">
        <v>9</v>
      </c>
    </row>
    <row r="12" spans="1:31" x14ac:dyDescent="0.2">
      <c r="A12" s="1" t="s">
        <v>2474</v>
      </c>
      <c r="B12" s="1">
        <f>VLOOKUP(B7&amp;B3,WeaponPara!B:T,17,0)*VLOOKUP(AA10,ReinforceRate!A:K,9,0)</f>
        <v>106.60000000000001</v>
      </c>
      <c r="C12" s="1" t="s">
        <v>2474</v>
      </c>
      <c r="D12" s="1">
        <f t="shared" ref="D12:D14" si="3">D5</f>
        <v>92</v>
      </c>
      <c r="AA12">
        <f>VLOOKUP(B7&amp;B3,WeaponPara!B:E,4,0)</f>
        <v>10000</v>
      </c>
      <c r="AB12">
        <v>10</v>
      </c>
    </row>
    <row r="13" spans="1:31" x14ac:dyDescent="0.2">
      <c r="A13" s="1" t="s">
        <v>2475</v>
      </c>
      <c r="B13" s="1">
        <f>VLOOKUP(B7&amp;B3,WeaponPara!B:T,18,0)*VLOOKUP(AA10,ReinforceRate!A:K,10,0)</f>
        <v>106.60000000000001</v>
      </c>
      <c r="C13" s="1" t="s">
        <v>2475</v>
      </c>
      <c r="D13" s="1">
        <f t="shared" si="3"/>
        <v>99</v>
      </c>
      <c r="AB13">
        <v>11</v>
      </c>
    </row>
    <row r="14" spans="1:31" x14ac:dyDescent="0.2">
      <c r="A14" s="1" t="s">
        <v>2476</v>
      </c>
      <c r="B14" s="1">
        <f>VLOOKUP(B7&amp;B3,WeaponPara!B:T,19,0)*VLOOKUP(AA10,ReinforceRate!A:K,11,0)</f>
        <v>25</v>
      </c>
      <c r="C14" s="1" t="s">
        <v>2476</v>
      </c>
      <c r="D14" s="1">
        <f t="shared" si="3"/>
        <v>40</v>
      </c>
      <c r="AB14">
        <v>12</v>
      </c>
    </row>
    <row r="15" spans="1:31" x14ac:dyDescent="0.2">
      <c r="AB15">
        <v>13</v>
      </c>
    </row>
    <row r="16" spans="1:31" x14ac:dyDescent="0.2">
      <c r="AB16">
        <v>14</v>
      </c>
    </row>
    <row r="17" spans="28:28" x14ac:dyDescent="0.2">
      <c r="AB17">
        <v>15</v>
      </c>
    </row>
    <row r="18" spans="28:28" x14ac:dyDescent="0.2">
      <c r="AB18">
        <v>16</v>
      </c>
    </row>
    <row r="19" spans="28:28" x14ac:dyDescent="0.2">
      <c r="AB19">
        <v>17</v>
      </c>
    </row>
    <row r="20" spans="28:28" x14ac:dyDescent="0.2">
      <c r="AB20">
        <v>18</v>
      </c>
    </row>
    <row r="21" spans="28:28" x14ac:dyDescent="0.2">
      <c r="AB21">
        <v>19</v>
      </c>
    </row>
    <row r="22" spans="28:28" x14ac:dyDescent="0.2">
      <c r="AB22">
        <v>20</v>
      </c>
    </row>
    <row r="23" spans="28:28" x14ac:dyDescent="0.2">
      <c r="AB23">
        <v>21</v>
      </c>
    </row>
    <row r="24" spans="28:28" x14ac:dyDescent="0.2">
      <c r="AB24">
        <v>22</v>
      </c>
    </row>
    <row r="25" spans="28:28" x14ac:dyDescent="0.2">
      <c r="AB25">
        <v>23</v>
      </c>
    </row>
    <row r="26" spans="28:28" x14ac:dyDescent="0.2">
      <c r="AB26">
        <v>24</v>
      </c>
    </row>
    <row r="27" spans="28:28" x14ac:dyDescent="0.2">
      <c r="AB27">
        <v>25</v>
      </c>
    </row>
    <row r="28" spans="28:28" x14ac:dyDescent="0.2">
      <c r="AB28">
        <v>26</v>
      </c>
    </row>
    <row r="29" spans="28:28" x14ac:dyDescent="0.2">
      <c r="AB29">
        <v>27</v>
      </c>
    </row>
    <row r="30" spans="28:28" x14ac:dyDescent="0.2">
      <c r="AB30">
        <v>28</v>
      </c>
    </row>
    <row r="31" spans="28:28" x14ac:dyDescent="0.2">
      <c r="AB31">
        <v>29</v>
      </c>
    </row>
    <row r="32" spans="28:28" x14ac:dyDescent="0.2">
      <c r="AB32">
        <v>30</v>
      </c>
    </row>
    <row r="33" spans="28:28" x14ac:dyDescent="0.2">
      <c r="AB33">
        <v>31</v>
      </c>
    </row>
    <row r="34" spans="28:28" x14ac:dyDescent="0.2">
      <c r="AB34">
        <v>32</v>
      </c>
    </row>
    <row r="35" spans="28:28" x14ac:dyDescent="0.2">
      <c r="AB35">
        <v>33</v>
      </c>
    </row>
    <row r="36" spans="28:28" x14ac:dyDescent="0.2">
      <c r="AB36">
        <v>34</v>
      </c>
    </row>
    <row r="37" spans="28:28" x14ac:dyDescent="0.2">
      <c r="AB37">
        <v>35</v>
      </c>
    </row>
    <row r="38" spans="28:28" x14ac:dyDescent="0.2">
      <c r="AB38">
        <v>36</v>
      </c>
    </row>
    <row r="39" spans="28:28" x14ac:dyDescent="0.2">
      <c r="AB39">
        <v>37</v>
      </c>
    </row>
    <row r="40" spans="28:28" x14ac:dyDescent="0.2">
      <c r="AB40">
        <v>38</v>
      </c>
    </row>
    <row r="41" spans="28:28" x14ac:dyDescent="0.2">
      <c r="AB41">
        <v>39</v>
      </c>
    </row>
    <row r="42" spans="28:28" x14ac:dyDescent="0.2">
      <c r="AB42">
        <v>40</v>
      </c>
    </row>
    <row r="43" spans="28:28" x14ac:dyDescent="0.2">
      <c r="AB43">
        <v>41</v>
      </c>
    </row>
    <row r="44" spans="28:28" x14ac:dyDescent="0.2">
      <c r="AB44">
        <v>42</v>
      </c>
    </row>
    <row r="45" spans="28:28" x14ac:dyDescent="0.2">
      <c r="AB45">
        <v>43</v>
      </c>
    </row>
    <row r="46" spans="28:28" x14ac:dyDescent="0.2">
      <c r="AB46">
        <v>44</v>
      </c>
    </row>
    <row r="47" spans="28:28" x14ac:dyDescent="0.2">
      <c r="AB47">
        <v>45</v>
      </c>
    </row>
    <row r="48" spans="28:28" x14ac:dyDescent="0.2">
      <c r="AB48">
        <v>46</v>
      </c>
    </row>
    <row r="49" spans="28:28" x14ac:dyDescent="0.2">
      <c r="AB49">
        <v>47</v>
      </c>
    </row>
    <row r="50" spans="28:28" x14ac:dyDescent="0.2">
      <c r="AB50">
        <v>48</v>
      </c>
    </row>
    <row r="51" spans="28:28" x14ac:dyDescent="0.2">
      <c r="AB51">
        <v>49</v>
      </c>
    </row>
    <row r="52" spans="28:28" x14ac:dyDescent="0.2">
      <c r="AB52">
        <v>50</v>
      </c>
    </row>
    <row r="53" spans="28:28" x14ac:dyDescent="0.2">
      <c r="AB53">
        <v>51</v>
      </c>
    </row>
    <row r="54" spans="28:28" x14ac:dyDescent="0.2">
      <c r="AB54">
        <v>52</v>
      </c>
    </row>
    <row r="55" spans="28:28" x14ac:dyDescent="0.2">
      <c r="AB55">
        <v>53</v>
      </c>
    </row>
    <row r="56" spans="28:28" x14ac:dyDescent="0.2">
      <c r="AB56">
        <v>54</v>
      </c>
    </row>
    <row r="57" spans="28:28" x14ac:dyDescent="0.2">
      <c r="AB57">
        <v>55</v>
      </c>
    </row>
    <row r="58" spans="28:28" x14ac:dyDescent="0.2">
      <c r="AB58">
        <v>56</v>
      </c>
    </row>
    <row r="59" spans="28:28" x14ac:dyDescent="0.2">
      <c r="AB59">
        <v>57</v>
      </c>
    </row>
    <row r="60" spans="28:28" x14ac:dyDescent="0.2">
      <c r="AB60">
        <v>58</v>
      </c>
    </row>
    <row r="61" spans="28:28" x14ac:dyDescent="0.2">
      <c r="AB61">
        <v>59</v>
      </c>
    </row>
    <row r="62" spans="28:28" x14ac:dyDescent="0.2">
      <c r="AB62">
        <v>60</v>
      </c>
    </row>
    <row r="63" spans="28:28" x14ac:dyDescent="0.2">
      <c r="AB63">
        <v>61</v>
      </c>
    </row>
    <row r="64" spans="28:28" x14ac:dyDescent="0.2">
      <c r="AB64">
        <v>62</v>
      </c>
    </row>
    <row r="65" spans="28:28" x14ac:dyDescent="0.2">
      <c r="AB65">
        <v>63</v>
      </c>
    </row>
    <row r="66" spans="28:28" x14ac:dyDescent="0.2">
      <c r="AB66">
        <v>64</v>
      </c>
    </row>
    <row r="67" spans="28:28" x14ac:dyDescent="0.2">
      <c r="AB67">
        <v>65</v>
      </c>
    </row>
    <row r="68" spans="28:28" x14ac:dyDescent="0.2">
      <c r="AB68">
        <v>66</v>
      </c>
    </row>
    <row r="69" spans="28:28" x14ac:dyDescent="0.2">
      <c r="AB69">
        <v>67</v>
      </c>
    </row>
    <row r="70" spans="28:28" x14ac:dyDescent="0.2">
      <c r="AB70">
        <v>68</v>
      </c>
    </row>
    <row r="71" spans="28:28" x14ac:dyDescent="0.2">
      <c r="AB71">
        <v>69</v>
      </c>
    </row>
    <row r="72" spans="28:28" x14ac:dyDescent="0.2">
      <c r="AB72">
        <v>70</v>
      </c>
    </row>
    <row r="73" spans="28:28" x14ac:dyDescent="0.2">
      <c r="AB73">
        <v>71</v>
      </c>
    </row>
    <row r="74" spans="28:28" x14ac:dyDescent="0.2">
      <c r="AB74">
        <v>72</v>
      </c>
    </row>
    <row r="75" spans="28:28" x14ac:dyDescent="0.2">
      <c r="AB75">
        <v>73</v>
      </c>
    </row>
    <row r="76" spans="28:28" x14ac:dyDescent="0.2">
      <c r="AB76">
        <v>74</v>
      </c>
    </row>
    <row r="77" spans="28:28" x14ac:dyDescent="0.2">
      <c r="AB77">
        <v>75</v>
      </c>
    </row>
    <row r="78" spans="28:28" x14ac:dyDescent="0.2">
      <c r="AB78">
        <v>76</v>
      </c>
    </row>
    <row r="79" spans="28:28" x14ac:dyDescent="0.2">
      <c r="AB79">
        <v>77</v>
      </c>
    </row>
    <row r="80" spans="28:28" x14ac:dyDescent="0.2">
      <c r="AB80">
        <v>78</v>
      </c>
    </row>
    <row r="81" spans="28:28" x14ac:dyDescent="0.2">
      <c r="AB81">
        <v>79</v>
      </c>
    </row>
    <row r="82" spans="28:28" x14ac:dyDescent="0.2">
      <c r="AB82">
        <v>80</v>
      </c>
    </row>
    <row r="83" spans="28:28" x14ac:dyDescent="0.2">
      <c r="AB83">
        <v>81</v>
      </c>
    </row>
    <row r="84" spans="28:28" x14ac:dyDescent="0.2">
      <c r="AB84">
        <v>82</v>
      </c>
    </row>
    <row r="85" spans="28:28" x14ac:dyDescent="0.2">
      <c r="AB85">
        <v>83</v>
      </c>
    </row>
    <row r="86" spans="28:28" x14ac:dyDescent="0.2">
      <c r="AB86">
        <v>84</v>
      </c>
    </row>
    <row r="87" spans="28:28" x14ac:dyDescent="0.2">
      <c r="AB87">
        <v>85</v>
      </c>
    </row>
    <row r="88" spans="28:28" x14ac:dyDescent="0.2">
      <c r="AB88">
        <v>86</v>
      </c>
    </row>
    <row r="89" spans="28:28" x14ac:dyDescent="0.2">
      <c r="AB89">
        <v>87</v>
      </c>
    </row>
    <row r="90" spans="28:28" x14ac:dyDescent="0.2">
      <c r="AB90">
        <v>88</v>
      </c>
    </row>
    <row r="91" spans="28:28" x14ac:dyDescent="0.2">
      <c r="AB91">
        <v>89</v>
      </c>
    </row>
    <row r="92" spans="28:28" x14ac:dyDescent="0.2">
      <c r="AB92">
        <v>90</v>
      </c>
    </row>
    <row r="93" spans="28:28" x14ac:dyDescent="0.2">
      <c r="AB93">
        <v>91</v>
      </c>
    </row>
    <row r="94" spans="28:28" x14ac:dyDescent="0.2">
      <c r="AB94">
        <v>92</v>
      </c>
    </row>
    <row r="95" spans="28:28" x14ac:dyDescent="0.2">
      <c r="AB95">
        <v>93</v>
      </c>
    </row>
    <row r="96" spans="28:28" x14ac:dyDescent="0.2">
      <c r="AB96">
        <v>94</v>
      </c>
    </row>
    <row r="97" spans="28:28" x14ac:dyDescent="0.2">
      <c r="AB97">
        <v>95</v>
      </c>
    </row>
    <row r="98" spans="28:28" x14ac:dyDescent="0.2">
      <c r="AB98">
        <v>96</v>
      </c>
    </row>
    <row r="99" spans="28:28" x14ac:dyDescent="0.2">
      <c r="AB99">
        <v>97</v>
      </c>
    </row>
    <row r="100" spans="28:28" x14ac:dyDescent="0.2">
      <c r="AB100">
        <v>98</v>
      </c>
    </row>
    <row r="101" spans="28:28" x14ac:dyDescent="0.2">
      <c r="AB101">
        <v>99</v>
      </c>
    </row>
  </sheetData>
  <dataConsolidate/>
  <mergeCells count="10">
    <mergeCell ref="AD2:AE2"/>
    <mergeCell ref="A2:B2"/>
    <mergeCell ref="C2:D2"/>
    <mergeCell ref="A1:Z1"/>
    <mergeCell ref="C9:D9"/>
    <mergeCell ref="G2:I2"/>
    <mergeCell ref="F2:F3"/>
    <mergeCell ref="K2:K3"/>
    <mergeCell ref="A9:B9"/>
    <mergeCell ref="L2:Q2"/>
  </mergeCells>
  <phoneticPr fontId="1" type="noConversion"/>
  <dataValidations count="4">
    <dataValidation type="list" allowBlank="1" showInputMessage="1" showErrorMessage="1" sqref="D3:D7" xr:uid="{E0149B1F-64BF-4F87-A430-4C2C9947288B}">
      <formula1>$AB$3:$AB$101</formula1>
    </dataValidation>
    <dataValidation type="list" allowBlank="1" showInputMessage="1" showErrorMessage="1" sqref="B6" xr:uid="{7057A42E-513F-4406-8B51-FEA10C4B11A5}">
      <formula1>$AC$3:$AC$4</formula1>
    </dataValidation>
    <dataValidation type="list" allowBlank="1" showInputMessage="1" showErrorMessage="1" sqref="B5" xr:uid="{F5F2420B-5F87-47FC-9E10-C08A0C6B1822}">
      <formula1>"0,1,2,3,4,5,6,7,8,9,10"</formula1>
    </dataValidation>
    <dataValidation type="list" allowBlank="1" showInputMessage="1" showErrorMessage="1" sqref="B4" xr:uid="{4181F3EA-2EC4-4C7A-AEFE-1227AB115574}">
      <formula1>"厚重,锋利,熟练,愚人,结晶,火焰,混沌,雷电,幽邃,暗,毒,血,粗制,祝福,游魂"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032B8C-F2A1-40D8-A972-1F61C722BAD8}">
          <x14:formula1>
            <xm:f>WeaponName!$A$2:$A$288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0F51-7B79-4621-89F8-9D9D868B4B78}">
  <sheetPr codeName="Sheet4"/>
  <dimension ref="A1:C288"/>
  <sheetViews>
    <sheetView workbookViewId="0">
      <selection activeCell="C34" sqref="C34"/>
    </sheetView>
  </sheetViews>
  <sheetFormatPr defaultRowHeight="14.25" x14ac:dyDescent="0.2"/>
  <cols>
    <col min="1" max="1" width="19.5" customWidth="1"/>
    <col min="3" max="3" width="11.625" customWidth="1"/>
  </cols>
  <sheetData>
    <row r="1" spans="1:3" x14ac:dyDescent="0.2">
      <c r="A1" t="s">
        <v>1</v>
      </c>
      <c r="B1" t="s">
        <v>2480</v>
      </c>
      <c r="C1" t="s">
        <v>2479</v>
      </c>
    </row>
    <row r="2" spans="1:3" x14ac:dyDescent="0.2">
      <c r="A2" t="str">
        <f>VLOOKUP(C2,WeaponPara!A:B,2,0)</f>
        <v>拳头</v>
      </c>
      <c r="B2" t="b">
        <f>NOT(ISNA(VLOOKUP(C2+100,WeaponPara!A:A,1,0)))</f>
        <v>0</v>
      </c>
      <c r="C2">
        <v>110000</v>
      </c>
    </row>
    <row r="3" spans="1:3" x14ac:dyDescent="0.2">
      <c r="A3" t="str">
        <f>VLOOKUP(C3,WeaponPara!A:B,2,0)</f>
        <v>匕首</v>
      </c>
      <c r="B3" t="b">
        <f>NOT(ISNA(VLOOKUP(C3+100,WeaponPara!A:A,1,0)))</f>
        <v>1</v>
      </c>
      <c r="C3">
        <v>1000000</v>
      </c>
    </row>
    <row r="4" spans="1:3" x14ac:dyDescent="0.2">
      <c r="A4" t="str">
        <f>VLOOKUP(C4,WeaponPara!A:B,2,0)</f>
        <v>盗贼短刀</v>
      </c>
      <c r="B4" t="b">
        <f>NOT(ISNA(VLOOKUP(C4+100,WeaponPara!A:A,1,0)))</f>
        <v>1</v>
      </c>
      <c r="C4">
        <v>1010000</v>
      </c>
    </row>
    <row r="5" spans="1:3" x14ac:dyDescent="0.2">
      <c r="A5" t="str">
        <f>VLOOKUP(C5,WeaponPara!A:B,2,0)</f>
        <v>格挡匕首</v>
      </c>
      <c r="B5" t="b">
        <f>NOT(ISNA(VLOOKUP(C5+100,WeaponPara!A:A,1,0)))</f>
        <v>1</v>
      </c>
      <c r="C5">
        <v>1020000</v>
      </c>
    </row>
    <row r="6" spans="1:3" x14ac:dyDescent="0.2">
      <c r="A6" t="str">
        <f>VLOOKUP(C6,WeaponPara!A:B,2,0)</f>
        <v>咕鲁腐败短刀</v>
      </c>
      <c r="B6" t="b">
        <f>NOT(ISNA(VLOOKUP(C6+100,WeaponPara!A:A,1,0)))</f>
        <v>1</v>
      </c>
      <c r="C6">
        <v>1040000</v>
      </c>
    </row>
    <row r="7" spans="1:3" x14ac:dyDescent="0.2">
      <c r="A7" t="str">
        <f>VLOOKUP(C7,WeaponPara!A:B,2,0)</f>
        <v>镰刀剑</v>
      </c>
      <c r="B7" t="b">
        <f>NOT(ISNA(VLOOKUP(C7+100,WeaponPara!A:A,1,0)))</f>
        <v>1</v>
      </c>
      <c r="C7">
        <v>1060000</v>
      </c>
    </row>
    <row r="8" spans="1:3" x14ac:dyDescent="0.2">
      <c r="A8" t="str">
        <f>VLOOKUP(C8,WeaponPara!A:B,2,0)</f>
        <v>贤者烛台</v>
      </c>
      <c r="B8" t="b">
        <f>NOT(ISNA(VLOOKUP(C8+100,WeaponPara!A:A,1,0)))</f>
        <v>0</v>
      </c>
      <c r="C8">
        <v>1070000</v>
      </c>
    </row>
    <row r="9" spans="1:3" x14ac:dyDescent="0.2">
      <c r="A9" t="str">
        <f>VLOOKUP(C9,WeaponPara!A:B,2,0)</f>
        <v>尾骨短剑</v>
      </c>
      <c r="B9" t="b">
        <f>NOT(ISNA(VLOOKUP(C9+100,WeaponPara!A:A,1,0)))</f>
        <v>0</v>
      </c>
      <c r="C9">
        <v>1080000</v>
      </c>
    </row>
    <row r="10" spans="1:3" x14ac:dyDescent="0.2">
      <c r="A10" t="str">
        <f>VLOOKUP(C10,WeaponPara!A:B,2,0)</f>
        <v>鸦人大短刀</v>
      </c>
      <c r="B10" t="b">
        <f>NOT(ISNA(VLOOKUP(C10+100,WeaponPara!A:A,1,0)))</f>
        <v>1</v>
      </c>
      <c r="C10">
        <v>1090000</v>
      </c>
    </row>
    <row r="11" spans="1:3" x14ac:dyDescent="0.2">
      <c r="A11" t="str">
        <f>VLOOKUP(C11,WeaponPara!A:B,2,0)</f>
        <v>侍女短剑</v>
      </c>
      <c r="B11" t="b">
        <f>NOT(ISNA(VLOOKUP(C11+100,WeaponPara!A:A,1,0)))</f>
        <v>0</v>
      </c>
      <c r="C11">
        <v>1120000</v>
      </c>
    </row>
    <row r="12" spans="1:3" x14ac:dyDescent="0.2">
      <c r="A12" t="str">
        <f>VLOOKUP(C12,WeaponPara!A:B,2,0)</f>
        <v>蓝宝珠短剑</v>
      </c>
      <c r="B12" t="b">
        <f>NOT(ISNA(VLOOKUP(C12+100,WeaponPara!A:A,1,0)))</f>
        <v>0</v>
      </c>
      <c r="C12">
        <v>1140000</v>
      </c>
    </row>
    <row r="13" spans="1:3" x14ac:dyDescent="0.2">
      <c r="A13" t="str">
        <f>VLOOKUP(C13,WeaponPara!A:B,2,0)</f>
        <v>濡湿小镰刀</v>
      </c>
      <c r="B13" t="b">
        <f>NOT(ISNA(VLOOKUP(C13+100,WeaponPara!A:A,1,0)))</f>
        <v>1</v>
      </c>
      <c r="C13">
        <v>1150000</v>
      </c>
    </row>
    <row r="14" spans="1:3" x14ac:dyDescent="0.2">
      <c r="A14" t="str">
        <f>VLOOKUP(C14,WeaponPara!A:B,2,0)</f>
        <v>短剑</v>
      </c>
      <c r="B14" t="b">
        <f>NOT(ISNA(VLOOKUP(C14+100,WeaponPara!A:A,1,0)))</f>
        <v>1</v>
      </c>
      <c r="C14">
        <v>2000000</v>
      </c>
    </row>
    <row r="15" spans="1:3" x14ac:dyDescent="0.2">
      <c r="A15" t="str">
        <f>VLOOKUP(C15,WeaponPara!A:B,2,0)</f>
        <v>长剑</v>
      </c>
      <c r="B15" t="b">
        <f>NOT(ISNA(VLOOKUP(C15+100,WeaponPara!A:A,1,0)))</f>
        <v>1</v>
      </c>
      <c r="C15">
        <v>2010000</v>
      </c>
    </row>
    <row r="16" spans="1:3" x14ac:dyDescent="0.2">
      <c r="A16" t="str">
        <f>VLOOKUP(C16,WeaponPara!A:B,2,0)</f>
        <v>阔剑</v>
      </c>
      <c r="B16" t="b">
        <f>NOT(ISNA(VLOOKUP(C16+100,WeaponPara!A:A,1,0)))</f>
        <v>1</v>
      </c>
      <c r="C16">
        <v>2020000</v>
      </c>
    </row>
    <row r="17" spans="1:3" x14ac:dyDescent="0.2">
      <c r="A17" t="str">
        <f>VLOOKUP(C17,WeaponPara!A:B,2,0)</f>
        <v>已折断的直剑</v>
      </c>
      <c r="B17" t="b">
        <f>NOT(ISNA(VLOOKUP(C17+100,WeaponPara!A:A,1,0)))</f>
        <v>1</v>
      </c>
      <c r="C17">
        <v>2030000</v>
      </c>
    </row>
    <row r="18" spans="1:3" x14ac:dyDescent="0.2">
      <c r="A18" t="str">
        <f>VLOOKUP(C18,WeaponPara!A:B,2,0)</f>
        <v>洛斯里克骑士剑</v>
      </c>
      <c r="B18" t="b">
        <f>NOT(ISNA(VLOOKUP(C18+100,WeaponPara!A:A,1,0)))</f>
        <v>1</v>
      </c>
      <c r="C18">
        <v>2060000</v>
      </c>
    </row>
    <row r="19" spans="1:3" x14ac:dyDescent="0.2">
      <c r="A19" t="str">
        <f>VLOOKUP(C19,WeaponPara!A:B,2,0)</f>
        <v>太阳直剑</v>
      </c>
      <c r="B19" t="b">
        <f>NOT(ISNA(VLOOKUP(C19+100,WeaponPara!A:A,1,0)))</f>
        <v>0</v>
      </c>
      <c r="C19">
        <v>2110000</v>
      </c>
    </row>
    <row r="20" spans="1:3" x14ac:dyDescent="0.2">
      <c r="A20" t="str">
        <f>VLOOKUP(C20,WeaponPara!A:B,2,0)</f>
        <v>咕鲁腐败曲刀</v>
      </c>
      <c r="B20" t="b">
        <f>NOT(ISNA(VLOOKUP(C20+100,WeaponPara!A:A,1,0)))</f>
        <v>1</v>
      </c>
      <c r="C20">
        <v>2120000</v>
      </c>
    </row>
    <row r="21" spans="1:3" x14ac:dyDescent="0.2">
      <c r="A21" t="str">
        <f>VLOOKUP(C21,WeaponPara!A:B,2,0)</f>
        <v>伊鲁席尔直剑</v>
      </c>
      <c r="B21" t="b">
        <f>NOT(ISNA(VLOOKUP(C21+100,WeaponPara!A:A,1,0)))</f>
        <v>0</v>
      </c>
      <c r="C21">
        <v>2140000</v>
      </c>
    </row>
    <row r="22" spans="1:3" x14ac:dyDescent="0.2">
      <c r="A22" t="str">
        <f>VLOOKUP(C22,WeaponPara!A:B,2,0)</f>
        <v>圣者烛台</v>
      </c>
      <c r="B22" t="b">
        <f>NOT(ISNA(VLOOKUP(C22+100,WeaponPara!A:A,1,0)))</f>
        <v>0</v>
      </c>
      <c r="C22">
        <v>2160000</v>
      </c>
    </row>
    <row r="23" spans="1:3" x14ac:dyDescent="0.2">
      <c r="A23" t="str">
        <f>VLOOKUP(C23,WeaponPara!A:B,2,0)</f>
        <v>摩利安刃剑</v>
      </c>
      <c r="B23" t="b">
        <f>NOT(ISNA(VLOOKUP(C23+100,WeaponPara!A:A,1,0)))</f>
        <v>0</v>
      </c>
      <c r="C23">
        <v>2180000</v>
      </c>
    </row>
    <row r="24" spans="1:3" x14ac:dyDescent="0.2">
      <c r="A24" t="str">
        <f>VLOOKUP(C24,WeaponPara!A:B,2,0)</f>
        <v>亚斯特拉直剑</v>
      </c>
      <c r="B24" t="b">
        <f>NOT(ISNA(VLOOKUP(C24+100,WeaponPara!A:A,1,0)))</f>
        <v>1</v>
      </c>
      <c r="C24">
        <v>2200000</v>
      </c>
    </row>
    <row r="25" spans="1:3" x14ac:dyDescent="0.2">
      <c r="A25" t="str">
        <f>VLOOKUP(C25,WeaponPara!A:B,2,0)</f>
        <v>刺针直剑</v>
      </c>
      <c r="B25" t="b">
        <f>NOT(ISNA(VLOOKUP(C25+100,WeaponPara!A:A,1,0)))</f>
        <v>1</v>
      </c>
      <c r="C25">
        <v>2210000</v>
      </c>
    </row>
    <row r="26" spans="1:3" x14ac:dyDescent="0.2">
      <c r="A26" t="str">
        <f>VLOOKUP(C26,WeaponPara!A:B,2,0)</f>
        <v>处刑者大剑</v>
      </c>
      <c r="B26" t="b">
        <f>NOT(ISNA(VLOOKUP(C26+100,WeaponPara!A:A,1,0)))</f>
        <v>0</v>
      </c>
      <c r="C26">
        <v>2220000</v>
      </c>
    </row>
    <row r="27" spans="1:3" x14ac:dyDescent="0.2">
      <c r="A27" t="str">
        <f>VLOOKUP(C27,WeaponPara!A:B,2,0)</f>
        <v>安里的直剑</v>
      </c>
      <c r="B27" t="b">
        <f>NOT(ISNA(VLOOKUP(C27+100,WeaponPara!A:A,1,0)))</f>
        <v>0</v>
      </c>
      <c r="C27">
        <v>2230000</v>
      </c>
    </row>
    <row r="28" spans="1:3" x14ac:dyDescent="0.2">
      <c r="A28" t="str">
        <f>VLOOKUP(C28,WeaponPara!A:B,2,0)</f>
        <v>缟玛瑙刃剑</v>
      </c>
      <c r="B28" t="b">
        <f>NOT(ISNA(VLOOKUP(C28+100,WeaponPara!A:A,1,0)))</f>
        <v>0</v>
      </c>
      <c r="C28">
        <v>2240000</v>
      </c>
    </row>
    <row r="29" spans="1:3" x14ac:dyDescent="0.2">
      <c r="A29" t="str">
        <f>VLOOKUP(C29,WeaponPara!A:B,2,0)</f>
        <v>环印骑士直剑</v>
      </c>
      <c r="B29" t="b">
        <f>NOT(ISNA(VLOOKUP(C29+100,WeaponPara!A:A,1,0)))</f>
        <v>0</v>
      </c>
      <c r="C29">
        <v>2250000</v>
      </c>
    </row>
    <row r="30" spans="1:3" x14ac:dyDescent="0.2">
      <c r="A30" t="str">
        <f>VLOOKUP(C30,WeaponPara!A:B,2,0)</f>
        <v>盖尔大剑</v>
      </c>
      <c r="B30" t="b">
        <f>NOT(ISNA(VLOOKUP(C30+100,WeaponPara!A:A,1,0)))</f>
        <v>0</v>
      </c>
      <c r="C30">
        <v>2260000</v>
      </c>
    </row>
    <row r="31" spans="1:3" x14ac:dyDescent="0.2">
      <c r="A31" t="str">
        <f>VLOOKUP(C31,WeaponPara!A:B,2,0)</f>
        <v>刺剑</v>
      </c>
      <c r="B31" t="b">
        <f>NOT(ISNA(VLOOKUP(C31+100,WeaponPara!A:A,1,0)))</f>
        <v>1</v>
      </c>
      <c r="C31">
        <v>3000000</v>
      </c>
    </row>
    <row r="32" spans="1:3" x14ac:dyDescent="0.2">
      <c r="A32" t="str">
        <f>VLOOKUP(C32,WeaponPara!A:B,2,0)</f>
        <v>破甲细剑</v>
      </c>
      <c r="B32" t="b">
        <f>NOT(ISNA(VLOOKUP(C32+100,WeaponPara!A:A,1,0)))</f>
        <v>1</v>
      </c>
      <c r="C32">
        <v>3010000</v>
      </c>
    </row>
    <row r="33" spans="1:3" x14ac:dyDescent="0.2">
      <c r="A33" t="str">
        <f>VLOOKUP(C33,WeaponPara!A:B,2,0)</f>
        <v>细剑</v>
      </c>
      <c r="B33" t="b">
        <f>NOT(ISNA(VLOOKUP(C33+100,WeaponPara!A:A,1,0)))</f>
        <v>1</v>
      </c>
      <c r="C33">
        <v>3020000</v>
      </c>
    </row>
    <row r="34" spans="1:3" x14ac:dyDescent="0.2">
      <c r="A34" t="str">
        <f>VLOOKUP(C34,WeaponPara!A:B,2,0)</f>
        <v>里卡尔刺剑</v>
      </c>
      <c r="B34" t="b">
        <f>NOT(ISNA(VLOOKUP(C34+100,WeaponPara!A:A,1,0)))</f>
        <v>1</v>
      </c>
      <c r="C34">
        <v>3030000</v>
      </c>
    </row>
    <row r="35" spans="1:3" x14ac:dyDescent="0.2">
      <c r="A35" t="str">
        <f>VLOOKUP(C35,WeaponPara!A:B,2,0)</f>
        <v>结晶老者刺剑</v>
      </c>
      <c r="B35" t="b">
        <f>NOT(ISNA(VLOOKUP(C35+100,WeaponPara!A:A,1,0)))</f>
        <v>0</v>
      </c>
      <c r="C35">
        <v>3040000</v>
      </c>
    </row>
    <row r="36" spans="1:3" x14ac:dyDescent="0.2">
      <c r="A36" t="str">
        <f>VLOOKUP(C36,WeaponPara!A:B,2,0)</f>
        <v>伊鲁席尔刺剑</v>
      </c>
      <c r="B36" t="b">
        <f>NOT(ISNA(VLOOKUP(C36+100,WeaponPara!A:A,1,0)))</f>
        <v>0</v>
      </c>
      <c r="C36">
        <v>3050000</v>
      </c>
    </row>
    <row r="37" spans="1:3" x14ac:dyDescent="0.2">
      <c r="A37" t="str">
        <f>VLOOKUP(C37,WeaponPara!A:B,2,0)</f>
        <v>钩剑</v>
      </c>
      <c r="B37" t="b">
        <f>NOT(ISNA(VLOOKUP(C37+100,WeaponPara!A:A,1,0)))</f>
        <v>1</v>
      </c>
      <c r="C37">
        <v>4010000</v>
      </c>
    </row>
    <row r="38" spans="1:3" x14ac:dyDescent="0.2">
      <c r="A38" t="str">
        <f>VLOOKUP(C38,WeaponPara!A:B,2,0)</f>
        <v>短弯刀</v>
      </c>
      <c r="B38" t="b">
        <f>NOT(ISNA(VLOOKUP(C38+100,WeaponPara!A:A,1,0)))</f>
        <v>1</v>
      </c>
      <c r="C38">
        <v>4030000</v>
      </c>
    </row>
    <row r="39" spans="1:3" x14ac:dyDescent="0.2">
      <c r="A39" t="str">
        <f>VLOOKUP(C39,WeaponPara!A:B,2,0)</f>
        <v>弯刃大刀</v>
      </c>
      <c r="B39" t="b">
        <f>NOT(ISNA(VLOOKUP(C39+100,WeaponPara!A:A,1,0)))</f>
        <v>1</v>
      </c>
      <c r="C39">
        <v>4040000</v>
      </c>
    </row>
    <row r="40" spans="1:3" x14ac:dyDescent="0.2">
      <c r="A40" t="str">
        <f>VLOOKUP(C40,WeaponPara!A:B,2,0)</f>
        <v>卡萨斯曲刀</v>
      </c>
      <c r="B40" t="b">
        <f>NOT(ISNA(VLOOKUP(C40+100,WeaponPara!A:A,1,0)))</f>
        <v>1</v>
      </c>
      <c r="C40">
        <v>4050000</v>
      </c>
    </row>
    <row r="41" spans="1:3" x14ac:dyDescent="0.2">
      <c r="A41" t="str">
        <f>VLOOKUP(C41,WeaponPara!A:B,2,0)</f>
        <v>卡萨斯大曲刀</v>
      </c>
      <c r="B41" t="b">
        <f>NOT(ISNA(VLOOKUP(C41+100,WeaponPara!A:A,1,0)))</f>
        <v>1</v>
      </c>
      <c r="C41">
        <v>4060000</v>
      </c>
    </row>
    <row r="42" spans="1:3" x14ac:dyDescent="0.2">
      <c r="A42" t="str">
        <f>VLOOKUP(C42,WeaponPara!A:B,2,0)</f>
        <v>教宗骑士曲剑</v>
      </c>
      <c r="B42" t="b">
        <f>NOT(ISNA(VLOOKUP(C42+100,WeaponPara!A:A,1,0)))</f>
        <v>0</v>
      </c>
      <c r="C42">
        <v>4070000</v>
      </c>
    </row>
    <row r="43" spans="1:3" x14ac:dyDescent="0.2">
      <c r="A43" t="str">
        <f>VLOOKUP(C43,WeaponPara!A:B,2,0)</f>
        <v>风暴曲剑</v>
      </c>
      <c r="B43" t="b">
        <f>NOT(ISNA(VLOOKUP(C43+100,WeaponPara!A:A,1,0)))</f>
        <v>0</v>
      </c>
      <c r="C43">
        <v>4080000</v>
      </c>
    </row>
    <row r="44" spans="1:3" x14ac:dyDescent="0.2">
      <c r="A44" t="str">
        <f>VLOOKUP(C44,WeaponPara!A:B,2,0)</f>
        <v>绘画使者曲剑</v>
      </c>
      <c r="B44" t="b">
        <f>NOT(ISNA(VLOOKUP(C44+100,WeaponPara!A:A,1,0)))</f>
        <v>1</v>
      </c>
      <c r="C44">
        <v>4090000</v>
      </c>
    </row>
    <row r="45" spans="1:3" x14ac:dyDescent="0.2">
      <c r="A45" t="str">
        <f>VLOOKUP(C45,WeaponPara!A:B,2,0)</f>
        <v>月牙曲剑</v>
      </c>
      <c r="B45" t="b">
        <f>NOT(ISNA(VLOOKUP(C45+100,WeaponPara!A:A,1,0)))</f>
        <v>0</v>
      </c>
      <c r="C45">
        <v>4100000</v>
      </c>
    </row>
    <row r="46" spans="1:3" x14ac:dyDescent="0.2">
      <c r="A46" t="str">
        <f>VLOOKUP(C46,WeaponPara!A:B,2,0)</f>
        <v>卡萨斯钩剑</v>
      </c>
      <c r="B46" t="b">
        <f>NOT(ISNA(VLOOKUP(C46+100,WeaponPara!A:A,1,0)))</f>
        <v>1</v>
      </c>
      <c r="C46">
        <v>4110000</v>
      </c>
    </row>
    <row r="47" spans="1:3" x14ac:dyDescent="0.2">
      <c r="A47" t="str">
        <f>VLOOKUP(C47,WeaponPara!A:B,2,0)</f>
        <v>幽魂军刀</v>
      </c>
      <c r="B47" t="b">
        <f>NOT(ISNA(VLOOKUP(C47+100,WeaponPara!A:A,1,0)))</f>
        <v>1</v>
      </c>
      <c r="C47">
        <v>4120000</v>
      </c>
    </row>
    <row r="48" spans="1:3" x14ac:dyDescent="0.2">
      <c r="A48" t="str">
        <f>VLOOKUP(C48,WeaponPara!A:B,2,0)</f>
        <v>恶魔爪痕</v>
      </c>
      <c r="B48" t="b">
        <f>NOT(ISNA(VLOOKUP(C48+100,WeaponPara!A:A,1,0)))</f>
        <v>0</v>
      </c>
      <c r="C48">
        <v>4130000</v>
      </c>
    </row>
    <row r="49" spans="1:3" x14ac:dyDescent="0.2">
      <c r="A49" t="str">
        <f>VLOOKUP(C49,WeaponPara!A:B,2,0)</f>
        <v>打刀</v>
      </c>
      <c r="B49" t="b">
        <f>NOT(ISNA(VLOOKUP(C49+100,WeaponPara!A:A,1,0)))</f>
        <v>1</v>
      </c>
      <c r="C49">
        <v>5000000</v>
      </c>
    </row>
    <row r="50" spans="1:3" x14ac:dyDescent="0.2">
      <c r="A50" t="str">
        <f>VLOOKUP(C50,WeaponPara!A:B,2,0)</f>
        <v>晾衣长刀</v>
      </c>
      <c r="B50" t="b">
        <f>NOT(ISNA(VLOOKUP(C50+100,WeaponPara!A:A,1,0)))</f>
        <v>1</v>
      </c>
      <c r="C50">
        <v>5010000</v>
      </c>
    </row>
    <row r="51" spans="1:3" x14ac:dyDescent="0.2">
      <c r="A51" t="str">
        <f>VLOOKUP(C51,WeaponPara!A:B,2,0)</f>
        <v>混沌刀刃</v>
      </c>
      <c r="B51" t="b">
        <f>NOT(ISNA(VLOOKUP(C51+100,WeaponPara!A:A,1,0)))</f>
        <v>0</v>
      </c>
      <c r="C51">
        <v>5020000</v>
      </c>
    </row>
    <row r="52" spans="1:3" x14ac:dyDescent="0.2">
      <c r="A52" t="str">
        <f>VLOOKUP(C52,WeaponPara!A:B,2,0)</f>
        <v>黑刀</v>
      </c>
      <c r="B52" t="b">
        <f>NOT(ISNA(VLOOKUP(C52+100,WeaponPara!A:A,1,0)))</f>
        <v>1</v>
      </c>
      <c r="C52">
        <v>5030000</v>
      </c>
    </row>
    <row r="53" spans="1:3" x14ac:dyDescent="0.2">
      <c r="A53" t="str">
        <f>VLOOKUP(C53,WeaponPara!A:B,2,0)</f>
        <v>血癫狂</v>
      </c>
      <c r="B53" t="b">
        <f>NOT(ISNA(VLOOKUP(C53+100,WeaponPara!A:A,1,0)))</f>
        <v>0</v>
      </c>
      <c r="C53">
        <v>5040000</v>
      </c>
    </row>
    <row r="54" spans="1:3" x14ac:dyDescent="0.2">
      <c r="A54" t="str">
        <f>VLOOKUP(C54,WeaponPara!A:B,2,0)</f>
        <v>暗胧</v>
      </c>
      <c r="B54" t="b">
        <f>NOT(ISNA(VLOOKUP(C54+100,WeaponPara!A:A,1,0)))</f>
        <v>0</v>
      </c>
      <c r="C54">
        <v>5050000</v>
      </c>
    </row>
    <row r="55" spans="1:3" x14ac:dyDescent="0.2">
      <c r="A55" t="str">
        <f>VLOOKUP(C55,WeaponPara!A:B,2,0)</f>
        <v>破碎刀</v>
      </c>
      <c r="B55" t="b">
        <f>NOT(ISNA(VLOOKUP(C55+100,WeaponPara!A:A,1,0)))</f>
        <v>0</v>
      </c>
      <c r="C55">
        <v>5060000</v>
      </c>
    </row>
    <row r="56" spans="1:3" x14ac:dyDescent="0.2">
      <c r="A56" t="str">
        <f>VLOOKUP(C56,WeaponPara!A:B,2,0)</f>
        <v>混种大剑</v>
      </c>
      <c r="B56" t="b">
        <f>NOT(ISNA(VLOOKUP(C56+100,WeaponPara!A:A,1,0)))</f>
        <v>1</v>
      </c>
      <c r="C56">
        <v>6000000</v>
      </c>
    </row>
    <row r="57" spans="1:3" x14ac:dyDescent="0.2">
      <c r="A57" t="str">
        <f>VLOOKUP(C57,WeaponPara!A:B,2,0)</f>
        <v>大剑</v>
      </c>
      <c r="B57" t="b">
        <f>NOT(ISNA(VLOOKUP(C57+100,WeaponPara!A:A,1,0)))</f>
        <v>1</v>
      </c>
      <c r="C57">
        <v>6020000</v>
      </c>
    </row>
    <row r="58" spans="1:3" x14ac:dyDescent="0.2">
      <c r="A58" t="str">
        <f>VLOOKUP(C58,WeaponPara!A:B,2,0)</f>
        <v>双手巨剑</v>
      </c>
      <c r="B58" t="b">
        <f>NOT(ISNA(VLOOKUP(C58+100,WeaponPara!A:A,1,0)))</f>
        <v>1</v>
      </c>
      <c r="C58">
        <v>6040000</v>
      </c>
    </row>
    <row r="59" spans="1:3" x14ac:dyDescent="0.2">
      <c r="A59" t="str">
        <f>VLOOKUP(C59,WeaponPara!A:B,2,0)</f>
        <v>巨剑</v>
      </c>
      <c r="B59" t="b">
        <f>NOT(ISNA(VLOOKUP(C59+100,WeaponPara!A:A,1,0)))</f>
        <v>1</v>
      </c>
      <c r="C59">
        <v>6050000</v>
      </c>
    </row>
    <row r="60" spans="1:3" x14ac:dyDescent="0.2">
      <c r="A60" t="str">
        <f>VLOOKUP(C60,WeaponPara!A:B,2,0)</f>
        <v>亚斯特拉大剑</v>
      </c>
      <c r="B60" t="b">
        <f>NOT(ISNA(VLOOKUP(C60+100,WeaponPara!A:A,1,0)))</f>
        <v>1</v>
      </c>
      <c r="C60">
        <v>6070000</v>
      </c>
    </row>
    <row r="61" spans="1:3" x14ac:dyDescent="0.2">
      <c r="A61" t="str">
        <f>VLOOKUP(C61,WeaponPara!A:B,2,0)</f>
        <v>丛云</v>
      </c>
      <c r="B61" t="b">
        <f>NOT(ISNA(VLOOKUP(C61+100,WeaponPara!A:A,1,0)))</f>
        <v>1</v>
      </c>
      <c r="C61">
        <v>6080000</v>
      </c>
    </row>
    <row r="62" spans="1:3" x14ac:dyDescent="0.2">
      <c r="A62" t="str">
        <f>VLOOKUP(C62,WeaponPara!A:B,2,0)</f>
        <v>洛斯里克骑士大剑</v>
      </c>
      <c r="B62" t="b">
        <f>NOT(ISNA(VLOOKUP(C62+100,WeaponPara!A:A,1,0)))</f>
        <v>1</v>
      </c>
      <c r="C62">
        <v>6100000</v>
      </c>
    </row>
    <row r="63" spans="1:3" x14ac:dyDescent="0.2">
      <c r="A63" t="str">
        <f>VLOOKUP(C63,WeaponPara!A:B,2,0)</f>
        <v>黑骑士大剑</v>
      </c>
      <c r="B63" t="b">
        <f>NOT(ISNA(VLOOKUP(C63+100,WeaponPara!A:A,1,0)))</f>
        <v>0</v>
      </c>
      <c r="C63">
        <v>6130000</v>
      </c>
    </row>
    <row r="64" spans="1:3" x14ac:dyDescent="0.2">
      <c r="A64" t="str">
        <f>VLOOKUP(C64,WeaponPara!A:B,2,0)</f>
        <v>焰形大剑</v>
      </c>
      <c r="B64" t="b">
        <f>NOT(ISNA(VLOOKUP(C64+100,WeaponPara!A:A,1,0)))</f>
        <v>1</v>
      </c>
      <c r="C64">
        <v>6140000</v>
      </c>
    </row>
    <row r="65" spans="1:3" x14ac:dyDescent="0.2">
      <c r="A65" t="str">
        <f>VLOOKUP(C65,WeaponPara!A:B,2,0)</f>
        <v>流放者大刀</v>
      </c>
      <c r="B65" t="b">
        <f>NOT(ISNA(VLOOKUP(C65+100,WeaponPara!A:A,1,0)))</f>
        <v>1</v>
      </c>
      <c r="C65">
        <v>6150000</v>
      </c>
    </row>
    <row r="66" spans="1:3" x14ac:dyDescent="0.2">
      <c r="A66" t="str">
        <f>VLOOKUP(C66,WeaponPara!A:B,2,0)</f>
        <v>制裁大剑</v>
      </c>
      <c r="B66" t="b">
        <f>NOT(ISNA(VLOOKUP(C66+100,WeaponPara!A:A,1,0)))</f>
        <v>0</v>
      </c>
      <c r="C66">
        <v>6170000</v>
      </c>
    </row>
    <row r="67" spans="1:3" x14ac:dyDescent="0.2">
      <c r="A67" t="str">
        <f>VLOOKUP(C67,WeaponPara!A:B,2,0)</f>
        <v>罪业大剑</v>
      </c>
      <c r="B67" t="b">
        <f>NOT(ISNA(VLOOKUP(C67+100,WeaponPara!A:A,1,0)))</f>
        <v>0</v>
      </c>
      <c r="C67">
        <v>6180000</v>
      </c>
    </row>
    <row r="68" spans="1:3" x14ac:dyDescent="0.2">
      <c r="A68" t="str">
        <f>VLOOKUP(C68,WeaponPara!A:B,2,0)</f>
        <v>教堂骑士大剑</v>
      </c>
      <c r="B68" t="b">
        <f>NOT(ISNA(VLOOKUP(C68+100,WeaponPara!A:A,1,0)))</f>
        <v>1</v>
      </c>
      <c r="C68">
        <v>6190000</v>
      </c>
    </row>
    <row r="69" spans="1:3" x14ac:dyDescent="0.2">
      <c r="A69" t="str">
        <f>VLOOKUP(C69,WeaponPara!A:B,2,0)</f>
        <v>法兰大剑</v>
      </c>
      <c r="B69" t="b">
        <f>NOT(ISNA(VLOOKUP(C69+100,WeaponPara!A:A,1,0)))</f>
        <v>0</v>
      </c>
      <c r="C69">
        <v>6200000</v>
      </c>
    </row>
    <row r="70" spans="1:3" x14ac:dyDescent="0.2">
      <c r="A70" t="str">
        <f>VLOOKUP(C70,WeaponPara!A:B,2,0)</f>
        <v>尤姆大柴刀</v>
      </c>
      <c r="B70" t="b">
        <f>NOT(ISNA(VLOOKUP(C70+100,WeaponPara!A:A,1,0)))</f>
        <v>0</v>
      </c>
      <c r="C70">
        <v>6230000</v>
      </c>
    </row>
    <row r="71" spans="1:3" x14ac:dyDescent="0.2">
      <c r="A71" t="str">
        <f>VLOOKUP(C71,WeaponPara!A:B,2,0)</f>
        <v>黑暗剑</v>
      </c>
      <c r="B71" t="b">
        <f>NOT(ISNA(VLOOKUP(C71+100,WeaponPara!A:A,1,0)))</f>
        <v>1</v>
      </c>
      <c r="C71">
        <v>6240000</v>
      </c>
    </row>
    <row r="72" spans="1:3" x14ac:dyDescent="0.2">
      <c r="A72" t="str">
        <f>VLOOKUP(C72,WeaponPara!A:B,2,0)</f>
        <v>黑骑士剑</v>
      </c>
      <c r="B72" t="b">
        <f>NOT(ISNA(VLOOKUP(C72+100,WeaponPara!A:A,1,0)))</f>
        <v>0</v>
      </c>
      <c r="C72">
        <v>6250000</v>
      </c>
    </row>
    <row r="73" spans="1:3" x14ac:dyDescent="0.2">
      <c r="A73" t="str">
        <f>VLOOKUP(C73,WeaponPara!A:B,2,0)</f>
        <v>洛里安大剑</v>
      </c>
      <c r="B73" t="b">
        <f>NOT(ISNA(VLOOKUP(C73+100,WeaponPara!A:A,1,0)))</f>
        <v>0</v>
      </c>
      <c r="C73">
        <v>6260000</v>
      </c>
    </row>
    <row r="74" spans="1:3" x14ac:dyDescent="0.2">
      <c r="A74" t="str">
        <f>VLOOKUP(C74,WeaponPara!A:B,2,0)</f>
        <v>孪生王子大剑</v>
      </c>
      <c r="B74" t="b">
        <f>NOT(ISNA(VLOOKUP(C74+100,WeaponPara!A:A,1,0)))</f>
        <v>0</v>
      </c>
      <c r="C74">
        <v>6270000</v>
      </c>
    </row>
    <row r="75" spans="1:3" x14ac:dyDescent="0.2">
      <c r="A75" t="str">
        <f>VLOOKUP(C75,WeaponPara!A:B,2,0)</f>
        <v>洛斯里克圣剑</v>
      </c>
      <c r="B75" t="b">
        <f>NOT(ISNA(VLOOKUP(C75+100,WeaponPara!A:A,1,0)))</f>
        <v>0</v>
      </c>
      <c r="C75">
        <v>6280000</v>
      </c>
    </row>
    <row r="76" spans="1:3" x14ac:dyDescent="0.2">
      <c r="A76" t="str">
        <f>VLOOKUP(C76,WeaponPara!A:B,2,0)</f>
        <v>沃尼尔圣剑</v>
      </c>
      <c r="B76" t="b">
        <f>NOT(ISNA(VLOOKUP(C76+100,WeaponPara!A:A,1,0)))</f>
        <v>0</v>
      </c>
      <c r="C76">
        <v>6290000</v>
      </c>
    </row>
    <row r="77" spans="1:3" x14ac:dyDescent="0.2">
      <c r="A77" t="str">
        <f>VLOOKUP(C77,WeaponPara!A:B,2,0)</f>
        <v>狼骑士大剑</v>
      </c>
      <c r="B77" t="b">
        <f>NOT(ISNA(VLOOKUP(C77+100,WeaponPara!A:A,1,0)))</f>
        <v>0</v>
      </c>
      <c r="C77">
        <v>6300000</v>
      </c>
    </row>
    <row r="78" spans="1:3" x14ac:dyDescent="0.2">
      <c r="A78" t="str">
        <f>VLOOKUP(C78,WeaponPara!A:B,2,0)</f>
        <v>猎杀游魂大剑</v>
      </c>
      <c r="B78" t="b">
        <f>NOT(ISNA(VLOOKUP(C78+100,WeaponPara!A:A,1,0)))</f>
        <v>0</v>
      </c>
      <c r="C78">
        <v>6310000</v>
      </c>
    </row>
    <row r="79" spans="1:3" x14ac:dyDescent="0.2">
      <c r="A79" t="str">
        <f>VLOOKUP(C79,WeaponPara!A:B,2,0)</f>
        <v>月光大剑</v>
      </c>
      <c r="B79" t="b">
        <f>NOT(ISNA(VLOOKUP(C79+100,WeaponPara!A:A,1,0)))</f>
        <v>0</v>
      </c>
      <c r="C79">
        <v>6320000</v>
      </c>
    </row>
    <row r="80" spans="1:3" x14ac:dyDescent="0.2">
      <c r="A80" t="str">
        <f>VLOOKUP(C80,WeaponPara!A:B,2,0)</f>
        <v>龙血大剑</v>
      </c>
      <c r="B80" t="b">
        <f>NOT(ISNA(VLOOKUP(C80+100,WeaponPara!A:A,1,0)))</f>
        <v>1</v>
      </c>
      <c r="C80">
        <v>6330000</v>
      </c>
    </row>
    <row r="81" spans="1:3" x14ac:dyDescent="0.2">
      <c r="A81" t="str">
        <f>VLOOKUP(C81,WeaponPara!A:B,2,0)</f>
        <v>传火大剑</v>
      </c>
      <c r="B81" t="b">
        <f>NOT(ISNA(VLOOKUP(C81+100,WeaponPara!A:A,1,0)))</f>
        <v>0</v>
      </c>
      <c r="C81">
        <v>6340000</v>
      </c>
    </row>
    <row r="82" spans="1:3" x14ac:dyDescent="0.2">
      <c r="A82" t="str">
        <f>VLOOKUP(C82,WeaponPara!A:B,2,0)</f>
        <v>漫烟特大剑</v>
      </c>
      <c r="B82" t="b">
        <f>NOT(ISNA(VLOOKUP(C82+100,WeaponPara!A:A,1,0)))</f>
        <v>0</v>
      </c>
      <c r="C82">
        <v>6350000</v>
      </c>
    </row>
    <row r="83" spans="1:3" x14ac:dyDescent="0.2">
      <c r="A83" t="str">
        <f>VLOOKUP(C83,WeaponPara!A:B,2,0)</f>
        <v>老狼曲剑</v>
      </c>
      <c r="B83" t="b">
        <f>NOT(ISNA(VLOOKUP(C83+100,WeaponPara!A:A,1,0)))</f>
        <v>0</v>
      </c>
      <c r="C83">
        <v>6360000</v>
      </c>
    </row>
    <row r="84" spans="1:3" x14ac:dyDescent="0.2">
      <c r="A84" t="str">
        <f>VLOOKUP(C84,WeaponPara!A:B,2,0)</f>
        <v>风暴管束者</v>
      </c>
      <c r="B84" t="b">
        <f>NOT(ISNA(VLOOKUP(C84+100,WeaponPara!A:A,1,0)))</f>
        <v>0</v>
      </c>
      <c r="C84">
        <v>6370000</v>
      </c>
    </row>
    <row r="85" spans="1:3" x14ac:dyDescent="0.2">
      <c r="A85" t="str">
        <f>VLOOKUP(C85,WeaponPara!A:B,2,0)</f>
        <v>哈兰得大曲剑</v>
      </c>
      <c r="B85" t="b">
        <f>NOT(ISNA(VLOOKUP(C85+100,WeaponPara!A:A,1,0)))</f>
        <v>1</v>
      </c>
      <c r="C85">
        <v>6380000</v>
      </c>
    </row>
    <row r="86" spans="1:3" x14ac:dyDescent="0.2">
      <c r="A86" t="str">
        <f>VLOOKUP(C86,WeaponPara!A:B,2,0)</f>
        <v>手斧</v>
      </c>
      <c r="B86" t="b">
        <f>NOT(ISNA(VLOOKUP(C86+100,WeaponPara!A:A,1,0)))</f>
        <v>1</v>
      </c>
      <c r="C86">
        <v>7000000</v>
      </c>
    </row>
    <row r="87" spans="1:3" x14ac:dyDescent="0.2">
      <c r="A87" t="str">
        <f>VLOOKUP(C87,WeaponPara!A:B,2,0)</f>
        <v>战斧</v>
      </c>
      <c r="B87" t="b">
        <f>NOT(ISNA(VLOOKUP(C87+100,WeaponPara!A:A,1,0)))</f>
        <v>1</v>
      </c>
      <c r="C87">
        <v>7010000</v>
      </c>
    </row>
    <row r="88" spans="1:3" x14ac:dyDescent="0.2">
      <c r="A88" t="str">
        <f>VLOOKUP(C88,WeaponPara!A:B,2,0)</f>
        <v>山贼斧</v>
      </c>
      <c r="B88" t="b">
        <f>NOT(ISNA(VLOOKUP(C88+100,WeaponPara!A:A,1,0)))</f>
        <v>1</v>
      </c>
      <c r="C88">
        <v>7020000</v>
      </c>
    </row>
    <row r="89" spans="1:3" x14ac:dyDescent="0.2">
      <c r="A89" t="str">
        <f>VLOOKUP(C89,WeaponPara!A:B,2,0)</f>
        <v>弦月斧</v>
      </c>
      <c r="B89" t="b">
        <f>NOT(ISNA(VLOOKUP(C89+100,WeaponPara!A:A,1,0)))</f>
        <v>1</v>
      </c>
      <c r="C89">
        <v>7040000</v>
      </c>
    </row>
    <row r="90" spans="1:3" x14ac:dyDescent="0.2">
      <c r="A90" t="str">
        <f>VLOOKUP(C90,WeaponPara!A:B,2,0)</f>
        <v>巨斧</v>
      </c>
      <c r="B90" t="b">
        <f>NOT(ISNA(VLOOKUP(C90+100,WeaponPara!A:A,1,0)))</f>
        <v>1</v>
      </c>
      <c r="C90">
        <v>7050000</v>
      </c>
    </row>
    <row r="91" spans="1:3" x14ac:dyDescent="0.2">
      <c r="A91" t="str">
        <f>VLOOKUP(C91,WeaponPara!A:B,2,0)</f>
        <v>切肉菜刀</v>
      </c>
      <c r="B91" t="b">
        <f>NOT(ISNA(VLOOKUP(C91+100,WeaponPara!A:A,1,0)))</f>
        <v>0</v>
      </c>
      <c r="C91">
        <v>7070000</v>
      </c>
    </row>
    <row r="92" spans="1:3" x14ac:dyDescent="0.2">
      <c r="A92" t="str">
        <f>VLOOKUP(C92,WeaponPara!A:B,2,0)</f>
        <v>屠龙斧</v>
      </c>
      <c r="B92" t="b">
        <f>NOT(ISNA(VLOOKUP(C92+100,WeaponPara!A:A,1,0)))</f>
        <v>1</v>
      </c>
      <c r="C92">
        <v>7080000</v>
      </c>
    </row>
    <row r="93" spans="1:3" x14ac:dyDescent="0.2">
      <c r="A93" t="str">
        <f>VLOOKUP(C93,WeaponPara!A:B,2,0)</f>
        <v>奴隶手斧</v>
      </c>
      <c r="B93" t="b">
        <f>NOT(ISNA(VLOOKUP(C93+100,WeaponPara!A:A,1,0)))</f>
        <v>1</v>
      </c>
      <c r="C93">
        <v>7100000</v>
      </c>
    </row>
    <row r="94" spans="1:3" x14ac:dyDescent="0.2">
      <c r="A94" t="str">
        <f>VLOOKUP(C94,WeaponPara!A:B,2,0)</f>
        <v>猎龙大斧</v>
      </c>
      <c r="B94" t="b">
        <f>NOT(ISNA(VLOOKUP(C94+100,WeaponPara!A:A,1,0)))</f>
        <v>0</v>
      </c>
      <c r="C94">
        <v>7110000</v>
      </c>
    </row>
    <row r="95" spans="1:3" x14ac:dyDescent="0.2">
      <c r="A95" t="str">
        <f>VLOOKUP(C95,WeaponPara!A:B,2,0)</f>
        <v>恶魔大斧</v>
      </c>
      <c r="B95" t="b">
        <f>NOT(ISNA(VLOOKUP(C95+100,WeaponPara!A:A,1,0)))</f>
        <v>0</v>
      </c>
      <c r="C95">
        <v>7120000</v>
      </c>
    </row>
    <row r="96" spans="1:3" x14ac:dyDescent="0.2">
      <c r="A96" t="str">
        <f>VLOOKUP(C96,WeaponPara!A:B,2,0)</f>
        <v>艾莲诺拉</v>
      </c>
      <c r="B96" t="b">
        <f>NOT(ISNA(VLOOKUP(C96+100,WeaponPara!A:A,1,0)))</f>
        <v>0</v>
      </c>
      <c r="C96">
        <v>7130000</v>
      </c>
    </row>
    <row r="97" spans="1:3" x14ac:dyDescent="0.2">
      <c r="A97" t="str">
        <f>VLOOKUP(C97,WeaponPara!A:B,2,0)</f>
        <v>蛇人柴刀</v>
      </c>
      <c r="B97" t="b">
        <f>NOT(ISNA(VLOOKUP(C97+100,WeaponPara!A:A,1,0)))</f>
        <v>1</v>
      </c>
      <c r="C97">
        <v>7150000</v>
      </c>
    </row>
    <row r="98" spans="1:3" x14ac:dyDescent="0.2">
      <c r="A98" t="str">
        <f>VLOOKUP(C98,WeaponPara!A:B,2,0)</f>
        <v>米尔伍德战斧</v>
      </c>
      <c r="B98" t="b">
        <f>NOT(ISNA(VLOOKUP(C98+100,WeaponPara!A:A,1,0)))</f>
        <v>1</v>
      </c>
      <c r="C98">
        <v>7170000</v>
      </c>
    </row>
    <row r="99" spans="1:3" x14ac:dyDescent="0.2">
      <c r="A99" t="str">
        <f>VLOOKUP(C99,WeaponPara!A:B,2,0)</f>
        <v>追地者</v>
      </c>
      <c r="B99" t="b">
        <f>NOT(ISNA(VLOOKUP(C99+100,WeaponPara!A:A,1,0)))</f>
        <v>0</v>
      </c>
      <c r="C99">
        <v>7180000</v>
      </c>
    </row>
    <row r="100" spans="1:3" x14ac:dyDescent="0.2">
      <c r="A100" t="str">
        <f>VLOOKUP(C100,WeaponPara!A:B,2,0)</f>
        <v>棍棒</v>
      </c>
      <c r="B100" t="b">
        <f>NOT(ISNA(VLOOKUP(C100+100,WeaponPara!A:A,1,0)))</f>
        <v>1</v>
      </c>
      <c r="C100">
        <v>8000000</v>
      </c>
    </row>
    <row r="101" spans="1:3" x14ac:dyDescent="0.2">
      <c r="A101" t="str">
        <f>VLOOKUP(C101,WeaponPara!A:B,2,0)</f>
        <v>锤矛</v>
      </c>
      <c r="B101" t="b">
        <f>NOT(ISNA(VLOOKUP(C101+100,WeaponPara!A:A,1,0)))</f>
        <v>1</v>
      </c>
      <c r="C101">
        <v>8010000</v>
      </c>
    </row>
    <row r="102" spans="1:3" x14ac:dyDescent="0.2">
      <c r="A102" t="str">
        <f>VLOOKUP(C102,WeaponPara!A:B,2,0)</f>
        <v>朝星锤</v>
      </c>
      <c r="B102" t="b">
        <f>NOT(ISNA(VLOOKUP(C102+100,WeaponPara!A:A,1,0)))</f>
        <v>1</v>
      </c>
      <c r="C102">
        <v>8020000</v>
      </c>
    </row>
    <row r="103" spans="1:3" x14ac:dyDescent="0.2">
      <c r="A103" t="str">
        <f>VLOOKUP(C103,WeaponPara!A:B,2,0)</f>
        <v>强化棍棒</v>
      </c>
      <c r="B103" t="b">
        <f>NOT(ISNA(VLOOKUP(C103+100,WeaponPara!A:A,1,0)))</f>
        <v>1</v>
      </c>
      <c r="C103">
        <v>8030000</v>
      </c>
    </row>
    <row r="104" spans="1:3" x14ac:dyDescent="0.2">
      <c r="A104" t="str">
        <f>VLOOKUP(C104,WeaponPara!A:B,2,0)</f>
        <v>大型棍棒</v>
      </c>
      <c r="B104" t="b">
        <f>NOT(ISNA(VLOOKUP(C104+100,WeaponPara!A:A,1,0)))</f>
        <v>1</v>
      </c>
      <c r="C104">
        <v>8060000</v>
      </c>
    </row>
    <row r="105" spans="1:3" x14ac:dyDescent="0.2">
      <c r="A105" t="str">
        <f>VLOOKUP(C105,WeaponPara!A:B,2,0)</f>
        <v>巨型棍棒</v>
      </c>
      <c r="B105" t="b">
        <f>NOT(ISNA(VLOOKUP(C105+100,WeaponPara!A:A,1,0)))</f>
        <v>1</v>
      </c>
      <c r="C105">
        <v>8080000</v>
      </c>
    </row>
    <row r="106" spans="1:3" x14ac:dyDescent="0.2">
      <c r="A106" t="str">
        <f>VLOOKUP(C106,WeaponPara!A:B,2,0)</f>
        <v>巨型锤矛</v>
      </c>
      <c r="B106" t="b">
        <f>NOT(ISNA(VLOOKUP(C106+100,WeaponPara!A:A,1,0)))</f>
        <v>1</v>
      </c>
      <c r="C106">
        <v>8110000</v>
      </c>
    </row>
    <row r="107" spans="1:3" x14ac:dyDescent="0.2">
      <c r="A107" t="str">
        <f>VLOOKUP(C107,WeaponPara!A:B,2,0)</f>
        <v>大木槌</v>
      </c>
      <c r="B107" t="b">
        <f>NOT(ISNA(VLOOKUP(C107+100,WeaponPara!A:A,1,0)))</f>
        <v>1</v>
      </c>
      <c r="C107">
        <v>8160000</v>
      </c>
    </row>
    <row r="108" spans="1:3" x14ac:dyDescent="0.2">
      <c r="A108" t="str">
        <f>VLOOKUP(C108,WeaponPara!A:B,2,0)</f>
        <v>石像鬼灯火槌</v>
      </c>
      <c r="B108" t="b">
        <f>NOT(ISNA(VLOOKUP(C108+100,WeaponPara!A:A,1,0)))</f>
        <v>0</v>
      </c>
      <c r="C108">
        <v>8170000</v>
      </c>
    </row>
    <row r="109" spans="1:3" x14ac:dyDescent="0.2">
      <c r="A109" t="str">
        <f>VLOOKUP(C109,WeaponPara!A:B,2,0)</f>
        <v>玻尔多大锤</v>
      </c>
      <c r="B109" t="b">
        <f>NOT(ISNA(VLOOKUP(C109+100,WeaponPara!A:A,1,0)))</f>
        <v>0</v>
      </c>
      <c r="C109">
        <v>8180000</v>
      </c>
    </row>
    <row r="110" spans="1:3" x14ac:dyDescent="0.2">
      <c r="A110" t="str">
        <f>VLOOKUP(C110,WeaponPara!A:B,2,0)</f>
        <v>老王大槌</v>
      </c>
      <c r="B110" t="b">
        <f>NOT(ISNA(VLOOKUP(C110+100,WeaponPara!A:A,1,0)))</f>
        <v>0</v>
      </c>
      <c r="C110">
        <v>8190000</v>
      </c>
    </row>
    <row r="111" spans="1:3" x14ac:dyDescent="0.2">
      <c r="A111" t="str">
        <f>VLOOKUP(C111,WeaponPara!A:B,2,0)</f>
        <v>海泽儿的十字镐</v>
      </c>
      <c r="B111" t="b">
        <f>NOT(ISNA(VLOOKUP(C111+100,WeaponPara!A:A,1,0)))</f>
        <v>0</v>
      </c>
      <c r="C111">
        <v>8220000</v>
      </c>
    </row>
    <row r="112" spans="1:3" x14ac:dyDescent="0.2">
      <c r="A112" t="str">
        <f>VLOOKUP(C112,WeaponPara!A:B,2,0)</f>
        <v>战镐</v>
      </c>
      <c r="B112" t="b">
        <f>NOT(ISNA(VLOOKUP(C112+100,WeaponPara!A:A,1,0)))</f>
        <v>1</v>
      </c>
      <c r="C112">
        <v>8240000</v>
      </c>
    </row>
    <row r="113" spans="1:3" x14ac:dyDescent="0.2">
      <c r="A113" t="str">
        <f>VLOOKUP(C113,WeaponPara!A:B,2,0)</f>
        <v>十字镐</v>
      </c>
      <c r="B113" t="b">
        <f>NOT(ISNA(VLOOKUP(C113+100,WeaponPara!A:A,1,0)))</f>
        <v>1</v>
      </c>
      <c r="C113">
        <v>8250000</v>
      </c>
    </row>
    <row r="114" spans="1:3" x14ac:dyDescent="0.2">
      <c r="A114" t="str">
        <f>VLOOKUP(C114,WeaponPara!A:B,2,0)</f>
        <v>大龙牙</v>
      </c>
      <c r="B114" t="b">
        <f>NOT(ISNA(VLOOKUP(C114+100,WeaponPara!A:A,1,0)))</f>
        <v>0</v>
      </c>
      <c r="C114">
        <v>8260000</v>
      </c>
    </row>
    <row r="115" spans="1:3" x14ac:dyDescent="0.2">
      <c r="A115" t="str">
        <f>VLOOKUP(C115,WeaponPara!A:B,2,0)</f>
        <v>斯摩的锤子</v>
      </c>
      <c r="B115" t="b">
        <f>NOT(ISNA(VLOOKUP(C115+100,WeaponPara!A:A,1,0)))</f>
        <v>0</v>
      </c>
      <c r="C115">
        <v>8270000</v>
      </c>
    </row>
    <row r="116" spans="1:3" x14ac:dyDescent="0.2">
      <c r="A116" t="str">
        <f>VLOOKUP(C116,WeaponPara!A:B,2,0)</f>
        <v>铁匠铁锤</v>
      </c>
      <c r="B116" t="b">
        <f>NOT(ISNA(VLOOKUP(C116+100,WeaponPara!A:A,1,0)))</f>
        <v>1</v>
      </c>
      <c r="C116">
        <v>8280000</v>
      </c>
    </row>
    <row r="117" spans="1:3" x14ac:dyDescent="0.2">
      <c r="A117" t="str">
        <f>VLOOKUP(C117,WeaponPara!A:B,2,0)</f>
        <v>摩恩大锤</v>
      </c>
      <c r="B117" t="b">
        <f>NOT(ISNA(VLOOKUP(C117+100,WeaponPara!A:A,1,0)))</f>
        <v>0</v>
      </c>
      <c r="C117">
        <v>8290000</v>
      </c>
    </row>
    <row r="118" spans="1:3" x14ac:dyDescent="0.2">
      <c r="A118" t="str">
        <f>VLOOKUP(C118,WeaponPara!A:B,2,0)</f>
        <v>尖刺锤矛</v>
      </c>
      <c r="B118" t="b">
        <f>NOT(ISNA(VLOOKUP(C118+100,WeaponPara!A:A,1,0)))</f>
        <v>1</v>
      </c>
      <c r="C118">
        <v>8300000</v>
      </c>
    </row>
    <row r="119" spans="1:3" x14ac:dyDescent="0.2">
      <c r="A119" t="str">
        <f>VLOOKUP(C119,WeaponPara!A:B,2,0)</f>
        <v>地鸣岩槌</v>
      </c>
      <c r="B119" t="b">
        <f>NOT(ISNA(VLOOKUP(C119+100,WeaponPara!A:A,1,0)))</f>
        <v>0</v>
      </c>
      <c r="C119">
        <v>8310000</v>
      </c>
    </row>
    <row r="120" spans="1:3" x14ac:dyDescent="0.2">
      <c r="A120" t="str">
        <f>VLOOKUP(C120,WeaponPara!A:B,2,0)</f>
        <v>雷多大锤</v>
      </c>
      <c r="B120" t="b">
        <f>NOT(ISNA(VLOOKUP(C120+100,WeaponPara!A:A,1,0)))</f>
        <v>0</v>
      </c>
      <c r="C120">
        <v>8320000</v>
      </c>
    </row>
    <row r="121" spans="1:3" x14ac:dyDescent="0.2">
      <c r="A121" t="str">
        <f>VLOOKUP(C121,WeaponPara!A:B,2,0)</f>
        <v>枪</v>
      </c>
      <c r="B121" t="b">
        <f>NOT(ISNA(VLOOKUP(C121+100,WeaponPara!A:A,1,0)))</f>
        <v>1</v>
      </c>
      <c r="C121">
        <v>9000000</v>
      </c>
    </row>
    <row r="122" spans="1:3" x14ac:dyDescent="0.2">
      <c r="A122" t="str">
        <f>VLOOKUP(C122,WeaponPara!A:B,2,0)</f>
        <v>雁翅枪</v>
      </c>
      <c r="B122" t="b">
        <f>NOT(ISNA(VLOOKUP(C122+100,WeaponPara!A:A,1,0)))</f>
        <v>1</v>
      </c>
      <c r="C122">
        <v>9010000</v>
      </c>
    </row>
    <row r="123" spans="1:3" x14ac:dyDescent="0.2">
      <c r="A123" t="str">
        <f>VLOOKUP(C123,WeaponPara!A:B,2,0)</f>
        <v>游击枪</v>
      </c>
      <c r="B123" t="b">
        <f>NOT(ISNA(VLOOKUP(C123+100,WeaponPara!A:A,1,0)))</f>
        <v>1</v>
      </c>
      <c r="C123">
        <v>9030000</v>
      </c>
    </row>
    <row r="124" spans="1:3" x14ac:dyDescent="0.2">
      <c r="A124" t="str">
        <f>VLOOKUP(C124,WeaponPara!A:B,2,0)</f>
        <v>巨骑枪</v>
      </c>
      <c r="B124" t="b">
        <f>NOT(ISNA(VLOOKUP(C124+100,WeaponPara!A:A,1,0)))</f>
        <v>1</v>
      </c>
      <c r="C124">
        <v>9080000</v>
      </c>
    </row>
    <row r="125" spans="1:3" x14ac:dyDescent="0.2">
      <c r="A125" t="str">
        <f>VLOOKUP(C125,WeaponPara!A:B,2,0)</f>
        <v>洛斯里克骑士长枪</v>
      </c>
      <c r="B125" t="b">
        <f>NOT(ISNA(VLOOKUP(C125+100,WeaponPara!A:A,1,0)))</f>
        <v>1</v>
      </c>
      <c r="C125">
        <v>9090000</v>
      </c>
    </row>
    <row r="126" spans="1:3" x14ac:dyDescent="0.2">
      <c r="A126" t="str">
        <f>VLOOKUP(C126,WeaponPara!A:B,2,0)</f>
        <v>四齿钉耙</v>
      </c>
      <c r="B126" t="b">
        <f>NOT(ISNA(VLOOKUP(C126+100,WeaponPara!A:A,1,0)))</f>
        <v>1</v>
      </c>
      <c r="C126">
        <v>9100000</v>
      </c>
    </row>
    <row r="127" spans="1:3" x14ac:dyDescent="0.2">
      <c r="A127" t="str">
        <f>VLOOKUP(C127,WeaponPara!A:B,2,0)</f>
        <v>石像鬼灯火枪</v>
      </c>
      <c r="B127" t="b">
        <f>NOT(ISNA(VLOOKUP(C127+100,WeaponPara!A:A,1,0)))</f>
        <v>0</v>
      </c>
      <c r="C127">
        <v>9110000</v>
      </c>
    </row>
    <row r="128" spans="1:3" x14ac:dyDescent="0.2">
      <c r="A128" t="str">
        <f>VLOOKUP(C128,WeaponPara!A:B,2,0)</f>
        <v>咕鲁腐败枪</v>
      </c>
      <c r="B128" t="b">
        <f>NOT(ISNA(VLOOKUP(C128+100,WeaponPara!A:A,1,0)))</f>
        <v>1</v>
      </c>
      <c r="C128">
        <v>9120000</v>
      </c>
    </row>
    <row r="129" spans="1:3" x14ac:dyDescent="0.2">
      <c r="A129" t="str">
        <f>VLOOKUP(C129,WeaponPara!A:B,2,0)</f>
        <v>尾骨枪</v>
      </c>
      <c r="B129" t="b">
        <f>NOT(ISNA(VLOOKUP(C129+100,WeaponPara!A:A,1,0)))</f>
        <v>0</v>
      </c>
      <c r="C129">
        <v>9130000</v>
      </c>
    </row>
    <row r="130" spans="1:3" x14ac:dyDescent="0.2">
      <c r="A130" t="str">
        <f>VLOOKUP(C130,WeaponPara!A:B,2,0)</f>
        <v>烙铁</v>
      </c>
      <c r="B130" t="b">
        <f>NOT(ISNA(VLOOKUP(C130+100,WeaponPara!A:A,1,0)))</f>
        <v>0</v>
      </c>
      <c r="C130">
        <v>9140000</v>
      </c>
    </row>
    <row r="131" spans="1:3" x14ac:dyDescent="0.2">
      <c r="A131" t="str">
        <f>VLOOKUP(C131,WeaponPara!A:B,2,0)</f>
        <v>猎龙剑枪</v>
      </c>
      <c r="B131" t="b">
        <f>NOT(ISNA(VLOOKUP(C131+100,WeaponPara!A:A,1,0)))</f>
        <v>0</v>
      </c>
      <c r="C131">
        <v>9160000</v>
      </c>
    </row>
    <row r="132" spans="1:3" x14ac:dyDescent="0.2">
      <c r="A132" t="str">
        <f>VLOOKUP(C132,WeaponPara!A:B,2,0)</f>
        <v>阿尔斯特枪</v>
      </c>
      <c r="B132" t="b">
        <f>NOT(ISNA(VLOOKUP(C132+100,WeaponPara!A:A,1,0)))</f>
        <v>0</v>
      </c>
      <c r="C132">
        <v>9170000</v>
      </c>
    </row>
    <row r="133" spans="1:3" x14ac:dyDescent="0.2">
      <c r="A133" t="str">
        <f>VLOOKUP(C133,WeaponPara!A:B,2,0)</f>
        <v>圣者双叉枪</v>
      </c>
      <c r="B133" t="b">
        <f>NOT(ISNA(VLOOKUP(C133+100,WeaponPara!A:A,1,0)))</f>
        <v>1</v>
      </c>
      <c r="C133">
        <v>9180000</v>
      </c>
    </row>
    <row r="134" spans="1:3" x14ac:dyDescent="0.2">
      <c r="A134" t="str">
        <f>VLOOKUP(C134,WeaponPara!A:B,2,0)</f>
        <v>幽儿希卡枪</v>
      </c>
      <c r="B134" t="b">
        <f>NOT(ISNA(VLOOKUP(C134+100,WeaponPara!A:A,1,0)))</f>
        <v>0</v>
      </c>
      <c r="C134">
        <v>9190000</v>
      </c>
    </row>
    <row r="135" spans="1:3" x14ac:dyDescent="0.2">
      <c r="A135" t="str">
        <f>VLOOKUP(C135,WeaponPara!A:B,2,0)</f>
        <v>矛</v>
      </c>
      <c r="B135" t="b">
        <f>NOT(ISNA(VLOOKUP(C135+100,WeaponPara!A:A,1,0)))</f>
        <v>1</v>
      </c>
      <c r="C135">
        <v>9200000</v>
      </c>
    </row>
    <row r="136" spans="1:3" x14ac:dyDescent="0.2">
      <c r="A136" t="str">
        <f>VLOOKUP(C136,WeaponPara!A:B,2,0)</f>
        <v>猎龙枪</v>
      </c>
      <c r="B136" t="b">
        <f>NOT(ISNA(VLOOKUP(C136+100,WeaponPara!A:A,1,0)))</f>
        <v>0</v>
      </c>
      <c r="C136">
        <v>9220000</v>
      </c>
    </row>
    <row r="137" spans="1:3" x14ac:dyDescent="0.2">
      <c r="A137" t="str">
        <f>VLOOKUP(C137,WeaponPara!A:B,2,0)</f>
        <v>幽魂投枪</v>
      </c>
      <c r="B137" t="b">
        <f>NOT(ISNA(VLOOKUP(C137+100,WeaponPara!A:A,1,0)))</f>
        <v>1</v>
      </c>
      <c r="C137">
        <v>9230000</v>
      </c>
    </row>
    <row r="138" spans="1:3" x14ac:dyDescent="0.2">
      <c r="A138" t="str">
        <f>VLOOKUP(C138,WeaponPara!A:B,2,0)</f>
        <v>环印骑士枪</v>
      </c>
      <c r="B138" t="b">
        <f>NOT(ISNA(VLOOKUP(C138+100,WeaponPara!A:A,1,0)))</f>
        <v>0</v>
      </c>
      <c r="C138">
        <v>9240000</v>
      </c>
    </row>
    <row r="139" spans="1:3" x14ac:dyDescent="0.2">
      <c r="A139" t="str">
        <f>VLOOKUP(C139,WeaponPara!A:B,2,0)</f>
        <v>洛斯里克军旗</v>
      </c>
      <c r="B139" t="b">
        <f>NOT(ISNA(VLOOKUP(C139+100,WeaponPara!A:A,1,0)))</f>
        <v>1</v>
      </c>
      <c r="C139">
        <v>9250000</v>
      </c>
    </row>
    <row r="140" spans="1:3" x14ac:dyDescent="0.2">
      <c r="A140" t="str">
        <f>VLOOKUP(C140,WeaponPara!A:B,2,0)</f>
        <v>狂王磔枪</v>
      </c>
      <c r="B140" t="b">
        <f>NOT(ISNA(VLOOKUP(C140+100,WeaponPara!A:A,1,0)))</f>
        <v>0</v>
      </c>
      <c r="C140">
        <v>9260000</v>
      </c>
    </row>
    <row r="141" spans="1:3" x14ac:dyDescent="0.2">
      <c r="A141" t="str">
        <f>VLOOKUP(C141,WeaponPara!A:B,2,0)</f>
        <v>大镰刀</v>
      </c>
      <c r="B141" t="b">
        <f>NOT(ISNA(VLOOKUP(C141+100,WeaponPara!A:A,1,0)))</f>
        <v>1</v>
      </c>
      <c r="C141">
        <v>10000000</v>
      </c>
    </row>
    <row r="142" spans="1:3" x14ac:dyDescent="0.2">
      <c r="A142" t="str">
        <f>VLOOKUP(C142,WeaponPara!A:B,2,0)</f>
        <v>鹤嘴戟</v>
      </c>
      <c r="B142" t="b">
        <f>NOT(ISNA(VLOOKUP(C142+100,WeaponPara!A:A,1,0)))</f>
        <v>1</v>
      </c>
      <c r="C142">
        <v>10010000</v>
      </c>
    </row>
    <row r="143" spans="1:3" x14ac:dyDescent="0.2">
      <c r="A143" t="str">
        <f>VLOOKUP(C143,WeaponPara!A:B,2,0)</f>
        <v>剑刃戟</v>
      </c>
      <c r="B143" t="b">
        <f>NOT(ISNA(VLOOKUP(C143+100,WeaponPara!A:A,1,0)))</f>
        <v>1</v>
      </c>
      <c r="C143">
        <v>10020000</v>
      </c>
    </row>
    <row r="144" spans="1:3" x14ac:dyDescent="0.2">
      <c r="A144" t="str">
        <f>VLOOKUP(C144,WeaponPara!A:B,2,0)</f>
        <v>戟</v>
      </c>
      <c r="B144" t="b">
        <f>NOT(ISNA(VLOOKUP(C144+100,WeaponPara!A:A,1,0)))</f>
        <v>1</v>
      </c>
      <c r="C144">
        <v>10030000</v>
      </c>
    </row>
    <row r="145" spans="1:3" x14ac:dyDescent="0.2">
      <c r="A145" t="str">
        <f>VLOOKUP(C145,WeaponPara!A:B,2,0)</f>
        <v>黑骑士大斧</v>
      </c>
      <c r="B145" t="b">
        <f>NOT(ISNA(VLOOKUP(C145+100,WeaponPara!A:A,1,0)))</f>
        <v>0</v>
      </c>
      <c r="C145">
        <v>10050000</v>
      </c>
    </row>
    <row r="146" spans="1:3" x14ac:dyDescent="0.2">
      <c r="A146" t="str">
        <f>VLOOKUP(C146,WeaponPara!A:B,2,0)</f>
        <v>教宗骑士大镰刀</v>
      </c>
      <c r="B146" t="b">
        <f>NOT(ISNA(VLOOKUP(C146+100,WeaponPara!A:A,1,0)))</f>
        <v>0</v>
      </c>
      <c r="C146">
        <v>10070000</v>
      </c>
    </row>
    <row r="147" spans="1:3" x14ac:dyDescent="0.2">
      <c r="A147" t="str">
        <f>VLOOKUP(C147,WeaponPara!A:B,2,0)</f>
        <v>鸦人大镰刀</v>
      </c>
      <c r="B147" t="b">
        <f>NOT(ISNA(VLOOKUP(C147+100,WeaponPara!A:A,1,0)))</f>
        <v>1</v>
      </c>
      <c r="C147">
        <v>10080000</v>
      </c>
    </row>
    <row r="148" spans="1:3" x14ac:dyDescent="0.2">
      <c r="A148" t="str">
        <f>VLOOKUP(C148,WeaponPara!A:B,2,0)</f>
        <v>羽翼骑士戟</v>
      </c>
      <c r="B148" t="b">
        <f>NOT(ISNA(VLOOKUP(C148+100,WeaponPara!A:A,1,0)))</f>
        <v>1</v>
      </c>
      <c r="C148">
        <v>10090000</v>
      </c>
    </row>
    <row r="149" spans="1:3" x14ac:dyDescent="0.2">
      <c r="A149" t="str">
        <f>VLOOKUP(C149,WeaponPara!A:B,2,0)</f>
        <v>古达的戟</v>
      </c>
      <c r="B149" t="b">
        <f>NOT(ISNA(VLOOKUP(C149+100,WeaponPara!A:A,1,0)))</f>
        <v>0</v>
      </c>
      <c r="C149">
        <v>10100000</v>
      </c>
    </row>
    <row r="150" spans="1:3" x14ac:dyDescent="0.2">
      <c r="A150" t="str">
        <f>VLOOKUP(C150,WeaponPara!A:B,2,0)</f>
        <v>红柄戟</v>
      </c>
      <c r="B150" t="b">
        <f>NOT(ISNA(VLOOKUP(C150+100,WeaponPara!A:A,1,0)))</f>
        <v>1</v>
      </c>
      <c r="C150">
        <v>10140000</v>
      </c>
    </row>
    <row r="151" spans="1:3" x14ac:dyDescent="0.2">
      <c r="A151" t="str">
        <f>VLOOKUP(C151,WeaponPara!A:B,2,0)</f>
        <v>黑骑士剑刃戟</v>
      </c>
      <c r="B151" t="b">
        <f>NOT(ISNA(VLOOKUP(C151+100,WeaponPara!A:A,1,0)))</f>
        <v>0</v>
      </c>
      <c r="C151">
        <v>10150000</v>
      </c>
    </row>
    <row r="152" spans="1:3" x14ac:dyDescent="0.2">
      <c r="A152" t="str">
        <f>VLOOKUP(C152,WeaponPara!A:B,2,0)</f>
        <v>火刑光芒</v>
      </c>
      <c r="B152" t="b">
        <f>NOT(ISNA(VLOOKUP(C152+100,WeaponPara!A:A,1,0)))</f>
        <v>0</v>
      </c>
      <c r="C152">
        <v>10160000</v>
      </c>
    </row>
    <row r="153" spans="1:3" x14ac:dyDescent="0.2">
      <c r="A153" t="str">
        <f>VLOOKUP(C153,WeaponPara!A:B,2,0)</f>
        <v>半叶大刀</v>
      </c>
      <c r="B153" t="b">
        <f>NOT(ISNA(VLOOKUP(C153+100,WeaponPara!A:A,1,0)))</f>
        <v>1</v>
      </c>
      <c r="C153">
        <v>10170000</v>
      </c>
    </row>
    <row r="154" spans="1:3" x14ac:dyDescent="0.2">
      <c r="A154" t="str">
        <f>VLOOKUP(C154,WeaponPara!A:B,2,0)</f>
        <v>芙莉德大镰刀</v>
      </c>
      <c r="B154" t="b">
        <f>NOT(ISNA(VLOOKUP(C154+100,WeaponPara!A:A,1,0)))</f>
        <v>0</v>
      </c>
      <c r="C154">
        <v>10180000</v>
      </c>
    </row>
    <row r="155" spans="1:3" x14ac:dyDescent="0.2">
      <c r="A155" t="str">
        <f>VLOOKUP(C155,WeaponPara!A:B,2,0)</f>
        <v>钩爪</v>
      </c>
      <c r="B155" t="b">
        <f>NOT(ISNA(VLOOKUP(C155+100,WeaponPara!A:A,1,0)))</f>
        <v>1</v>
      </c>
      <c r="C155">
        <v>11000000</v>
      </c>
    </row>
    <row r="156" spans="1:3" x14ac:dyDescent="0.2">
      <c r="A156" t="str">
        <f>VLOOKUP(C156,WeaponPara!A:B,2,0)</f>
        <v>护手带</v>
      </c>
      <c r="B156" t="b">
        <f>NOT(ISNA(VLOOKUP(C156+100,WeaponPara!A:A,1,0)))</f>
        <v>1</v>
      </c>
      <c r="C156">
        <v>11010000</v>
      </c>
    </row>
    <row r="157" spans="1:3" x14ac:dyDescent="0.2">
      <c r="A157" t="str">
        <f>VLOOKUP(C157,WeaponPara!A:B,2,0)</f>
        <v>傀儡钩爪</v>
      </c>
      <c r="B157" t="b">
        <f>NOT(ISNA(VLOOKUP(C157+100,WeaponPara!A:A,1,0)))</f>
        <v>1</v>
      </c>
      <c r="C157">
        <v>11020000</v>
      </c>
    </row>
    <row r="158" spans="1:3" x14ac:dyDescent="0.2">
      <c r="A158" t="str">
        <f>VLOOKUP(C158,WeaponPara!A:B,2,0)</f>
        <v>恶魔指虎</v>
      </c>
      <c r="B158" t="b">
        <f>NOT(ISNA(VLOOKUP(C158+100,WeaponPara!A:A,1,0)))</f>
        <v>0</v>
      </c>
      <c r="C158">
        <v>11030000</v>
      </c>
    </row>
    <row r="159" spans="1:3" x14ac:dyDescent="0.2">
      <c r="A159" t="str">
        <f>VLOOKUP(C159,WeaponPara!A:B,2,0)</f>
        <v>黑暗之手</v>
      </c>
      <c r="B159" t="b">
        <f>NOT(ISNA(VLOOKUP(C159+100,WeaponPara!A:A,1,0)))</f>
        <v>0</v>
      </c>
      <c r="C159">
        <v>11040000</v>
      </c>
    </row>
    <row r="160" spans="1:3" x14ac:dyDescent="0.2">
      <c r="A160" t="str">
        <f>VLOOKUP(C160,WeaponPara!A:B,2,0)</f>
        <v>鸦爪</v>
      </c>
      <c r="B160" t="b">
        <f>NOT(ISNA(VLOOKUP(C160+100,WeaponPara!A:A,1,0)))</f>
        <v>1</v>
      </c>
      <c r="C160">
        <v>11050000</v>
      </c>
    </row>
    <row r="161" spans="1:3" x14ac:dyDescent="0.2">
      <c r="A161" t="str">
        <f>VLOOKUP(C161,WeaponPara!A:B,2,0)</f>
        <v>软鞭</v>
      </c>
      <c r="B161" t="b">
        <f>NOT(ISNA(VLOOKUP(C161+100,WeaponPara!A:A,1,0)))</f>
        <v>1</v>
      </c>
      <c r="C161">
        <v>12000000</v>
      </c>
    </row>
    <row r="162" spans="1:3" x14ac:dyDescent="0.2">
      <c r="A162" t="str">
        <f>VLOOKUP(C162,WeaponPara!A:B,2,0)</f>
        <v>魔女黑发</v>
      </c>
      <c r="B162" t="b">
        <f>NOT(ISNA(VLOOKUP(C162+100,WeaponPara!A:A,1,0)))</f>
        <v>0</v>
      </c>
      <c r="C162">
        <v>12040000</v>
      </c>
    </row>
    <row r="163" spans="1:3" x14ac:dyDescent="0.2">
      <c r="A163" t="str">
        <f>VLOOKUP(C163,WeaponPara!A:B,2,0)</f>
        <v>荆棘软鞭</v>
      </c>
      <c r="B163" t="b">
        <f>NOT(ISNA(VLOOKUP(C163+100,WeaponPara!A:A,1,0)))</f>
        <v>1</v>
      </c>
      <c r="C163">
        <v>12050000</v>
      </c>
    </row>
    <row r="164" spans="1:3" x14ac:dyDescent="0.2">
      <c r="A164" t="str">
        <f>VLOOKUP(C164,WeaponPara!A:B,2,0)</f>
        <v>斑斓鞭</v>
      </c>
      <c r="B164" t="b">
        <f>NOT(ISNA(VLOOKUP(C164+100,WeaponPara!A:A,1,0)))</f>
        <v>0</v>
      </c>
      <c r="C164">
        <v>12060000</v>
      </c>
    </row>
    <row r="165" spans="1:3" x14ac:dyDescent="0.2">
      <c r="A165" t="str">
        <f>VLOOKUP(C165,WeaponPara!A:B,2,0)</f>
        <v>艾雷德尔蔷薇</v>
      </c>
      <c r="B165" t="b">
        <f>NOT(ISNA(VLOOKUP(C165+100,WeaponPara!A:A,1,0)))</f>
        <v>0</v>
      </c>
      <c r="C165">
        <v>12070000</v>
      </c>
    </row>
    <row r="166" spans="1:3" x14ac:dyDescent="0.2">
      <c r="A166" t="str">
        <f>VLOOKUP(C166,WeaponPara!A:B,2,0)</f>
        <v>护符</v>
      </c>
      <c r="B166" t="b">
        <f>NOT(ISNA(VLOOKUP(C166+100,WeaponPara!A:A,1,0)))</f>
        <v>0</v>
      </c>
      <c r="C166">
        <v>13050000</v>
      </c>
    </row>
    <row r="167" spans="1:3" x14ac:dyDescent="0.2">
      <c r="A167" t="str">
        <f>VLOOKUP(C167,WeaponPara!A:B,2,0)</f>
        <v>魔法师杖</v>
      </c>
      <c r="B167" t="b">
        <f>NOT(ISNA(VLOOKUP(C167+100,WeaponPara!A:A,1,0)))</f>
        <v>0</v>
      </c>
      <c r="C167">
        <v>13060000</v>
      </c>
    </row>
    <row r="168" spans="1:3" x14ac:dyDescent="0.2">
      <c r="A168" t="str">
        <f>VLOOKUP(C168,WeaponPara!A:B,2,0)</f>
        <v>说书人杖</v>
      </c>
      <c r="B168" t="b">
        <f>NOT(ISNA(VLOOKUP(C168+100,WeaponPara!A:A,1,0)))</f>
        <v>0</v>
      </c>
      <c r="C168">
        <v>13070000</v>
      </c>
    </row>
    <row r="169" spans="1:3" x14ac:dyDescent="0.2">
      <c r="A169" t="str">
        <f>VLOOKUP(C169,WeaponPara!A:B,2,0)</f>
        <v>托钵杖</v>
      </c>
      <c r="B169" t="b">
        <f>NOT(ISNA(VLOOKUP(C169+100,WeaponPara!A:A,1,0)))</f>
        <v>0</v>
      </c>
      <c r="C169">
        <v>13080000</v>
      </c>
    </row>
    <row r="170" spans="1:3" x14ac:dyDescent="0.2">
      <c r="A170" t="str">
        <f>VLOOKUP(C170,WeaponPara!A:B,2,0)</f>
        <v>蛆人杖</v>
      </c>
      <c r="B170" t="b">
        <f>NOT(ISNA(VLOOKUP(C170+100,WeaponPara!A:A,1,0)))</f>
        <v>0</v>
      </c>
      <c r="C170">
        <v>13100000</v>
      </c>
    </row>
    <row r="171" spans="1:3" x14ac:dyDescent="0.2">
      <c r="A171" t="str">
        <f>VLOOKUP(C171,WeaponPara!A:B,2,0)</f>
        <v>大主教的大杖</v>
      </c>
      <c r="B171" t="b">
        <f>NOT(ISNA(VLOOKUP(C171+100,WeaponPara!A:A,1,0)))</f>
        <v>0</v>
      </c>
      <c r="C171">
        <v>13110000</v>
      </c>
    </row>
    <row r="172" spans="1:3" x14ac:dyDescent="0.2">
      <c r="A172" t="str">
        <f>VLOOKUP(C172,WeaponPara!A:B,2,0)</f>
        <v>金枝杖枪</v>
      </c>
      <c r="B172" t="b">
        <f>NOT(ISNA(VLOOKUP(C172+100,WeaponPara!A:A,1,0)))</f>
        <v>0</v>
      </c>
      <c r="C172">
        <v>13120000</v>
      </c>
    </row>
    <row r="173" spans="1:3" x14ac:dyDescent="0.2">
      <c r="A173" t="str">
        <f>VLOOKUP(C173,WeaponPara!A:B,2,0)</f>
        <v>幽儿希卡圣铃</v>
      </c>
      <c r="B173" t="b">
        <f>NOT(ISNA(VLOOKUP(C173+100,WeaponPara!A:A,1,0)))</f>
        <v>0</v>
      </c>
      <c r="C173">
        <v>13140000</v>
      </c>
    </row>
    <row r="174" spans="1:3" x14ac:dyDescent="0.2">
      <c r="A174" t="str">
        <f>VLOOKUP(C174,WeaponPara!A:B,2,0)</f>
        <v>老者结晶杖</v>
      </c>
      <c r="B174" t="b">
        <f>NOT(ISNA(VLOOKUP(C174+100,WeaponPara!A:A,1,0)))</f>
        <v>0</v>
      </c>
      <c r="C174">
        <v>13160000</v>
      </c>
    </row>
    <row r="175" spans="1:3" x14ac:dyDescent="0.2">
      <c r="A175" t="str">
        <f>VLOOKUP(C175,WeaponPara!A:B,2,0)</f>
        <v>异端杖</v>
      </c>
      <c r="B175" t="b">
        <f>NOT(ISNA(VLOOKUP(C175+100,WeaponPara!A:A,1,0)))</f>
        <v>0</v>
      </c>
      <c r="C175">
        <v>13170000</v>
      </c>
    </row>
    <row r="176" spans="1:3" x14ac:dyDescent="0.2">
      <c r="A176" t="str">
        <f>VLOOKUP(C176,WeaponPara!A:B,2,0)</f>
        <v>宫廷魔法师杖</v>
      </c>
      <c r="B176" t="b">
        <f>NOT(ISNA(VLOOKUP(C176+100,WeaponPara!A:A,1,0)))</f>
        <v>0</v>
      </c>
      <c r="C176">
        <v>13180000</v>
      </c>
    </row>
    <row r="177" spans="1:3" x14ac:dyDescent="0.2">
      <c r="A177" t="str">
        <f>VLOOKUP(C177,WeaponPara!A:B,2,0)</f>
        <v>妖树枝条</v>
      </c>
      <c r="B177" t="b">
        <f>NOT(ISNA(VLOOKUP(C177+100,WeaponPara!A:A,1,0)))</f>
        <v>0</v>
      </c>
      <c r="C177">
        <v>13190000</v>
      </c>
    </row>
    <row r="178" spans="1:3" x14ac:dyDescent="0.2">
      <c r="A178" t="str">
        <f>VLOOKUP(C178,WeaponPara!A:B,2,0)</f>
        <v>伊札里斯杖</v>
      </c>
      <c r="B178" t="b">
        <f>NOT(ISNA(VLOOKUP(C178+100,WeaponPara!A:A,1,0)))</f>
        <v>0</v>
      </c>
      <c r="C178">
        <v>13200000</v>
      </c>
    </row>
    <row r="179" spans="1:3" x14ac:dyDescent="0.2">
      <c r="A179" t="str">
        <f>VLOOKUP(C179,WeaponPara!A:B,2,0)</f>
        <v>圣职圣铃</v>
      </c>
      <c r="B179" t="b">
        <f>NOT(ISNA(VLOOKUP(C179+100,WeaponPara!A:A,1,0)))</f>
        <v>0</v>
      </c>
      <c r="C179">
        <v>13210000</v>
      </c>
    </row>
    <row r="180" spans="1:3" x14ac:dyDescent="0.2">
      <c r="A180" t="str">
        <f>VLOOKUP(C180,WeaponPara!A:B,2,0)</f>
        <v>祭司圣铃</v>
      </c>
      <c r="B180" t="b">
        <f>NOT(ISNA(VLOOKUP(C180+100,WeaponPara!A:A,1,0)))</f>
        <v>0</v>
      </c>
      <c r="C180">
        <v>13220000</v>
      </c>
    </row>
    <row r="181" spans="1:3" x14ac:dyDescent="0.2">
      <c r="A181" t="str">
        <f>VLOOKUP(C181,WeaponPara!A:B,2,0)</f>
        <v>神木铃草</v>
      </c>
      <c r="B181" t="b">
        <f>NOT(ISNA(VLOOKUP(C181+100,WeaponPara!A:A,1,0)))</f>
        <v>0</v>
      </c>
      <c r="C181">
        <v>13230000</v>
      </c>
    </row>
    <row r="182" spans="1:3" x14ac:dyDescent="0.2">
      <c r="A182" t="str">
        <f>VLOOKUP(C182,WeaponPara!A:B,2,0)</f>
        <v>夸特铃铛</v>
      </c>
      <c r="B182" t="b">
        <f>NOT(ISNA(VLOOKUP(C182+100,WeaponPara!A:A,1,0)))</f>
        <v>0</v>
      </c>
      <c r="C182">
        <v>13240000</v>
      </c>
    </row>
    <row r="183" spans="1:3" x14ac:dyDescent="0.2">
      <c r="A183" t="str">
        <f>VLOOKUP(C183,WeaponPara!A:B,2,0)</f>
        <v>结晶圣铃</v>
      </c>
      <c r="B183" t="b">
        <f>NOT(ISNA(VLOOKUP(C183+100,WeaponPara!A:A,1,0)))</f>
        <v>0</v>
      </c>
      <c r="C183">
        <v>13250000</v>
      </c>
    </row>
    <row r="184" spans="1:3" x14ac:dyDescent="0.2">
      <c r="A184" t="str">
        <f>VLOOKUP(C184,WeaponPara!A:B,2,0)</f>
        <v>太阳护符</v>
      </c>
      <c r="B184" t="b">
        <f>NOT(ISNA(VLOOKUP(C184+100,WeaponPara!A:A,1,0)))</f>
        <v>0</v>
      </c>
      <c r="C184">
        <v>13260000</v>
      </c>
    </row>
    <row r="185" spans="1:3" x14ac:dyDescent="0.2">
      <c r="A185" t="str">
        <f>VLOOKUP(C185,WeaponPara!A:B,2,0)</f>
        <v>粗布护符</v>
      </c>
      <c r="B185" t="b">
        <f>NOT(ISNA(VLOOKUP(C185+100,WeaponPara!A:A,1,0)))</f>
        <v>0</v>
      </c>
      <c r="C185">
        <v>13270000</v>
      </c>
    </row>
    <row r="186" spans="1:3" x14ac:dyDescent="0.2">
      <c r="A186" t="str">
        <f>VLOOKUP(C186,WeaponPara!A:B,2,0)</f>
        <v>薄暮护符</v>
      </c>
      <c r="B186" t="b">
        <f>NOT(ISNA(VLOOKUP(C186+100,WeaponPara!A:A,1,0)))</f>
        <v>0</v>
      </c>
      <c r="C186">
        <v>13280000</v>
      </c>
    </row>
    <row r="187" spans="1:3" x14ac:dyDescent="0.2">
      <c r="A187" t="str">
        <f>VLOOKUP(C187,WeaponPara!A:B,2,0)</f>
        <v>圣女护符</v>
      </c>
      <c r="B187" t="b">
        <f>NOT(ISNA(VLOOKUP(C187+100,WeaponPara!A:A,1,0)))</f>
        <v>0</v>
      </c>
      <c r="C187">
        <v>13290000</v>
      </c>
    </row>
    <row r="188" spans="1:3" x14ac:dyDescent="0.2">
      <c r="A188" t="str">
        <f>VLOOKUP(C188,WeaponPara!A:B,2,0)</f>
        <v>白发护符</v>
      </c>
      <c r="B188" t="b">
        <f>NOT(ISNA(VLOOKUP(C188+100,WeaponPara!A:A,1,0)))</f>
        <v>0</v>
      </c>
      <c r="C188">
        <v>13300000</v>
      </c>
    </row>
    <row r="189" spans="1:3" x14ac:dyDescent="0.2">
      <c r="A189" t="str">
        <f>VLOOKUP(C189,WeaponPara!A:B,2,0)</f>
        <v>咒术之火</v>
      </c>
      <c r="B189" t="b">
        <f>NOT(ISNA(VLOOKUP(C189+100,WeaponPara!A:A,1,0)))</f>
        <v>0</v>
      </c>
      <c r="C189">
        <v>13400000</v>
      </c>
    </row>
    <row r="190" spans="1:3" x14ac:dyDescent="0.2">
      <c r="A190" t="str">
        <f>VLOOKUP(C190,WeaponPara!A:B,2,0)</f>
        <v>咒术送灵火</v>
      </c>
      <c r="B190" t="b">
        <f>NOT(ISNA(VLOOKUP(C190+100,WeaponPara!A:A,1,0)))</f>
        <v>0</v>
      </c>
      <c r="C190">
        <v>13410000</v>
      </c>
    </row>
    <row r="191" spans="1:3" x14ac:dyDescent="0.2">
      <c r="A191" t="str">
        <f>VLOOKUP(C191,WeaponPara!A:B,2,0)</f>
        <v>濡湿长柄杖</v>
      </c>
      <c r="B191" t="b">
        <f>NOT(ISNA(VLOOKUP(C191+100,WeaponPara!A:A,1,0)))</f>
        <v>0</v>
      </c>
      <c r="C191">
        <v>13420000</v>
      </c>
    </row>
    <row r="192" spans="1:3" x14ac:dyDescent="0.2">
      <c r="A192" t="str">
        <f>VLOOKUP(C192,WeaponPara!A:B,2,0)</f>
        <v>费莲诺尔圣铃</v>
      </c>
      <c r="B192" t="b">
        <f>NOT(ISNA(VLOOKUP(C192+100,WeaponPara!A:A,1,0)))</f>
        <v>0</v>
      </c>
      <c r="C192">
        <v>13430000</v>
      </c>
    </row>
    <row r="193" spans="1:3" x14ac:dyDescent="0.2">
      <c r="A193" t="str">
        <f>VLOOKUP(C193,WeaponPara!A:B,2,0)</f>
        <v>说客右臂</v>
      </c>
      <c r="B193" t="b">
        <f>NOT(ISNA(VLOOKUP(C193+100,WeaponPara!A:A,1,0)))</f>
        <v>0</v>
      </c>
      <c r="C193">
        <v>13440000</v>
      </c>
    </row>
    <row r="194" spans="1:3" x14ac:dyDescent="0.2">
      <c r="A194" t="str">
        <f>VLOOKUP(C194,WeaponPara!A:B,2,0)</f>
        <v>猎龙大弓</v>
      </c>
      <c r="B194" t="b">
        <f>NOT(ISNA(VLOOKUP(C194+100,WeaponPara!A:A,1,0)))</f>
        <v>0</v>
      </c>
      <c r="C194">
        <v>13600000</v>
      </c>
    </row>
    <row r="195" spans="1:3" x14ac:dyDescent="0.2">
      <c r="A195" t="str">
        <f>VLOOKUP(C195,WeaponPara!A:B,2,0)</f>
        <v>短弓</v>
      </c>
      <c r="B195" t="b">
        <f>NOT(ISNA(VLOOKUP(C195+100,WeaponPara!A:A,1,0)))</f>
        <v>0</v>
      </c>
      <c r="C195">
        <v>14010000</v>
      </c>
    </row>
    <row r="196" spans="1:3" x14ac:dyDescent="0.2">
      <c r="A196" t="str">
        <f>VLOOKUP(C196,WeaponPara!A:B,2,0)</f>
        <v>复合弓</v>
      </c>
      <c r="B196" t="b">
        <f>NOT(ISNA(VLOOKUP(C196+100,WeaponPara!A:A,1,0)))</f>
        <v>0</v>
      </c>
      <c r="C196">
        <v>14020000</v>
      </c>
    </row>
    <row r="197" spans="1:3" x14ac:dyDescent="0.2">
      <c r="A197" t="str">
        <f>VLOOKUP(C197,WeaponPara!A:B,2,0)</f>
        <v>轻弩</v>
      </c>
      <c r="B197" t="b">
        <f>NOT(ISNA(VLOOKUP(C197+100,WeaponPara!A:A,1,0)))</f>
        <v>0</v>
      </c>
      <c r="C197">
        <v>14040000</v>
      </c>
    </row>
    <row r="198" spans="1:3" x14ac:dyDescent="0.2">
      <c r="A198" t="str">
        <f>VLOOKUP(C198,WeaponPara!A:B,2,0)</f>
        <v>亚伯里斯</v>
      </c>
      <c r="B198" t="b">
        <f>NOT(ISNA(VLOOKUP(C198+100,WeaponPara!A:A,1,0)))</f>
        <v>0</v>
      </c>
      <c r="C198">
        <v>14050000</v>
      </c>
    </row>
    <row r="199" spans="1:3" x14ac:dyDescent="0.2">
      <c r="A199" t="str">
        <f>VLOOKUP(C199,WeaponPara!A:B,2,0)</f>
        <v>长弓</v>
      </c>
      <c r="B199" t="b">
        <f>NOT(ISNA(VLOOKUP(C199+100,WeaponPara!A:A,1,0)))</f>
        <v>0</v>
      </c>
      <c r="C199">
        <v>14060000</v>
      </c>
    </row>
    <row r="200" spans="1:3" x14ac:dyDescent="0.2">
      <c r="A200" t="str">
        <f>VLOOKUP(C200,WeaponPara!A:B,2,0)</f>
        <v>龙骑兵弓</v>
      </c>
      <c r="B200" t="b">
        <f>NOT(ISNA(VLOOKUP(C200+100,WeaponPara!A:A,1,0)))</f>
        <v>0</v>
      </c>
      <c r="C200">
        <v>14070000</v>
      </c>
    </row>
    <row r="201" spans="1:3" x14ac:dyDescent="0.2">
      <c r="A201" t="str">
        <f>VLOOKUP(C201,WeaponPara!A:B,2,0)</f>
        <v>雅帆琳</v>
      </c>
      <c r="B201" t="b">
        <f>NOT(ISNA(VLOOKUP(C201+100,WeaponPara!A:A,1,0)))</f>
        <v>0</v>
      </c>
      <c r="C201">
        <v>14090000</v>
      </c>
    </row>
    <row r="202" spans="1:3" x14ac:dyDescent="0.2">
      <c r="A202" t="str">
        <f>VLOOKUP(C202,WeaponPara!A:B,2,0)</f>
        <v>骑士弩</v>
      </c>
      <c r="B202" t="b">
        <f>NOT(ISNA(VLOOKUP(C202+100,WeaponPara!A:A,1,0)))</f>
        <v>0</v>
      </c>
      <c r="C202">
        <v>14100000</v>
      </c>
    </row>
    <row r="203" spans="1:3" x14ac:dyDescent="0.2">
      <c r="A203" t="str">
        <f>VLOOKUP(C203,WeaponPara!A:B,2,0)</f>
        <v>重弩</v>
      </c>
      <c r="B203" t="b">
        <f>NOT(ISNA(VLOOKUP(C203+100,WeaponPara!A:A,1,0)))</f>
        <v>0</v>
      </c>
      <c r="C203">
        <v>14110000</v>
      </c>
    </row>
    <row r="204" spans="1:3" x14ac:dyDescent="0.2">
      <c r="A204" t="str">
        <f>VLOOKUP(C204,WeaponPara!A:B,2,0)</f>
        <v>白树弓</v>
      </c>
      <c r="B204" t="b">
        <f>NOT(ISNA(VLOOKUP(C204+100,WeaponPara!A:A,1,0)))</f>
        <v>0</v>
      </c>
      <c r="C204">
        <v>14120000</v>
      </c>
    </row>
    <row r="205" spans="1:3" x14ac:dyDescent="0.2">
      <c r="A205" t="str">
        <f>VLOOKUP(C205,WeaponPara!A:B,2,0)</f>
        <v>暗月长弓</v>
      </c>
      <c r="B205" t="b">
        <f>NOT(ISNA(VLOOKUP(C205+100,WeaponPara!A:A,1,0)))</f>
        <v>0</v>
      </c>
      <c r="C205">
        <v>14130000</v>
      </c>
    </row>
    <row r="206" spans="1:3" x14ac:dyDescent="0.2">
      <c r="A206" t="str">
        <f>VLOOKUP(C206,WeaponPara!A:B,2,0)</f>
        <v>伐鬼大弓</v>
      </c>
      <c r="B206" t="b">
        <f>NOT(ISNA(VLOOKUP(C206+100,WeaponPara!A:A,1,0)))</f>
        <v>0</v>
      </c>
      <c r="C206">
        <v>14140000</v>
      </c>
    </row>
    <row r="207" spans="1:3" x14ac:dyDescent="0.2">
      <c r="A207" t="str">
        <f>VLOOKUP(C207,WeaponPara!A:B,2,0)</f>
        <v>法里斯弓</v>
      </c>
      <c r="B207" t="b">
        <f>NOT(ISNA(VLOOKUP(C207+100,WeaponPara!A:A,1,0)))</f>
        <v>0</v>
      </c>
      <c r="C207">
        <v>14150000</v>
      </c>
    </row>
    <row r="208" spans="1:3" x14ac:dyDescent="0.2">
      <c r="A208" t="str">
        <f>VLOOKUP(C208,WeaponPara!A:B,2,0)</f>
        <v>狙击弩</v>
      </c>
      <c r="B208" t="b">
        <f>NOT(ISNA(VLOOKUP(C208+100,WeaponPara!A:A,1,0)))</f>
        <v>0</v>
      </c>
      <c r="C208">
        <v>14170000</v>
      </c>
    </row>
    <row r="209" spans="1:3" x14ac:dyDescent="0.2">
      <c r="A209" t="str">
        <f>VLOOKUP(C209,WeaponPara!A:B,2,0)</f>
        <v>米尔伍德大弓</v>
      </c>
      <c r="B209" t="b">
        <f>NOT(ISNA(VLOOKUP(C209+100,WeaponPara!A:A,1,0)))</f>
        <v>0</v>
      </c>
      <c r="C209">
        <v>14180000</v>
      </c>
    </row>
    <row r="210" spans="1:3" x14ac:dyDescent="0.2">
      <c r="A210" t="str">
        <f>VLOOKUP(C210,WeaponPara!A:B,2,0)</f>
        <v>连射弩</v>
      </c>
      <c r="B210" t="b">
        <f>NOT(ISNA(VLOOKUP(C210+100,WeaponPara!A:A,1,0)))</f>
        <v>0</v>
      </c>
      <c r="C210">
        <v>14190000</v>
      </c>
    </row>
    <row r="211" spans="1:3" x14ac:dyDescent="0.2">
      <c r="A211" t="str">
        <f>VLOOKUP(C211,WeaponPara!A:B,2,0)</f>
        <v>佣兵对刀</v>
      </c>
      <c r="B211" t="b">
        <f>NOT(ISNA(VLOOKUP(C211+100,WeaponPara!A:A,1,0)))</f>
        <v>1</v>
      </c>
      <c r="C211">
        <v>16000000</v>
      </c>
    </row>
    <row r="212" spans="1:3" x14ac:dyDescent="0.2">
      <c r="A212" t="str">
        <f>VLOOKUP(C212,WeaponPara!A:B,2,0)</f>
        <v>守墓人对刀</v>
      </c>
      <c r="B212" t="b">
        <f>NOT(ISNA(VLOOKUP(C212+100,WeaponPara!A:A,1,0)))</f>
        <v>1</v>
      </c>
      <c r="C212">
        <v>16020000</v>
      </c>
    </row>
    <row r="213" spans="1:3" x14ac:dyDescent="0.2">
      <c r="A213" t="str">
        <f>VLOOKUP(C213,WeaponPara!A:B,2,0)</f>
        <v>羽翼骑士断头斧</v>
      </c>
      <c r="B213" t="b">
        <f>NOT(ISNA(VLOOKUP(C213+100,WeaponPara!A:A,1,0)))</f>
        <v>1</v>
      </c>
      <c r="C213">
        <v>16030000</v>
      </c>
    </row>
    <row r="214" spans="1:3" x14ac:dyDescent="0.2">
      <c r="A214" t="str">
        <f>VLOOKUP(C214,WeaponPara!A:B,2,0)</f>
        <v>成对舞娘魔剑</v>
      </c>
      <c r="B214" t="b">
        <f>NOT(ISNA(VLOOKUP(C214+100,WeaponPara!A:A,1,0)))</f>
        <v>0</v>
      </c>
      <c r="C214">
        <v>16040000</v>
      </c>
    </row>
    <row r="215" spans="1:3" x14ac:dyDescent="0.2">
      <c r="A215" t="str">
        <f>VLOOKUP(C215,WeaponPara!A:B,2,0)</f>
        <v>大柴刀</v>
      </c>
      <c r="B215" t="b">
        <f>NOT(ISNA(VLOOKUP(C215+100,WeaponPara!A:A,1,0)))</f>
        <v>1</v>
      </c>
      <c r="C215">
        <v>16050000</v>
      </c>
    </row>
    <row r="216" spans="1:3" x14ac:dyDescent="0.2">
      <c r="A216" t="str">
        <f>VLOOKUP(C216,WeaponPara!A:B,2,0)</f>
        <v>成对山贼短刀</v>
      </c>
      <c r="B216" t="b">
        <f>NOT(ISNA(VLOOKUP(C216+100,WeaponPara!A:A,1,0)))</f>
        <v>1</v>
      </c>
      <c r="C216">
        <v>16060000</v>
      </c>
    </row>
    <row r="217" spans="1:3" x14ac:dyDescent="0.2">
      <c r="A217" t="str">
        <f>VLOOKUP(C217,WeaponPara!A:B,2,0)</f>
        <v>歌德希尔特对剑</v>
      </c>
      <c r="B217" t="b">
        <f>NOT(ISNA(VLOOKUP(C217+100,WeaponPara!A:A,1,0)))</f>
        <v>1</v>
      </c>
      <c r="C217">
        <v>16070000</v>
      </c>
    </row>
    <row r="218" spans="1:3" x14ac:dyDescent="0.2">
      <c r="A218" t="str">
        <f>VLOOKUP(C218,WeaponPara!A:B,2,0)</f>
        <v>鬼切与姥断</v>
      </c>
      <c r="B218" t="b">
        <f>NOT(ISNA(VLOOKUP(C218+100,WeaponPara!A:A,1,0)))</f>
        <v>1</v>
      </c>
      <c r="C218">
        <v>16090000</v>
      </c>
    </row>
    <row r="219" spans="1:3" x14ac:dyDescent="0.2">
      <c r="A219" t="str">
        <f>VLOOKUP(C219,WeaponPara!A:B,2,0)</f>
        <v>多兰对枪</v>
      </c>
      <c r="B219" t="b">
        <f>NOT(ISNA(VLOOKUP(C219+100,WeaponPara!A:A,1,0)))</f>
        <v>1</v>
      </c>
      <c r="C219">
        <v>16100000</v>
      </c>
    </row>
    <row r="220" spans="1:3" x14ac:dyDescent="0.2">
      <c r="A220" t="str">
        <f>VLOOKUP(C220,WeaponPara!A:B,2,0)</f>
        <v>大门盾</v>
      </c>
      <c r="B220" t="b">
        <f>NOT(ISNA(VLOOKUP(C220+100,WeaponPara!A:A,1,0)))</f>
        <v>1</v>
      </c>
      <c r="C220">
        <v>16120000</v>
      </c>
    </row>
    <row r="221" spans="1:3" x14ac:dyDescent="0.2">
      <c r="A221" t="str">
        <f>VLOOKUP(C221,WeaponPara!A:B,2,0)</f>
        <v>多兰对槌</v>
      </c>
      <c r="B221" t="b">
        <f>NOT(ISNA(VLOOKUP(C221+100,WeaponPara!A:A,1,0)))</f>
        <v>1</v>
      </c>
      <c r="C221">
        <v>16130000</v>
      </c>
    </row>
    <row r="222" spans="1:3" x14ac:dyDescent="0.2">
      <c r="A222" t="str">
        <f>VLOOKUP(C222,WeaponPara!A:B,2,0)</f>
        <v>果敢心</v>
      </c>
      <c r="B222" t="b">
        <f>NOT(ISNA(VLOOKUP(C222+100,WeaponPara!A:A,1,0)))</f>
        <v>0</v>
      </c>
      <c r="C222">
        <v>16140000</v>
      </c>
    </row>
    <row r="223" spans="1:3" x14ac:dyDescent="0.2">
      <c r="A223" t="str">
        <f>VLOOKUP(C223,WeaponPara!A:B,2,0)</f>
        <v>鸦羽</v>
      </c>
      <c r="B223" t="b">
        <f>NOT(ISNA(VLOOKUP(C223+100,WeaponPara!A:A,1,0)))</f>
        <v>1</v>
      </c>
      <c r="C223">
        <v>16150000</v>
      </c>
    </row>
    <row r="224" spans="1:3" x14ac:dyDescent="0.2">
      <c r="A224" t="str">
        <f>VLOOKUP(C224,WeaponPara!A:B,2,0)</f>
        <v>环印骑士成对大剑</v>
      </c>
      <c r="B224" t="b">
        <f>NOT(ISNA(VLOOKUP(C224+100,WeaponPara!A:A,1,0)))</f>
        <v>0</v>
      </c>
      <c r="C224">
        <v>16160000</v>
      </c>
    </row>
    <row r="225" spans="1:3" x14ac:dyDescent="0.2">
      <c r="A225" t="str">
        <f>VLOOKUP(C225,WeaponPara!A:B,2,0)</f>
        <v>小圆盾</v>
      </c>
      <c r="B225" t="b">
        <f>NOT(ISNA(VLOOKUP(C225+100,WeaponPara!A:A,1,0)))</f>
        <v>1</v>
      </c>
      <c r="C225">
        <v>20000000</v>
      </c>
    </row>
    <row r="226" spans="1:3" x14ac:dyDescent="0.2">
      <c r="A226" t="str">
        <f>VLOOKUP(C226,WeaponPara!A:B,2,0)</f>
        <v>小皮盾</v>
      </c>
      <c r="B226" t="b">
        <f>NOT(ISNA(VLOOKUP(C226+100,WeaponPara!A:A,1,0)))</f>
        <v>1</v>
      </c>
      <c r="C226">
        <v>20010000</v>
      </c>
    </row>
    <row r="227" spans="1:3" x14ac:dyDescent="0.2">
      <c r="A227" t="str">
        <f>VLOOKUP(C227,WeaponPara!A:B,2,0)</f>
        <v>圆盾</v>
      </c>
      <c r="B227" t="b">
        <f>NOT(ISNA(VLOOKUP(C227+100,WeaponPara!A:A,1,0)))</f>
        <v>1</v>
      </c>
      <c r="C227">
        <v>20030000</v>
      </c>
    </row>
    <row r="228" spans="1:3" x14ac:dyDescent="0.2">
      <c r="A228" t="str">
        <f>VLOOKUP(C228,WeaponPara!A:B,2,0)</f>
        <v>大皮盾</v>
      </c>
      <c r="B228" t="b">
        <f>NOT(ISNA(VLOOKUP(C228+100,WeaponPara!A:A,1,0)))</f>
        <v>1</v>
      </c>
      <c r="C228">
        <v>20040000</v>
      </c>
    </row>
    <row r="229" spans="1:3" x14ac:dyDescent="0.2">
      <c r="A229" t="str">
        <f>VLOOKUP(C229,WeaponPara!A:B,2,0)</f>
        <v>霍克伍德盾</v>
      </c>
      <c r="B229" t="b">
        <f>NOT(ISNA(VLOOKUP(C229+100,WeaponPara!A:A,1,0)))</f>
        <v>1</v>
      </c>
      <c r="C229">
        <v>20070000</v>
      </c>
    </row>
    <row r="230" spans="1:3" x14ac:dyDescent="0.2">
      <c r="A230" t="str">
        <f>VLOOKUP(C230,WeaponPara!A:B,2,0)</f>
        <v>铁圆盾</v>
      </c>
      <c r="B230" t="b">
        <f>NOT(ISNA(VLOOKUP(C230+100,WeaponPara!A:A,1,0)))</f>
        <v>1</v>
      </c>
      <c r="C230">
        <v>20080000</v>
      </c>
    </row>
    <row r="231" spans="1:3" x14ac:dyDescent="0.2">
      <c r="A231" t="str">
        <f>VLOOKUP(C231,WeaponPara!A:B,2,0)</f>
        <v>木盾</v>
      </c>
      <c r="B231" t="b">
        <f>NOT(ISNA(VLOOKUP(C231+100,WeaponPara!A:A,1,0)))</f>
        <v>1</v>
      </c>
      <c r="C231">
        <v>20110000</v>
      </c>
    </row>
    <row r="232" spans="1:3" x14ac:dyDescent="0.2">
      <c r="A232" t="str">
        <f>VLOOKUP(C232,WeaponPara!A:B,2,0)</f>
        <v>鸢形盾</v>
      </c>
      <c r="B232" t="b">
        <f>NOT(ISNA(VLOOKUP(C232+100,WeaponPara!A:A,1,0)))</f>
        <v>1</v>
      </c>
      <c r="C232">
        <v>20120000</v>
      </c>
    </row>
    <row r="233" spans="1:3" x14ac:dyDescent="0.2">
      <c r="A233" t="str">
        <f>VLOOKUP(C233,WeaponPara!A:B,2,0)</f>
        <v>咕鲁腐败盾</v>
      </c>
      <c r="B233" t="b">
        <f>NOT(ISNA(VLOOKUP(C233+100,WeaponPara!A:A,1,0)))</f>
        <v>1</v>
      </c>
      <c r="C233">
        <v>20130000</v>
      </c>
    </row>
    <row r="234" spans="1:3" x14ac:dyDescent="0.2">
      <c r="A234" t="str">
        <f>VLOOKUP(C234,WeaponPara!A:B,2,0)</f>
        <v>哈维尔大盾</v>
      </c>
      <c r="B234" t="b">
        <f>NOT(ISNA(VLOOKUP(C234+100,WeaponPara!A:A,1,0)))</f>
        <v>0</v>
      </c>
      <c r="C234">
        <v>20150000</v>
      </c>
    </row>
    <row r="235" spans="1:3" x14ac:dyDescent="0.2">
      <c r="A235" t="str">
        <f>VLOOKUP(C235,WeaponPara!A:B,2,0)</f>
        <v>团牌</v>
      </c>
      <c r="B235" t="b">
        <f>NOT(ISNA(VLOOKUP(C235+100,WeaponPara!A:A,1,0)))</f>
        <v>1</v>
      </c>
      <c r="C235">
        <v>20160000</v>
      </c>
    </row>
    <row r="236" spans="1:3" x14ac:dyDescent="0.2">
      <c r="A236" t="str">
        <f>VLOOKUP(C236,WeaponPara!A:B,2,0)</f>
        <v>鹿角圆盾</v>
      </c>
      <c r="B236" t="b">
        <f>NOT(ISNA(VLOOKUP(C236+100,WeaponPara!A:A,1,0)))</f>
        <v>1</v>
      </c>
      <c r="C236">
        <v>20170000</v>
      </c>
    </row>
    <row r="237" spans="1:3" x14ac:dyDescent="0.2">
      <c r="A237" t="str">
        <f>VLOOKUP(C237,WeaponPara!A:B,2,0)</f>
        <v>战士圆盾</v>
      </c>
      <c r="B237" t="b">
        <f>NOT(ISNA(VLOOKUP(C237+100,WeaponPara!A:A,1,0)))</f>
        <v>1</v>
      </c>
      <c r="C237">
        <v>20180000</v>
      </c>
    </row>
    <row r="238" spans="1:3" x14ac:dyDescent="0.2">
      <c r="A238" t="str">
        <f>VLOOKUP(C238,WeaponPara!A:B,2,0)</f>
        <v>孪生蛇纹圆盾</v>
      </c>
      <c r="B238" t="b">
        <f>NOT(ISNA(VLOOKUP(C238+100,WeaponPara!A:A,1,0)))</f>
        <v>1</v>
      </c>
      <c r="C238">
        <v>20190000</v>
      </c>
    </row>
    <row r="239" spans="1:3" x14ac:dyDescent="0.2">
      <c r="A239" t="str">
        <f>VLOOKUP(C239,WeaponPara!A:B,2,0)</f>
        <v>红白圆盾</v>
      </c>
      <c r="B239" t="b">
        <f>NOT(ISNA(VLOOKUP(C239+100,WeaponPara!A:A,1,0)))</f>
        <v>1</v>
      </c>
      <c r="C239">
        <v>20200000</v>
      </c>
    </row>
    <row r="240" spans="1:3" x14ac:dyDescent="0.2">
      <c r="A240" t="str">
        <f>VLOOKUP(C240,WeaponPara!A:B,2,0)</f>
        <v>木板盾</v>
      </c>
      <c r="B240" t="b">
        <f>NOT(ISNA(VLOOKUP(C240+100,WeaponPara!A:A,1,0)))</f>
        <v>1</v>
      </c>
      <c r="C240">
        <v>20210000</v>
      </c>
    </row>
    <row r="241" spans="1:3" x14ac:dyDescent="0.2">
      <c r="A241" t="str">
        <f>VLOOKUP(C241,WeaponPara!A:B,2,0)</f>
        <v>皮盾</v>
      </c>
      <c r="B241" t="b">
        <f>NOT(ISNA(VLOOKUP(C241+100,WeaponPara!A:A,1,0)))</f>
        <v>1</v>
      </c>
      <c r="C241">
        <v>20220000</v>
      </c>
    </row>
    <row r="242" spans="1:3" x14ac:dyDescent="0.2">
      <c r="A242" t="str">
        <f>VLOOKUP(C242,WeaponPara!A:B,2,0)</f>
        <v>红圆盾</v>
      </c>
      <c r="B242" t="b">
        <f>NOT(ISNA(VLOOKUP(C242+100,WeaponPara!A:A,1,0)))</f>
        <v>1</v>
      </c>
      <c r="C242">
        <v>20230000</v>
      </c>
    </row>
    <row r="243" spans="1:3" x14ac:dyDescent="0.2">
      <c r="A243" t="str">
        <f>VLOOKUP(C243,WeaponPara!A:B,2,0)</f>
        <v>东方铁盾</v>
      </c>
      <c r="B243" t="b">
        <f>NOT(ISNA(VLOOKUP(C243+100,WeaponPara!A:A,1,0)))</f>
        <v>1</v>
      </c>
      <c r="C243">
        <v>20240000</v>
      </c>
    </row>
    <row r="244" spans="1:3" x14ac:dyDescent="0.2">
      <c r="A244" t="str">
        <f>VLOOKUP(C244,WeaponPara!A:B,2,0)</f>
        <v>林德盾</v>
      </c>
      <c r="B244" t="b">
        <f>NOT(ISNA(VLOOKUP(C244+100,WeaponPara!A:A,1,0)))</f>
        <v>1</v>
      </c>
      <c r="C244">
        <v>20250000</v>
      </c>
    </row>
    <row r="245" spans="1:3" x14ac:dyDescent="0.2">
      <c r="A245" t="str">
        <f>VLOOKUP(C245,WeaponPara!A:B,2,0)</f>
        <v>金鹰小盾</v>
      </c>
      <c r="B245" t="b">
        <f>NOT(ISNA(VLOOKUP(C245+100,WeaponPara!A:A,1,0)))</f>
        <v>1</v>
      </c>
      <c r="C245">
        <v>20270000</v>
      </c>
    </row>
    <row r="246" spans="1:3" x14ac:dyDescent="0.2">
      <c r="A246" t="str">
        <f>VLOOKUP(C246,WeaponPara!A:B,2,0)</f>
        <v>圣花盾</v>
      </c>
      <c r="B246" t="b">
        <f>NOT(ISNA(VLOOKUP(C246+100,WeaponPara!A:A,1,0)))</f>
        <v>0</v>
      </c>
      <c r="C246">
        <v>20280000</v>
      </c>
    </row>
    <row r="247" spans="1:3" x14ac:dyDescent="0.2">
      <c r="A247" t="str">
        <f>VLOOKUP(C247,WeaponPara!A:B,2,0)</f>
        <v>古龙绘大盾</v>
      </c>
      <c r="B247" t="b">
        <f>NOT(ISNA(VLOOKUP(C247+100,WeaponPara!A:A,1,0)))</f>
        <v>0</v>
      </c>
      <c r="C247">
        <v>20290000</v>
      </c>
    </row>
    <row r="248" spans="1:3" x14ac:dyDescent="0.2">
      <c r="A248" t="str">
        <f>VLOOKUP(C248,WeaponPara!A:B,2,0)</f>
        <v>幽魂盾</v>
      </c>
      <c r="B248" t="b">
        <f>NOT(ISNA(VLOOKUP(C248+100,WeaponPara!A:A,1,0)))</f>
        <v>1</v>
      </c>
      <c r="C248">
        <v>20300000</v>
      </c>
    </row>
    <row r="249" spans="1:3" x14ac:dyDescent="0.2">
      <c r="A249" t="str">
        <f>VLOOKUP(C249,WeaponPara!A:B,2,0)</f>
        <v>龙头盾</v>
      </c>
      <c r="B249" t="b">
        <f>NOT(ISNA(VLOOKUP(C249+100,WeaponPara!A:A,1,0)))</f>
        <v>0</v>
      </c>
      <c r="C249">
        <v>20310000</v>
      </c>
    </row>
    <row r="250" spans="1:3" x14ac:dyDescent="0.2">
      <c r="A250" t="str">
        <f>VLOOKUP(C250,WeaponPara!A:B,2,0)</f>
        <v>洛斯里克骑士盾</v>
      </c>
      <c r="B250" t="b">
        <f>NOT(ISNA(VLOOKUP(C250+100,WeaponPara!A:A,1,0)))</f>
        <v>1</v>
      </c>
      <c r="C250">
        <v>21010000</v>
      </c>
    </row>
    <row r="251" spans="1:3" x14ac:dyDescent="0.2">
      <c r="A251" t="str">
        <f>VLOOKUP(C251,WeaponPara!A:B,2,0)</f>
        <v>骑士盾</v>
      </c>
      <c r="B251" t="b">
        <f>NOT(ISNA(VLOOKUP(C251+100,WeaponPara!A:A,1,0)))</f>
        <v>1</v>
      </c>
      <c r="C251">
        <v>21040000</v>
      </c>
    </row>
    <row r="252" spans="1:3" x14ac:dyDescent="0.2">
      <c r="A252" t="str">
        <f>VLOOKUP(C252,WeaponPara!A:B,2,0)</f>
        <v>教宗骑士盾</v>
      </c>
      <c r="B252" t="b">
        <f>NOT(ISNA(VLOOKUP(C252+100,WeaponPara!A:A,1,0)))</f>
        <v>0</v>
      </c>
      <c r="C252">
        <v>21060000</v>
      </c>
    </row>
    <row r="253" spans="1:3" x14ac:dyDescent="0.2">
      <c r="A253" t="str">
        <f>VLOOKUP(C253,WeaponPara!A:B,2,0)</f>
        <v>卡萨斯盾</v>
      </c>
      <c r="B253" t="b">
        <f>NOT(ISNA(VLOOKUP(C253+100,WeaponPara!A:A,1,0)))</f>
        <v>1</v>
      </c>
      <c r="C253">
        <v>21070000</v>
      </c>
    </row>
    <row r="254" spans="1:3" x14ac:dyDescent="0.2">
      <c r="A254" t="str">
        <f>VLOOKUP(C254,WeaponPara!A:B,2,0)</f>
        <v>黑骑士盾</v>
      </c>
      <c r="B254" t="b">
        <f>NOT(ISNA(VLOOKUP(C254+100,WeaponPara!A:A,1,0)))</f>
        <v>0</v>
      </c>
      <c r="C254">
        <v>21100000</v>
      </c>
    </row>
    <row r="255" spans="1:3" x14ac:dyDescent="0.2">
      <c r="A255" t="str">
        <f>VLOOKUP(C255,WeaponPara!A:B,2,0)</f>
        <v>银骑士盾</v>
      </c>
      <c r="B255" t="b">
        <f>NOT(ISNA(VLOOKUP(C255+100,WeaponPara!A:A,1,0)))</f>
        <v>0</v>
      </c>
      <c r="C255">
        <v>21120000</v>
      </c>
    </row>
    <row r="256" spans="1:3" x14ac:dyDescent="0.2">
      <c r="A256" t="str">
        <f>VLOOKUP(C256,WeaponPara!A:B,2,0)</f>
        <v>刺针盾</v>
      </c>
      <c r="B256" t="b">
        <f>NOT(ISNA(VLOOKUP(C256+100,WeaponPara!A:A,1,0)))</f>
        <v>1</v>
      </c>
      <c r="C256">
        <v>21130000</v>
      </c>
    </row>
    <row r="257" spans="1:3" x14ac:dyDescent="0.2">
      <c r="A257" t="str">
        <f>VLOOKUP(C257,WeaponPara!A:B,2,0)</f>
        <v>突刺盾</v>
      </c>
      <c r="B257" t="b">
        <f>NOT(ISNA(VLOOKUP(C257+100,WeaponPara!A:A,1,0)))</f>
        <v>1</v>
      </c>
      <c r="C257">
        <v>21140000</v>
      </c>
    </row>
    <row r="258" spans="1:3" x14ac:dyDescent="0.2">
      <c r="A258" t="str">
        <f>VLOOKUP(C258,WeaponPara!A:B,2,0)</f>
        <v>双鸟纹木盾</v>
      </c>
      <c r="B258" t="b">
        <f>NOT(ISNA(VLOOKUP(C258+100,WeaponPara!A:A,1,0)))</f>
        <v>1</v>
      </c>
      <c r="C258">
        <v>21150000</v>
      </c>
    </row>
    <row r="259" spans="1:3" x14ac:dyDescent="0.2">
      <c r="A259" t="str">
        <f>VLOOKUP(C259,WeaponPara!A:B,2,0)</f>
        <v>太阳纹盾</v>
      </c>
      <c r="B259" t="b">
        <f>NOT(ISNA(VLOOKUP(C259+100,WeaponPara!A:A,1,0)))</f>
        <v>1</v>
      </c>
      <c r="C259">
        <v>21160000</v>
      </c>
    </row>
    <row r="260" spans="1:3" x14ac:dyDescent="0.2">
      <c r="A260" t="str">
        <f>VLOOKUP(C260,WeaponPara!A:B,2,0)</f>
        <v>图纹盾</v>
      </c>
      <c r="B260" t="b">
        <f>NOT(ISNA(VLOOKUP(C260+100,WeaponPara!A:A,1,0)))</f>
        <v>0</v>
      </c>
      <c r="C260">
        <v>21170000</v>
      </c>
    </row>
    <row r="261" spans="1:3" x14ac:dyDescent="0.2">
      <c r="A261" t="str">
        <f>VLOOKUP(C261,WeaponPara!A:B,2,0)</f>
        <v>龙图纹盾</v>
      </c>
      <c r="B261" t="b">
        <f>NOT(ISNA(VLOOKUP(C261+100,WeaponPara!A:A,1,0)))</f>
        <v>0</v>
      </c>
      <c r="C261">
        <v>21180000</v>
      </c>
    </row>
    <row r="262" spans="1:3" x14ac:dyDescent="0.2">
      <c r="A262" t="str">
        <f>VLOOKUP(C262,WeaponPara!A:B,2,0)</f>
        <v>蜘蛛纹盾</v>
      </c>
      <c r="B262" t="b">
        <f>NOT(ISNA(VLOOKUP(C262+100,WeaponPara!A:A,1,0)))</f>
        <v>1</v>
      </c>
      <c r="C262">
        <v>21190000</v>
      </c>
    </row>
    <row r="263" spans="1:3" x14ac:dyDescent="0.2">
      <c r="A263" t="str">
        <f>VLOOKUP(C263,WeaponPara!A:B,2,0)</f>
        <v>草纹盾</v>
      </c>
      <c r="B263" t="b">
        <f>NOT(ISNA(VLOOKUP(C263+100,WeaponPara!A:A,1,0)))</f>
        <v>0</v>
      </c>
      <c r="C263">
        <v>21200000</v>
      </c>
    </row>
    <row r="264" spans="1:3" x14ac:dyDescent="0.2">
      <c r="A264" t="str">
        <f>VLOOKUP(C264,WeaponPara!A:B,2,0)</f>
        <v>黄昏盾</v>
      </c>
      <c r="B264" t="b">
        <f>NOT(ISNA(VLOOKUP(C264+100,WeaponPara!A:A,1,0)))</f>
        <v>1</v>
      </c>
      <c r="C264">
        <v>21210000</v>
      </c>
    </row>
    <row r="265" spans="1:3" x14ac:dyDescent="0.2">
      <c r="A265" t="str">
        <f>VLOOKUP(C265,WeaponPara!A:B,2,0)</f>
        <v>金翼图纹盾</v>
      </c>
      <c r="B265" t="b">
        <f>NOT(ISNA(VLOOKUP(C265+100,WeaponPara!A:A,1,0)))</f>
        <v>0</v>
      </c>
      <c r="C265">
        <v>21220000</v>
      </c>
    </row>
    <row r="266" spans="1:3" x14ac:dyDescent="0.2">
      <c r="A266" t="str">
        <f>VLOOKUP(C266,WeaponPara!A:B,2,0)</f>
        <v>蓝木盾</v>
      </c>
      <c r="B266" t="b">
        <f>NOT(ISNA(VLOOKUP(C266+100,WeaponPara!A:A,1,0)))</f>
        <v>1</v>
      </c>
      <c r="C266">
        <v>21230000</v>
      </c>
    </row>
    <row r="267" spans="1:3" x14ac:dyDescent="0.2">
      <c r="A267" t="str">
        <f>VLOOKUP(C267,WeaponPara!A:B,2,0)</f>
        <v>银鹫鸢形盾</v>
      </c>
      <c r="B267" t="b">
        <f>NOT(ISNA(VLOOKUP(C267+100,WeaponPara!A:A,1,0)))</f>
        <v>1</v>
      </c>
      <c r="C267">
        <v>21240000</v>
      </c>
    </row>
    <row r="268" spans="1:3" x14ac:dyDescent="0.2">
      <c r="A268" t="str">
        <f>VLOOKUP(C268,WeaponPara!A:B,2,0)</f>
        <v>石像圆盾</v>
      </c>
      <c r="B268" t="b">
        <f>NOT(ISNA(VLOOKUP(C268+100,WeaponPara!A:A,1,0)))</f>
        <v>1</v>
      </c>
      <c r="C268">
        <v>21250000</v>
      </c>
    </row>
    <row r="269" spans="1:3" x14ac:dyDescent="0.2">
      <c r="A269" t="str">
        <f>VLOOKUP(C269,WeaponPara!A:B,2,0)</f>
        <v>神木图纹盾</v>
      </c>
      <c r="B269" t="b">
        <f>NOT(ISNA(VLOOKUP(C269+100,WeaponPara!A:A,1,0)))</f>
        <v>0</v>
      </c>
      <c r="C269">
        <v>21260000</v>
      </c>
    </row>
    <row r="270" spans="1:3" x14ac:dyDescent="0.2">
      <c r="A270" t="str">
        <f>VLOOKUP(C270,WeaponPara!A:B,2,0)</f>
        <v>隶兽盾</v>
      </c>
      <c r="B270" t="b">
        <f>NOT(ISNA(VLOOKUP(C270+100,WeaponPara!A:A,1,0)))</f>
        <v>1</v>
      </c>
      <c r="C270">
        <v>21270000</v>
      </c>
    </row>
    <row r="271" spans="1:3" x14ac:dyDescent="0.2">
      <c r="A271" t="str">
        <f>VLOOKUP(C271,WeaponPara!A:B,2,0)</f>
        <v>渴望盾</v>
      </c>
      <c r="B271" t="b">
        <f>NOT(ISNA(VLOOKUP(C271+100,WeaponPara!A:A,1,0)))</f>
        <v>0</v>
      </c>
      <c r="C271">
        <v>21280000</v>
      </c>
    </row>
    <row r="272" spans="1:3" x14ac:dyDescent="0.2">
      <c r="A272" t="str">
        <f>VLOOKUP(C272,WeaponPara!A:B,2,0)</f>
        <v>战神木盾</v>
      </c>
      <c r="B272" t="b">
        <f>NOT(ISNA(VLOOKUP(C272+100,WeaponPara!A:A,1,0)))</f>
        <v>1</v>
      </c>
      <c r="C272">
        <v>21290000</v>
      </c>
    </row>
    <row r="273" spans="1:3" x14ac:dyDescent="0.2">
      <c r="A273" t="str">
        <f>VLOOKUP(C273,WeaponPara!A:B,2,0)</f>
        <v>灵树盾</v>
      </c>
      <c r="B273" t="b">
        <f>NOT(ISNA(VLOOKUP(C273+100,WeaponPara!A:A,1,0)))</f>
        <v>0</v>
      </c>
      <c r="C273">
        <v>21300000</v>
      </c>
    </row>
    <row r="274" spans="1:3" x14ac:dyDescent="0.2">
      <c r="A274" t="str">
        <f>VLOOKUP(C274,WeaponPara!A:B,2,0)</f>
        <v>龙头大盾</v>
      </c>
      <c r="B274" t="b">
        <f>NOT(ISNA(VLOOKUP(C274+100,WeaponPara!A:A,1,0)))</f>
        <v>0</v>
      </c>
      <c r="C274">
        <v>21310000</v>
      </c>
    </row>
    <row r="275" spans="1:3" x14ac:dyDescent="0.2">
      <c r="A275" t="str">
        <f>VLOOKUP(C275,WeaponPara!A:B,2,0)</f>
        <v>洛斯里克骑士大盾</v>
      </c>
      <c r="B275" t="b">
        <f>NOT(ISNA(VLOOKUP(C275+100,WeaponPara!A:A,1,0)))</f>
        <v>1</v>
      </c>
      <c r="C275">
        <v>22010000</v>
      </c>
    </row>
    <row r="276" spans="1:3" x14ac:dyDescent="0.2">
      <c r="A276" t="str">
        <f>VLOOKUP(C276,WeaponPara!A:B,2,0)</f>
        <v>教堂骑士大盾</v>
      </c>
      <c r="B276" t="b">
        <f>NOT(ISNA(VLOOKUP(C276+100,WeaponPara!A:A,1,0)))</f>
        <v>1</v>
      </c>
      <c r="C276">
        <v>22020000</v>
      </c>
    </row>
    <row r="277" spans="1:3" x14ac:dyDescent="0.2">
      <c r="A277" t="str">
        <f>VLOOKUP(C277,WeaponPara!A:B,2,0)</f>
        <v>猎龙大盾</v>
      </c>
      <c r="B277" t="b">
        <f>NOT(ISNA(VLOOKUP(C277+100,WeaponPara!A:A,1,0)))</f>
        <v>0</v>
      </c>
      <c r="C277">
        <v>22040000</v>
      </c>
    </row>
    <row r="278" spans="1:3" x14ac:dyDescent="0.2">
      <c r="A278" t="str">
        <f>VLOOKUP(C278,WeaponPara!A:B,2,0)</f>
        <v>呻吟盾</v>
      </c>
      <c r="B278" t="b">
        <f>NOT(ISNA(VLOOKUP(C278+100,WeaponPara!A:A,1,0)))</f>
        <v>0</v>
      </c>
      <c r="C278">
        <v>22050000</v>
      </c>
    </row>
    <row r="279" spans="1:3" x14ac:dyDescent="0.2">
      <c r="A279" t="str">
        <f>VLOOKUP(C279,WeaponPara!A:B,2,0)</f>
        <v>尤姆大盾</v>
      </c>
      <c r="B279" t="b">
        <f>NOT(ISNA(VLOOKUP(C279+100,WeaponPara!A:A,1,0)))</f>
        <v>0</v>
      </c>
      <c r="C279">
        <v>22070000</v>
      </c>
    </row>
    <row r="280" spans="1:3" x14ac:dyDescent="0.2">
      <c r="A280" t="str">
        <f>VLOOKUP(C280,WeaponPara!A:B,2,0)</f>
        <v>黑铁大盾</v>
      </c>
      <c r="B280" t="b">
        <f>NOT(ISNA(VLOOKUP(C280+100,WeaponPara!A:A,1,0)))</f>
        <v>1</v>
      </c>
      <c r="C280">
        <v>22080000</v>
      </c>
    </row>
    <row r="281" spans="1:3" x14ac:dyDescent="0.2">
      <c r="A281" t="str">
        <f>VLOOKUP(C281,WeaponPara!A:B,2,0)</f>
        <v>狼骑士大盾</v>
      </c>
      <c r="B281" t="b">
        <f>NOT(ISNA(VLOOKUP(C281+100,WeaponPara!A:A,1,0)))</f>
        <v>0</v>
      </c>
      <c r="C281">
        <v>22090000</v>
      </c>
    </row>
    <row r="282" spans="1:3" x14ac:dyDescent="0.2">
      <c r="A282" t="str">
        <f>VLOOKUP(C282,WeaponPara!A:B,2,0)</f>
        <v>双龙大盾</v>
      </c>
      <c r="B282" t="b">
        <f>NOT(ISNA(VLOOKUP(C282+100,WeaponPara!A:A,1,0)))</f>
        <v>1</v>
      </c>
      <c r="C282">
        <v>22100000</v>
      </c>
    </row>
    <row r="283" spans="1:3" x14ac:dyDescent="0.2">
      <c r="A283" t="str">
        <f>VLOOKUP(C283,WeaponPara!A:B,2,0)</f>
        <v>荣誉大盾</v>
      </c>
      <c r="B283" t="b">
        <f>NOT(ISNA(VLOOKUP(C283+100,WeaponPara!A:A,1,0)))</f>
        <v>0</v>
      </c>
      <c r="C283">
        <v>22110000</v>
      </c>
    </row>
    <row r="284" spans="1:3" x14ac:dyDescent="0.2">
      <c r="A284" t="str">
        <f>VLOOKUP(C284,WeaponPara!A:B,2,0)</f>
        <v>抗咒大盾</v>
      </c>
      <c r="B284" t="b">
        <f>NOT(ISNA(VLOOKUP(C284+100,WeaponPara!A:A,1,0)))</f>
        <v>0</v>
      </c>
      <c r="C284">
        <v>22120000</v>
      </c>
    </row>
    <row r="285" spans="1:3" x14ac:dyDescent="0.2">
      <c r="A285" t="str">
        <f>VLOOKUP(C285,WeaponPara!A:B,2,0)</f>
        <v>骸骨车轮盾</v>
      </c>
      <c r="B285" t="b">
        <f>NOT(ISNA(VLOOKUP(C285+100,WeaponPara!A:A,1,0)))</f>
        <v>1</v>
      </c>
      <c r="C285">
        <v>22130000</v>
      </c>
    </row>
    <row r="286" spans="1:3" x14ac:dyDescent="0.2">
      <c r="A286" t="str">
        <f>VLOOKUP(C286,WeaponPara!A:B,2,0)</f>
        <v>石制大盾</v>
      </c>
      <c r="B286" t="b">
        <f>NOT(ISNA(VLOOKUP(C286+100,WeaponPara!A:A,1,0)))</f>
        <v>1</v>
      </c>
      <c r="C286">
        <v>22140000</v>
      </c>
    </row>
    <row r="287" spans="1:3" x14ac:dyDescent="0.2">
      <c r="A287" t="str">
        <f>VLOOKUP(C287,WeaponPara!A:B,2,0)</f>
        <v>火把</v>
      </c>
      <c r="B287" t="b">
        <f>NOT(ISNA(VLOOKUP(C287+100,WeaponPara!A:A,1,0)))</f>
        <v>0</v>
      </c>
      <c r="C287">
        <v>23000000</v>
      </c>
    </row>
    <row r="288" spans="1:3" x14ac:dyDescent="0.2">
      <c r="A288" t="str">
        <f>VLOOKUP(C288,WeaponPara!A:B,2,0)</f>
        <v>幽魂火把</v>
      </c>
      <c r="B288" t="b">
        <f>NOT(ISNA(VLOOKUP(C288+100,WeaponPara!A:A,1,0)))</f>
        <v>0</v>
      </c>
      <c r="C288">
        <v>23010000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60077-CBCB-40E7-A4C9-2B065B31B354}">
  <sheetPr codeName="Sheet8"/>
  <dimension ref="A1:X2409"/>
  <sheetViews>
    <sheetView workbookViewId="0">
      <pane xSplit="2" ySplit="2" topLeftCell="C724" activePane="bottomRight" state="frozen"/>
      <selection pane="topRight" activeCell="C1" sqref="C1"/>
      <selection pane="bottomLeft" activeCell="A3" sqref="A3"/>
      <selection pane="bottomRight" activeCell="K2" sqref="K2"/>
    </sheetView>
  </sheetViews>
  <sheetFormatPr defaultRowHeight="14.25" x14ac:dyDescent="0.2"/>
  <cols>
    <col min="1" max="1" width="9.75" customWidth="1"/>
    <col min="2" max="2" width="21.625" customWidth="1"/>
    <col min="6" max="6" width="12" customWidth="1"/>
    <col min="10" max="10" width="10.25" customWidth="1"/>
    <col min="13" max="13" width="9.25" customWidth="1"/>
    <col min="14" max="14" width="12.375" customWidth="1"/>
    <col min="26" max="26" width="9.75" customWidth="1"/>
  </cols>
  <sheetData>
    <row r="1" spans="1:24" x14ac:dyDescent="0.2">
      <c r="C1" s="5" t="s">
        <v>2484</v>
      </c>
      <c r="D1" s="5"/>
      <c r="E1" s="5"/>
      <c r="F1" s="5" t="s">
        <v>2465</v>
      </c>
      <c r="G1" s="5"/>
      <c r="H1" s="5"/>
      <c r="I1" s="5"/>
      <c r="J1" s="5"/>
      <c r="K1" s="5" t="s">
        <v>2464</v>
      </c>
      <c r="L1" s="5"/>
      <c r="M1" s="5"/>
      <c r="N1" s="5"/>
      <c r="O1" s="5"/>
      <c r="P1" s="5" t="s">
        <v>2463</v>
      </c>
      <c r="Q1" s="5"/>
      <c r="R1" s="5"/>
      <c r="S1" s="5"/>
      <c r="T1" s="5"/>
      <c r="U1" s="5" t="s">
        <v>2462</v>
      </c>
      <c r="V1" s="5"/>
      <c r="W1" s="5"/>
      <c r="X1" s="5"/>
    </row>
    <row r="2" spans="1:24" x14ac:dyDescent="0.2">
      <c r="A2" t="s">
        <v>0</v>
      </c>
      <c r="B2" t="s">
        <v>1</v>
      </c>
      <c r="C2" t="s">
        <v>2485</v>
      </c>
      <c r="D2" t="s">
        <v>2408</v>
      </c>
      <c r="E2" t="s">
        <v>2516</v>
      </c>
      <c r="F2" t="s">
        <v>2404</v>
      </c>
      <c r="G2" t="s">
        <v>2405</v>
      </c>
      <c r="H2" t="s">
        <v>2406</v>
      </c>
      <c r="I2" t="s">
        <v>2495</v>
      </c>
      <c r="J2" t="s">
        <v>2407</v>
      </c>
      <c r="K2" t="s">
        <v>2414</v>
      </c>
      <c r="L2" t="s">
        <v>2415</v>
      </c>
      <c r="M2" t="s">
        <v>2416</v>
      </c>
      <c r="N2" t="s">
        <v>2417</v>
      </c>
      <c r="O2" t="s">
        <v>2418</v>
      </c>
      <c r="P2" t="s">
        <v>2420</v>
      </c>
      <c r="Q2" t="s">
        <v>2421</v>
      </c>
      <c r="R2" t="s">
        <v>2422</v>
      </c>
      <c r="S2" t="s">
        <v>2423</v>
      </c>
      <c r="T2" t="s">
        <v>2424</v>
      </c>
      <c r="U2" t="s">
        <v>2458</v>
      </c>
      <c r="V2" t="s">
        <v>2459</v>
      </c>
      <c r="W2" t="s">
        <v>2460</v>
      </c>
      <c r="X2" t="s">
        <v>2461</v>
      </c>
    </row>
    <row r="3" spans="1:24" x14ac:dyDescent="0.2">
      <c r="A3">
        <v>110000</v>
      </c>
      <c r="B3" t="s">
        <v>2</v>
      </c>
      <c r="C3">
        <v>-1</v>
      </c>
      <c r="D3">
        <v>3000</v>
      </c>
      <c r="E3">
        <v>10000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500</v>
      </c>
      <c r="Q3">
        <v>500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2">
      <c r="A4">
        <v>1000000</v>
      </c>
      <c r="B4" t="s">
        <v>3</v>
      </c>
      <c r="C4">
        <v>0</v>
      </c>
      <c r="D4">
        <v>0</v>
      </c>
      <c r="E4">
        <v>10000</v>
      </c>
      <c r="F4">
        <v>65</v>
      </c>
      <c r="G4">
        <v>0</v>
      </c>
      <c r="H4">
        <v>0</v>
      </c>
      <c r="I4">
        <v>0</v>
      </c>
      <c r="J4">
        <v>0</v>
      </c>
      <c r="K4">
        <v>9</v>
      </c>
      <c r="L4">
        <v>0</v>
      </c>
      <c r="M4">
        <v>0</v>
      </c>
      <c r="N4">
        <v>0</v>
      </c>
      <c r="O4">
        <v>0</v>
      </c>
      <c r="P4">
        <v>10</v>
      </c>
      <c r="Q4">
        <v>70</v>
      </c>
      <c r="R4">
        <v>0</v>
      </c>
      <c r="S4">
        <v>0</v>
      </c>
      <c r="T4">
        <v>24</v>
      </c>
      <c r="U4">
        <v>5</v>
      </c>
      <c r="V4">
        <v>9</v>
      </c>
      <c r="W4">
        <v>0</v>
      </c>
      <c r="X4">
        <v>0</v>
      </c>
    </row>
    <row r="5" spans="1:24" x14ac:dyDescent="0.2">
      <c r="A5">
        <v>1000100</v>
      </c>
      <c r="B5" t="s">
        <v>4</v>
      </c>
      <c r="C5">
        <v>200</v>
      </c>
      <c r="D5">
        <v>100</v>
      </c>
      <c r="E5">
        <v>10000</v>
      </c>
      <c r="F5">
        <v>65</v>
      </c>
      <c r="G5">
        <v>0</v>
      </c>
      <c r="H5">
        <v>0</v>
      </c>
      <c r="I5">
        <v>0</v>
      </c>
      <c r="J5">
        <v>0</v>
      </c>
      <c r="K5">
        <v>9</v>
      </c>
      <c r="L5">
        <v>0</v>
      </c>
      <c r="M5">
        <v>0</v>
      </c>
      <c r="N5">
        <v>0</v>
      </c>
      <c r="O5">
        <v>0</v>
      </c>
      <c r="P5">
        <v>48</v>
      </c>
      <c r="Q5">
        <v>0</v>
      </c>
      <c r="R5">
        <v>0</v>
      </c>
      <c r="S5">
        <v>0</v>
      </c>
      <c r="T5">
        <v>24</v>
      </c>
      <c r="U5">
        <v>5</v>
      </c>
      <c r="V5">
        <v>9</v>
      </c>
      <c r="W5">
        <v>0</v>
      </c>
      <c r="X5">
        <v>0</v>
      </c>
    </row>
    <row r="6" spans="1:24" x14ac:dyDescent="0.2">
      <c r="A6">
        <v>1000200</v>
      </c>
      <c r="B6" t="s">
        <v>5</v>
      </c>
      <c r="C6">
        <v>100</v>
      </c>
      <c r="D6">
        <v>5000</v>
      </c>
      <c r="E6">
        <v>10000</v>
      </c>
      <c r="F6">
        <v>65</v>
      </c>
      <c r="G6">
        <v>0</v>
      </c>
      <c r="H6">
        <v>0</v>
      </c>
      <c r="I6">
        <v>0</v>
      </c>
      <c r="J6">
        <v>0</v>
      </c>
      <c r="K6">
        <v>9</v>
      </c>
      <c r="L6">
        <v>0</v>
      </c>
      <c r="M6">
        <v>0</v>
      </c>
      <c r="N6">
        <v>0</v>
      </c>
      <c r="O6">
        <v>0</v>
      </c>
      <c r="P6">
        <v>5</v>
      </c>
      <c r="Q6">
        <v>70</v>
      </c>
      <c r="R6">
        <v>0</v>
      </c>
      <c r="S6">
        <v>0</v>
      </c>
      <c r="T6">
        <v>24</v>
      </c>
      <c r="U6">
        <v>5</v>
      </c>
      <c r="V6">
        <v>9</v>
      </c>
      <c r="W6">
        <v>0</v>
      </c>
      <c r="X6">
        <v>0</v>
      </c>
    </row>
    <row r="7" spans="1:24" x14ac:dyDescent="0.2">
      <c r="A7">
        <v>1000300</v>
      </c>
      <c r="B7" t="s">
        <v>6</v>
      </c>
      <c r="C7">
        <v>300</v>
      </c>
      <c r="D7">
        <v>300</v>
      </c>
      <c r="E7">
        <v>10000</v>
      </c>
      <c r="F7">
        <v>65</v>
      </c>
      <c r="G7">
        <v>0</v>
      </c>
      <c r="H7">
        <v>0</v>
      </c>
      <c r="I7">
        <v>0</v>
      </c>
      <c r="J7">
        <v>0</v>
      </c>
      <c r="K7">
        <v>8</v>
      </c>
      <c r="L7">
        <v>0</v>
      </c>
      <c r="M7">
        <v>0</v>
      </c>
      <c r="N7">
        <v>0</v>
      </c>
      <c r="O7">
        <v>0</v>
      </c>
      <c r="P7">
        <v>53</v>
      </c>
      <c r="Q7">
        <v>53</v>
      </c>
      <c r="R7">
        <v>0</v>
      </c>
      <c r="S7">
        <v>0</v>
      </c>
      <c r="T7">
        <v>24</v>
      </c>
      <c r="U7">
        <v>5</v>
      </c>
      <c r="V7">
        <v>9</v>
      </c>
      <c r="W7">
        <v>0</v>
      </c>
      <c r="X7">
        <v>0</v>
      </c>
    </row>
    <row r="8" spans="1:24" x14ac:dyDescent="0.2">
      <c r="A8">
        <v>1000400</v>
      </c>
      <c r="B8" t="s">
        <v>7</v>
      </c>
      <c r="C8">
        <v>500</v>
      </c>
      <c r="D8">
        <v>500</v>
      </c>
      <c r="E8">
        <v>10000</v>
      </c>
      <c r="F8">
        <v>75</v>
      </c>
      <c r="G8">
        <v>75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10</v>
      </c>
      <c r="Q8">
        <v>70</v>
      </c>
      <c r="R8">
        <v>80</v>
      </c>
      <c r="S8">
        <v>0</v>
      </c>
      <c r="T8">
        <v>24</v>
      </c>
      <c r="U8">
        <v>5</v>
      </c>
      <c r="V8">
        <v>9</v>
      </c>
      <c r="W8">
        <v>0</v>
      </c>
      <c r="X8">
        <v>0</v>
      </c>
    </row>
    <row r="9" spans="1:24" x14ac:dyDescent="0.2">
      <c r="A9">
        <v>1000500</v>
      </c>
      <c r="B9" t="s">
        <v>8</v>
      </c>
      <c r="C9">
        <v>400</v>
      </c>
      <c r="D9">
        <v>400</v>
      </c>
      <c r="E9">
        <v>10000</v>
      </c>
      <c r="F9">
        <v>75</v>
      </c>
      <c r="G9">
        <v>75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10</v>
      </c>
      <c r="Q9">
        <v>70</v>
      </c>
      <c r="R9">
        <v>80</v>
      </c>
      <c r="S9">
        <v>0</v>
      </c>
      <c r="T9">
        <v>24</v>
      </c>
      <c r="U9">
        <v>5</v>
      </c>
      <c r="V9">
        <v>9</v>
      </c>
      <c r="W9">
        <v>0</v>
      </c>
      <c r="X9">
        <v>0</v>
      </c>
    </row>
    <row r="10" spans="1:24" x14ac:dyDescent="0.2">
      <c r="A10">
        <v>1000600</v>
      </c>
      <c r="B10" t="s">
        <v>9</v>
      </c>
      <c r="C10">
        <v>600</v>
      </c>
      <c r="D10">
        <v>600</v>
      </c>
      <c r="E10">
        <v>10000</v>
      </c>
      <c r="F10">
        <v>80</v>
      </c>
      <c r="G10">
        <v>0</v>
      </c>
      <c r="H10">
        <v>80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</v>
      </c>
      <c r="Q10">
        <v>70</v>
      </c>
      <c r="R10">
        <v>0</v>
      </c>
      <c r="S10">
        <v>0</v>
      </c>
      <c r="T10">
        <v>24</v>
      </c>
      <c r="U10">
        <v>5</v>
      </c>
      <c r="V10">
        <v>9</v>
      </c>
      <c r="W10">
        <v>0</v>
      </c>
      <c r="X10">
        <v>0</v>
      </c>
    </row>
    <row r="11" spans="1:24" x14ac:dyDescent="0.2">
      <c r="A11">
        <v>1000700</v>
      </c>
      <c r="B11" t="s">
        <v>10</v>
      </c>
      <c r="C11">
        <v>700</v>
      </c>
      <c r="D11">
        <v>700</v>
      </c>
      <c r="E11">
        <v>10000</v>
      </c>
      <c r="F11">
        <v>75</v>
      </c>
      <c r="G11">
        <v>0</v>
      </c>
      <c r="H11">
        <v>75</v>
      </c>
      <c r="I11">
        <v>0</v>
      </c>
      <c r="J11">
        <v>0</v>
      </c>
      <c r="K11">
        <v>0</v>
      </c>
      <c r="L11">
        <v>0</v>
      </c>
      <c r="M11">
        <v>4</v>
      </c>
      <c r="N11">
        <v>0</v>
      </c>
      <c r="O11">
        <v>0</v>
      </c>
      <c r="P11">
        <v>10</v>
      </c>
      <c r="Q11">
        <v>70</v>
      </c>
      <c r="R11">
        <v>80</v>
      </c>
      <c r="S11">
        <v>80</v>
      </c>
      <c r="T11">
        <v>24</v>
      </c>
      <c r="U11">
        <v>5</v>
      </c>
      <c r="V11">
        <v>9</v>
      </c>
      <c r="W11">
        <v>0</v>
      </c>
      <c r="X11">
        <v>0</v>
      </c>
    </row>
    <row r="12" spans="1:24" x14ac:dyDescent="0.2">
      <c r="A12">
        <v>1000800</v>
      </c>
      <c r="B12" t="s">
        <v>11</v>
      </c>
      <c r="C12">
        <v>800</v>
      </c>
      <c r="D12">
        <v>800</v>
      </c>
      <c r="E12">
        <v>10000</v>
      </c>
      <c r="F12">
        <v>75</v>
      </c>
      <c r="G12">
        <v>0</v>
      </c>
      <c r="H12">
        <v>0</v>
      </c>
      <c r="I12">
        <v>75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10</v>
      </c>
      <c r="Q12">
        <v>70</v>
      </c>
      <c r="R12">
        <v>0</v>
      </c>
      <c r="S12">
        <v>80</v>
      </c>
      <c r="T12">
        <v>24</v>
      </c>
      <c r="U12">
        <v>5</v>
      </c>
      <c r="V12">
        <v>9</v>
      </c>
      <c r="W12">
        <v>0</v>
      </c>
      <c r="X12">
        <v>0</v>
      </c>
    </row>
    <row r="13" spans="1:24" x14ac:dyDescent="0.2">
      <c r="A13">
        <v>1000900</v>
      </c>
      <c r="B13" t="s">
        <v>12</v>
      </c>
      <c r="C13">
        <v>900</v>
      </c>
      <c r="D13">
        <v>900</v>
      </c>
      <c r="E13">
        <v>10000</v>
      </c>
      <c r="F13">
        <v>80</v>
      </c>
      <c r="G13">
        <v>0</v>
      </c>
      <c r="H13">
        <v>0</v>
      </c>
      <c r="I13">
        <v>0</v>
      </c>
      <c r="J13">
        <v>80</v>
      </c>
      <c r="K13">
        <v>0</v>
      </c>
      <c r="L13">
        <v>0</v>
      </c>
      <c r="M13">
        <v>0</v>
      </c>
      <c r="N13">
        <v>0</v>
      </c>
      <c r="O13">
        <v>0</v>
      </c>
      <c r="P13">
        <v>10</v>
      </c>
      <c r="Q13">
        <v>70</v>
      </c>
      <c r="R13">
        <v>0</v>
      </c>
      <c r="S13">
        <v>0</v>
      </c>
      <c r="T13">
        <v>24</v>
      </c>
      <c r="U13">
        <v>5</v>
      </c>
      <c r="V13">
        <v>9</v>
      </c>
      <c r="W13">
        <v>0</v>
      </c>
      <c r="X13">
        <v>0</v>
      </c>
    </row>
    <row r="14" spans="1:24" x14ac:dyDescent="0.2">
      <c r="A14">
        <v>1001000</v>
      </c>
      <c r="B14" t="s">
        <v>13</v>
      </c>
      <c r="C14">
        <v>1000</v>
      </c>
      <c r="D14">
        <v>1000</v>
      </c>
      <c r="E14">
        <v>10000</v>
      </c>
      <c r="F14">
        <v>75</v>
      </c>
      <c r="G14">
        <v>0</v>
      </c>
      <c r="H14">
        <v>0</v>
      </c>
      <c r="I14">
        <v>0</v>
      </c>
      <c r="J14">
        <v>75</v>
      </c>
      <c r="K14">
        <v>0</v>
      </c>
      <c r="L14">
        <v>0</v>
      </c>
      <c r="M14">
        <v>0</v>
      </c>
      <c r="N14">
        <v>0</v>
      </c>
      <c r="O14">
        <v>4</v>
      </c>
      <c r="P14">
        <v>10</v>
      </c>
      <c r="Q14">
        <v>70</v>
      </c>
      <c r="R14">
        <v>80</v>
      </c>
      <c r="S14">
        <v>80</v>
      </c>
      <c r="T14">
        <v>24</v>
      </c>
      <c r="U14">
        <v>5</v>
      </c>
      <c r="V14">
        <v>9</v>
      </c>
      <c r="W14">
        <v>0</v>
      </c>
      <c r="X14">
        <v>0</v>
      </c>
    </row>
    <row r="15" spans="1:24" x14ac:dyDescent="0.2">
      <c r="A15">
        <v>1001100</v>
      </c>
      <c r="B15" t="s">
        <v>14</v>
      </c>
      <c r="C15">
        <v>1100</v>
      </c>
      <c r="D15">
        <v>1100</v>
      </c>
      <c r="E15">
        <v>10000</v>
      </c>
      <c r="F15">
        <v>65</v>
      </c>
      <c r="G15">
        <v>0</v>
      </c>
      <c r="H15">
        <v>0</v>
      </c>
      <c r="I15">
        <v>0</v>
      </c>
      <c r="J15">
        <v>0</v>
      </c>
      <c r="K15">
        <v>9</v>
      </c>
      <c r="L15">
        <v>0</v>
      </c>
      <c r="M15">
        <v>0</v>
      </c>
      <c r="N15">
        <v>0</v>
      </c>
      <c r="O15">
        <v>0</v>
      </c>
      <c r="P15">
        <v>10</v>
      </c>
      <c r="Q15">
        <v>70</v>
      </c>
      <c r="R15">
        <v>0</v>
      </c>
      <c r="S15">
        <v>0</v>
      </c>
      <c r="T15">
        <v>24</v>
      </c>
      <c r="U15">
        <v>5</v>
      </c>
      <c r="V15">
        <v>9</v>
      </c>
      <c r="W15">
        <v>0</v>
      </c>
      <c r="X15">
        <v>0</v>
      </c>
    </row>
    <row r="16" spans="1:24" x14ac:dyDescent="0.2">
      <c r="A16">
        <v>1001200</v>
      </c>
      <c r="B16" t="s">
        <v>15</v>
      </c>
      <c r="C16">
        <v>1200</v>
      </c>
      <c r="D16">
        <v>1200</v>
      </c>
      <c r="E16">
        <v>10000</v>
      </c>
      <c r="F16">
        <v>65</v>
      </c>
      <c r="G16">
        <v>0</v>
      </c>
      <c r="H16">
        <v>0</v>
      </c>
      <c r="I16">
        <v>0</v>
      </c>
      <c r="J16">
        <v>0</v>
      </c>
      <c r="K16">
        <v>9</v>
      </c>
      <c r="L16">
        <v>0</v>
      </c>
      <c r="M16">
        <v>0</v>
      </c>
      <c r="N16">
        <v>0</v>
      </c>
      <c r="O16">
        <v>0</v>
      </c>
      <c r="P16">
        <v>10</v>
      </c>
      <c r="Q16">
        <v>70</v>
      </c>
      <c r="R16">
        <v>0</v>
      </c>
      <c r="S16">
        <v>0</v>
      </c>
      <c r="T16">
        <v>24</v>
      </c>
      <c r="U16">
        <v>5</v>
      </c>
      <c r="V16">
        <v>9</v>
      </c>
      <c r="W16">
        <v>0</v>
      </c>
      <c r="X16">
        <v>0</v>
      </c>
    </row>
    <row r="17" spans="1:24" x14ac:dyDescent="0.2">
      <c r="A17">
        <v>1001300</v>
      </c>
      <c r="B17" t="s">
        <v>16</v>
      </c>
      <c r="C17">
        <v>1300</v>
      </c>
      <c r="D17">
        <v>1300</v>
      </c>
      <c r="E17">
        <v>10000</v>
      </c>
      <c r="F17">
        <v>75</v>
      </c>
      <c r="G17">
        <v>0</v>
      </c>
      <c r="H17">
        <v>0</v>
      </c>
      <c r="I17">
        <v>0</v>
      </c>
      <c r="J17">
        <v>0</v>
      </c>
      <c r="K17">
        <v>9</v>
      </c>
      <c r="L17">
        <v>0</v>
      </c>
      <c r="M17">
        <v>0</v>
      </c>
      <c r="N17">
        <v>0</v>
      </c>
      <c r="O17">
        <v>0</v>
      </c>
      <c r="P17">
        <v>10</v>
      </c>
      <c r="Q17">
        <v>70</v>
      </c>
      <c r="R17">
        <v>0</v>
      </c>
      <c r="S17">
        <v>0</v>
      </c>
      <c r="T17">
        <v>24</v>
      </c>
      <c r="U17">
        <v>5</v>
      </c>
      <c r="V17">
        <v>9</v>
      </c>
      <c r="W17">
        <v>0</v>
      </c>
      <c r="X17">
        <v>0</v>
      </c>
    </row>
    <row r="18" spans="1:24" x14ac:dyDescent="0.2">
      <c r="A18">
        <v>1001400</v>
      </c>
      <c r="B18" t="s">
        <v>17</v>
      </c>
      <c r="C18">
        <v>1400</v>
      </c>
      <c r="D18">
        <v>1400</v>
      </c>
      <c r="E18">
        <v>10014</v>
      </c>
      <c r="F18">
        <v>75</v>
      </c>
      <c r="G18">
        <v>0</v>
      </c>
      <c r="H18">
        <v>0</v>
      </c>
      <c r="I18">
        <v>0</v>
      </c>
      <c r="J18">
        <v>0</v>
      </c>
      <c r="K18">
        <v>9</v>
      </c>
      <c r="L18">
        <v>0</v>
      </c>
      <c r="M18">
        <v>0</v>
      </c>
      <c r="N18">
        <v>0</v>
      </c>
      <c r="O18">
        <v>0</v>
      </c>
      <c r="P18">
        <v>10</v>
      </c>
      <c r="Q18">
        <v>70</v>
      </c>
      <c r="R18">
        <v>0</v>
      </c>
      <c r="S18">
        <v>80</v>
      </c>
      <c r="T18">
        <v>24</v>
      </c>
      <c r="U18">
        <v>5</v>
      </c>
      <c r="V18">
        <v>9</v>
      </c>
      <c r="W18">
        <v>0</v>
      </c>
      <c r="X18">
        <v>0</v>
      </c>
    </row>
    <row r="19" spans="1:24" x14ac:dyDescent="0.2">
      <c r="A19">
        <v>1001500</v>
      </c>
      <c r="B19" t="s">
        <v>18</v>
      </c>
      <c r="C19">
        <v>1500</v>
      </c>
      <c r="D19">
        <v>1500</v>
      </c>
      <c r="E19">
        <v>10015</v>
      </c>
      <c r="F19">
        <v>65</v>
      </c>
      <c r="G19">
        <v>0</v>
      </c>
      <c r="H19">
        <v>0</v>
      </c>
      <c r="I19">
        <v>0</v>
      </c>
      <c r="J19">
        <v>0</v>
      </c>
      <c r="K19">
        <v>9</v>
      </c>
      <c r="L19">
        <v>0</v>
      </c>
      <c r="M19">
        <v>0</v>
      </c>
      <c r="N19">
        <v>0</v>
      </c>
      <c r="O19">
        <v>0</v>
      </c>
      <c r="P19">
        <v>10</v>
      </c>
      <c r="Q19">
        <v>70</v>
      </c>
      <c r="R19">
        <v>0</v>
      </c>
      <c r="S19">
        <v>0</v>
      </c>
      <c r="T19">
        <v>24</v>
      </c>
      <c r="U19">
        <v>5</v>
      </c>
      <c r="V19">
        <v>9</v>
      </c>
      <c r="W19">
        <v>0</v>
      </c>
      <c r="X19">
        <v>0</v>
      </c>
    </row>
    <row r="20" spans="1:24" x14ac:dyDescent="0.2">
      <c r="A20">
        <v>1010000</v>
      </c>
      <c r="B20" t="s">
        <v>19</v>
      </c>
      <c r="C20">
        <v>0</v>
      </c>
      <c r="D20">
        <v>0</v>
      </c>
      <c r="E20">
        <v>10000</v>
      </c>
      <c r="F20">
        <v>79</v>
      </c>
      <c r="G20">
        <v>0</v>
      </c>
      <c r="H20">
        <v>0</v>
      </c>
      <c r="I20">
        <v>0</v>
      </c>
      <c r="J20">
        <v>0</v>
      </c>
      <c r="K20">
        <v>9</v>
      </c>
      <c r="L20">
        <v>0</v>
      </c>
      <c r="M20">
        <v>0</v>
      </c>
      <c r="N20">
        <v>0</v>
      </c>
      <c r="O20">
        <v>0</v>
      </c>
      <c r="P20">
        <v>25</v>
      </c>
      <c r="Q20">
        <v>30</v>
      </c>
      <c r="R20">
        <v>0</v>
      </c>
      <c r="S20">
        <v>0</v>
      </c>
      <c r="T20">
        <v>16</v>
      </c>
      <c r="U20">
        <v>6</v>
      </c>
      <c r="V20">
        <v>12</v>
      </c>
      <c r="W20">
        <v>0</v>
      </c>
      <c r="X20">
        <v>0</v>
      </c>
    </row>
    <row r="21" spans="1:24" x14ac:dyDescent="0.2">
      <c r="A21">
        <v>1010100</v>
      </c>
      <c r="B21" t="s">
        <v>20</v>
      </c>
      <c r="C21">
        <v>200</v>
      </c>
      <c r="D21">
        <v>100</v>
      </c>
      <c r="E21">
        <v>10000</v>
      </c>
      <c r="F21">
        <v>79</v>
      </c>
      <c r="G21">
        <v>0</v>
      </c>
      <c r="H21">
        <v>0</v>
      </c>
      <c r="I21">
        <v>0</v>
      </c>
      <c r="J21">
        <v>0</v>
      </c>
      <c r="K21">
        <v>9</v>
      </c>
      <c r="L21">
        <v>0</v>
      </c>
      <c r="M21">
        <v>0</v>
      </c>
      <c r="N21">
        <v>0</v>
      </c>
      <c r="O21">
        <v>0</v>
      </c>
      <c r="P21">
        <v>33</v>
      </c>
      <c r="Q21">
        <v>0</v>
      </c>
      <c r="R21">
        <v>0</v>
      </c>
      <c r="S21">
        <v>0</v>
      </c>
      <c r="T21">
        <v>16</v>
      </c>
      <c r="U21">
        <v>6</v>
      </c>
      <c r="V21">
        <v>12</v>
      </c>
      <c r="W21">
        <v>0</v>
      </c>
      <c r="X21">
        <v>0</v>
      </c>
    </row>
    <row r="22" spans="1:24" x14ac:dyDescent="0.2">
      <c r="A22">
        <v>1010200</v>
      </c>
      <c r="B22" t="s">
        <v>21</v>
      </c>
      <c r="C22">
        <v>100</v>
      </c>
      <c r="D22">
        <v>5000</v>
      </c>
      <c r="E22">
        <v>10000</v>
      </c>
      <c r="F22">
        <v>79</v>
      </c>
      <c r="G22">
        <v>0</v>
      </c>
      <c r="H22">
        <v>0</v>
      </c>
      <c r="I22">
        <v>0</v>
      </c>
      <c r="J22">
        <v>0</v>
      </c>
      <c r="K22">
        <v>9</v>
      </c>
      <c r="L22">
        <v>0</v>
      </c>
      <c r="M22">
        <v>0</v>
      </c>
      <c r="N22">
        <v>0</v>
      </c>
      <c r="O22">
        <v>0</v>
      </c>
      <c r="P22">
        <v>12</v>
      </c>
      <c r="Q22">
        <v>40</v>
      </c>
      <c r="R22">
        <v>0</v>
      </c>
      <c r="S22">
        <v>0</v>
      </c>
      <c r="T22">
        <v>16</v>
      </c>
      <c r="U22">
        <v>6</v>
      </c>
      <c r="V22">
        <v>12</v>
      </c>
      <c r="W22">
        <v>0</v>
      </c>
      <c r="X22">
        <v>0</v>
      </c>
    </row>
    <row r="23" spans="1:24" x14ac:dyDescent="0.2">
      <c r="A23">
        <v>1010300</v>
      </c>
      <c r="B23" t="s">
        <v>22</v>
      </c>
      <c r="C23">
        <v>300</v>
      </c>
      <c r="D23">
        <v>300</v>
      </c>
      <c r="E23">
        <v>10000</v>
      </c>
      <c r="F23">
        <v>79</v>
      </c>
      <c r="G23">
        <v>0</v>
      </c>
      <c r="H23">
        <v>0</v>
      </c>
      <c r="I23">
        <v>0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37</v>
      </c>
      <c r="Q23">
        <v>37</v>
      </c>
      <c r="R23">
        <v>0</v>
      </c>
      <c r="S23">
        <v>0</v>
      </c>
      <c r="T23">
        <v>16</v>
      </c>
      <c r="U23">
        <v>6</v>
      </c>
      <c r="V23">
        <v>12</v>
      </c>
      <c r="W23">
        <v>0</v>
      </c>
      <c r="X23">
        <v>0</v>
      </c>
    </row>
    <row r="24" spans="1:24" x14ac:dyDescent="0.2">
      <c r="A24">
        <v>1010400</v>
      </c>
      <c r="B24" t="s">
        <v>23</v>
      </c>
      <c r="C24">
        <v>500</v>
      </c>
      <c r="D24">
        <v>500</v>
      </c>
      <c r="E24">
        <v>10000</v>
      </c>
      <c r="F24">
        <v>79</v>
      </c>
      <c r="G24">
        <v>79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25</v>
      </c>
      <c r="Q24">
        <v>30</v>
      </c>
      <c r="R24">
        <v>55</v>
      </c>
      <c r="S24">
        <v>0</v>
      </c>
      <c r="T24">
        <v>16</v>
      </c>
      <c r="U24">
        <v>6</v>
      </c>
      <c r="V24">
        <v>12</v>
      </c>
      <c r="W24">
        <v>0</v>
      </c>
      <c r="X24">
        <v>0</v>
      </c>
    </row>
    <row r="25" spans="1:24" x14ac:dyDescent="0.2">
      <c r="A25">
        <v>1010500</v>
      </c>
      <c r="B25" t="s">
        <v>24</v>
      </c>
      <c r="C25">
        <v>400</v>
      </c>
      <c r="D25">
        <v>400</v>
      </c>
      <c r="E25">
        <v>10000</v>
      </c>
      <c r="F25">
        <v>89</v>
      </c>
      <c r="G25">
        <v>89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25</v>
      </c>
      <c r="Q25">
        <v>30</v>
      </c>
      <c r="R25">
        <v>55</v>
      </c>
      <c r="S25">
        <v>0</v>
      </c>
      <c r="T25">
        <v>16</v>
      </c>
      <c r="U25">
        <v>6</v>
      </c>
      <c r="V25">
        <v>12</v>
      </c>
      <c r="W25">
        <v>0</v>
      </c>
      <c r="X25">
        <v>0</v>
      </c>
    </row>
    <row r="26" spans="1:24" x14ac:dyDescent="0.2">
      <c r="A26">
        <v>1010600</v>
      </c>
      <c r="B26" t="s">
        <v>25</v>
      </c>
      <c r="C26">
        <v>600</v>
      </c>
      <c r="D26">
        <v>600</v>
      </c>
      <c r="E26">
        <v>10000</v>
      </c>
      <c r="F26">
        <v>79</v>
      </c>
      <c r="G26">
        <v>0</v>
      </c>
      <c r="H26">
        <v>79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25</v>
      </c>
      <c r="Q26">
        <v>30</v>
      </c>
      <c r="R26">
        <v>0</v>
      </c>
      <c r="S26">
        <v>0</v>
      </c>
      <c r="T26">
        <v>16</v>
      </c>
      <c r="U26">
        <v>6</v>
      </c>
      <c r="V26">
        <v>12</v>
      </c>
      <c r="W26">
        <v>0</v>
      </c>
      <c r="X26">
        <v>0</v>
      </c>
    </row>
    <row r="27" spans="1:24" x14ac:dyDescent="0.2">
      <c r="A27">
        <v>1010700</v>
      </c>
      <c r="B27" t="s">
        <v>26</v>
      </c>
      <c r="C27">
        <v>700</v>
      </c>
      <c r="D27">
        <v>700</v>
      </c>
      <c r="E27">
        <v>10000</v>
      </c>
      <c r="F27">
        <v>89</v>
      </c>
      <c r="G27">
        <v>0</v>
      </c>
      <c r="H27">
        <v>89</v>
      </c>
      <c r="I27">
        <v>0</v>
      </c>
      <c r="J27">
        <v>0</v>
      </c>
      <c r="K27">
        <v>0</v>
      </c>
      <c r="L27">
        <v>0</v>
      </c>
      <c r="M27">
        <v>4</v>
      </c>
      <c r="N27">
        <v>0</v>
      </c>
      <c r="O27">
        <v>0</v>
      </c>
      <c r="P27">
        <v>25</v>
      </c>
      <c r="Q27">
        <v>30</v>
      </c>
      <c r="R27">
        <v>55</v>
      </c>
      <c r="S27">
        <v>55</v>
      </c>
      <c r="T27">
        <v>16</v>
      </c>
      <c r="U27">
        <v>6</v>
      </c>
      <c r="V27">
        <v>12</v>
      </c>
      <c r="W27">
        <v>0</v>
      </c>
      <c r="X27">
        <v>0</v>
      </c>
    </row>
    <row r="28" spans="1:24" x14ac:dyDescent="0.2">
      <c r="A28">
        <v>1010800</v>
      </c>
      <c r="B28" t="s">
        <v>27</v>
      </c>
      <c r="C28">
        <v>800</v>
      </c>
      <c r="D28">
        <v>800</v>
      </c>
      <c r="E28">
        <v>10000</v>
      </c>
      <c r="F28">
        <v>89</v>
      </c>
      <c r="G28">
        <v>0</v>
      </c>
      <c r="H28">
        <v>0</v>
      </c>
      <c r="I28">
        <v>89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25</v>
      </c>
      <c r="Q28">
        <v>30</v>
      </c>
      <c r="R28">
        <v>0</v>
      </c>
      <c r="S28">
        <v>55</v>
      </c>
      <c r="T28">
        <v>16</v>
      </c>
      <c r="U28">
        <v>6</v>
      </c>
      <c r="V28">
        <v>12</v>
      </c>
      <c r="W28">
        <v>0</v>
      </c>
      <c r="X28">
        <v>0</v>
      </c>
    </row>
    <row r="29" spans="1:24" x14ac:dyDescent="0.2">
      <c r="A29">
        <v>1010900</v>
      </c>
      <c r="B29" t="s">
        <v>28</v>
      </c>
      <c r="C29">
        <v>900</v>
      </c>
      <c r="D29">
        <v>900</v>
      </c>
      <c r="E29">
        <v>10000</v>
      </c>
      <c r="F29">
        <v>79</v>
      </c>
      <c r="G29">
        <v>0</v>
      </c>
      <c r="H29">
        <v>0</v>
      </c>
      <c r="I29">
        <v>0</v>
      </c>
      <c r="J29">
        <v>79</v>
      </c>
      <c r="K29">
        <v>0</v>
      </c>
      <c r="L29">
        <v>0</v>
      </c>
      <c r="M29">
        <v>0</v>
      </c>
      <c r="N29">
        <v>0</v>
      </c>
      <c r="O29">
        <v>0</v>
      </c>
      <c r="P29">
        <v>25</v>
      </c>
      <c r="Q29">
        <v>30</v>
      </c>
      <c r="R29">
        <v>0</v>
      </c>
      <c r="S29">
        <v>0</v>
      </c>
      <c r="T29">
        <v>16</v>
      </c>
      <c r="U29">
        <v>6</v>
      </c>
      <c r="V29">
        <v>12</v>
      </c>
      <c r="W29">
        <v>0</v>
      </c>
      <c r="X29">
        <v>0</v>
      </c>
    </row>
    <row r="30" spans="1:24" x14ac:dyDescent="0.2">
      <c r="A30">
        <v>1011000</v>
      </c>
      <c r="B30" t="s">
        <v>29</v>
      </c>
      <c r="C30">
        <v>1000</v>
      </c>
      <c r="D30">
        <v>1000</v>
      </c>
      <c r="E30">
        <v>10000</v>
      </c>
      <c r="F30">
        <v>89</v>
      </c>
      <c r="G30">
        <v>0</v>
      </c>
      <c r="H30">
        <v>0</v>
      </c>
      <c r="I30">
        <v>0</v>
      </c>
      <c r="J30">
        <v>89</v>
      </c>
      <c r="K30">
        <v>0</v>
      </c>
      <c r="L30">
        <v>0</v>
      </c>
      <c r="M30">
        <v>0</v>
      </c>
      <c r="N30">
        <v>0</v>
      </c>
      <c r="O30">
        <v>4</v>
      </c>
      <c r="P30">
        <v>25</v>
      </c>
      <c r="Q30">
        <v>30</v>
      </c>
      <c r="R30">
        <v>55</v>
      </c>
      <c r="S30">
        <v>55</v>
      </c>
      <c r="T30">
        <v>16</v>
      </c>
      <c r="U30">
        <v>6</v>
      </c>
      <c r="V30">
        <v>12</v>
      </c>
      <c r="W30">
        <v>0</v>
      </c>
      <c r="X30">
        <v>0</v>
      </c>
    </row>
    <row r="31" spans="1:24" x14ac:dyDescent="0.2">
      <c r="A31">
        <v>1011100</v>
      </c>
      <c r="B31" t="s">
        <v>30</v>
      </c>
      <c r="C31">
        <v>1100</v>
      </c>
      <c r="D31">
        <v>1100</v>
      </c>
      <c r="E31">
        <v>10000</v>
      </c>
      <c r="F31">
        <v>79</v>
      </c>
      <c r="G31">
        <v>0</v>
      </c>
      <c r="H31">
        <v>0</v>
      </c>
      <c r="I31">
        <v>0</v>
      </c>
      <c r="J31">
        <v>0</v>
      </c>
      <c r="K31">
        <v>9</v>
      </c>
      <c r="L31">
        <v>0</v>
      </c>
      <c r="M31">
        <v>0</v>
      </c>
      <c r="N31">
        <v>0</v>
      </c>
      <c r="O31">
        <v>0</v>
      </c>
      <c r="P31">
        <v>25</v>
      </c>
      <c r="Q31">
        <v>30</v>
      </c>
      <c r="R31">
        <v>0</v>
      </c>
      <c r="S31">
        <v>0</v>
      </c>
      <c r="T31">
        <v>16</v>
      </c>
      <c r="U31">
        <v>6</v>
      </c>
      <c r="V31">
        <v>12</v>
      </c>
      <c r="W31">
        <v>0</v>
      </c>
      <c r="X31">
        <v>0</v>
      </c>
    </row>
    <row r="32" spans="1:24" x14ac:dyDescent="0.2">
      <c r="A32">
        <v>1011200</v>
      </c>
      <c r="B32" t="s">
        <v>31</v>
      </c>
      <c r="C32">
        <v>1200</v>
      </c>
      <c r="D32">
        <v>1200</v>
      </c>
      <c r="E32">
        <v>10000</v>
      </c>
      <c r="F32">
        <v>79</v>
      </c>
      <c r="G32">
        <v>0</v>
      </c>
      <c r="H32">
        <v>0</v>
      </c>
      <c r="I32">
        <v>0</v>
      </c>
      <c r="J32">
        <v>0</v>
      </c>
      <c r="K32">
        <v>9</v>
      </c>
      <c r="L32">
        <v>0</v>
      </c>
      <c r="M32">
        <v>0</v>
      </c>
      <c r="N32">
        <v>0</v>
      </c>
      <c r="O32">
        <v>0</v>
      </c>
      <c r="P32">
        <v>25</v>
      </c>
      <c r="Q32">
        <v>30</v>
      </c>
      <c r="R32">
        <v>0</v>
      </c>
      <c r="S32">
        <v>0</v>
      </c>
      <c r="T32">
        <v>16</v>
      </c>
      <c r="U32">
        <v>6</v>
      </c>
      <c r="V32">
        <v>12</v>
      </c>
      <c r="W32">
        <v>0</v>
      </c>
      <c r="X32">
        <v>0</v>
      </c>
    </row>
    <row r="33" spans="1:24" x14ac:dyDescent="0.2">
      <c r="A33">
        <v>1011300</v>
      </c>
      <c r="B33" t="s">
        <v>32</v>
      </c>
      <c r="C33">
        <v>1300</v>
      </c>
      <c r="D33">
        <v>1300</v>
      </c>
      <c r="E33">
        <v>10000</v>
      </c>
      <c r="F33">
        <v>79</v>
      </c>
      <c r="G33">
        <v>0</v>
      </c>
      <c r="H33">
        <v>0</v>
      </c>
      <c r="I33">
        <v>0</v>
      </c>
      <c r="J33">
        <v>0</v>
      </c>
      <c r="K33">
        <v>9</v>
      </c>
      <c r="L33">
        <v>0</v>
      </c>
      <c r="M33">
        <v>0</v>
      </c>
      <c r="N33">
        <v>0</v>
      </c>
      <c r="O33">
        <v>0</v>
      </c>
      <c r="P33">
        <v>25</v>
      </c>
      <c r="Q33">
        <v>30</v>
      </c>
      <c r="R33">
        <v>0</v>
      </c>
      <c r="S33">
        <v>0</v>
      </c>
      <c r="T33">
        <v>16</v>
      </c>
      <c r="U33">
        <v>6</v>
      </c>
      <c r="V33">
        <v>12</v>
      </c>
      <c r="W33">
        <v>0</v>
      </c>
      <c r="X33">
        <v>0</v>
      </c>
    </row>
    <row r="34" spans="1:24" x14ac:dyDescent="0.2">
      <c r="A34">
        <v>1011400</v>
      </c>
      <c r="B34" t="s">
        <v>33</v>
      </c>
      <c r="C34">
        <v>1400</v>
      </c>
      <c r="D34">
        <v>1400</v>
      </c>
      <c r="E34">
        <v>10014</v>
      </c>
      <c r="F34">
        <v>79</v>
      </c>
      <c r="G34">
        <v>0</v>
      </c>
      <c r="H34">
        <v>0</v>
      </c>
      <c r="I34">
        <v>0</v>
      </c>
      <c r="J34">
        <v>0</v>
      </c>
      <c r="K34">
        <v>9</v>
      </c>
      <c r="L34">
        <v>0</v>
      </c>
      <c r="M34">
        <v>0</v>
      </c>
      <c r="N34">
        <v>0</v>
      </c>
      <c r="O34">
        <v>0</v>
      </c>
      <c r="P34">
        <v>25</v>
      </c>
      <c r="Q34">
        <v>30</v>
      </c>
      <c r="R34">
        <v>0</v>
      </c>
      <c r="S34">
        <v>55</v>
      </c>
      <c r="T34">
        <v>16</v>
      </c>
      <c r="U34">
        <v>6</v>
      </c>
      <c r="V34">
        <v>12</v>
      </c>
      <c r="W34">
        <v>0</v>
      </c>
      <c r="X34">
        <v>0</v>
      </c>
    </row>
    <row r="35" spans="1:24" x14ac:dyDescent="0.2">
      <c r="A35">
        <v>1011500</v>
      </c>
      <c r="B35" t="s">
        <v>34</v>
      </c>
      <c r="C35">
        <v>1500</v>
      </c>
      <c r="D35">
        <v>1500</v>
      </c>
      <c r="E35">
        <v>10015</v>
      </c>
      <c r="F35">
        <v>79</v>
      </c>
      <c r="G35">
        <v>0</v>
      </c>
      <c r="H35">
        <v>0</v>
      </c>
      <c r="I35">
        <v>0</v>
      </c>
      <c r="J35">
        <v>0</v>
      </c>
      <c r="K35">
        <v>9</v>
      </c>
      <c r="L35">
        <v>0</v>
      </c>
      <c r="M35">
        <v>0</v>
      </c>
      <c r="N35">
        <v>0</v>
      </c>
      <c r="O35">
        <v>0</v>
      </c>
      <c r="P35">
        <v>25</v>
      </c>
      <c r="Q35">
        <v>30</v>
      </c>
      <c r="R35">
        <v>0</v>
      </c>
      <c r="S35">
        <v>0</v>
      </c>
      <c r="T35">
        <v>16</v>
      </c>
      <c r="U35">
        <v>6</v>
      </c>
      <c r="V35">
        <v>12</v>
      </c>
      <c r="W35">
        <v>0</v>
      </c>
      <c r="X35">
        <v>0</v>
      </c>
    </row>
    <row r="36" spans="1:24" x14ac:dyDescent="0.2">
      <c r="A36">
        <v>1020000</v>
      </c>
      <c r="B36" t="s">
        <v>35</v>
      </c>
      <c r="C36">
        <v>0</v>
      </c>
      <c r="D36">
        <v>0</v>
      </c>
      <c r="E36">
        <v>10000</v>
      </c>
      <c r="F36">
        <v>60</v>
      </c>
      <c r="G36">
        <v>0</v>
      </c>
      <c r="H36">
        <v>0</v>
      </c>
      <c r="I36">
        <v>0</v>
      </c>
      <c r="J36">
        <v>0</v>
      </c>
      <c r="K36">
        <v>9</v>
      </c>
      <c r="L36">
        <v>0</v>
      </c>
      <c r="M36">
        <v>0</v>
      </c>
      <c r="N36">
        <v>0</v>
      </c>
      <c r="O36">
        <v>0</v>
      </c>
      <c r="P36">
        <v>9</v>
      </c>
      <c r="Q36">
        <v>68</v>
      </c>
      <c r="R36">
        <v>0</v>
      </c>
      <c r="S36">
        <v>0</v>
      </c>
      <c r="T36">
        <v>22</v>
      </c>
      <c r="U36">
        <v>5</v>
      </c>
      <c r="V36">
        <v>14</v>
      </c>
      <c r="W36">
        <v>0</v>
      </c>
      <c r="X36">
        <v>0</v>
      </c>
    </row>
    <row r="37" spans="1:24" x14ac:dyDescent="0.2">
      <c r="A37">
        <v>1020100</v>
      </c>
      <c r="B37" t="s">
        <v>36</v>
      </c>
      <c r="C37">
        <v>200</v>
      </c>
      <c r="D37">
        <v>100</v>
      </c>
      <c r="E37">
        <v>10000</v>
      </c>
      <c r="F37">
        <v>60</v>
      </c>
      <c r="G37">
        <v>0</v>
      </c>
      <c r="H37">
        <v>0</v>
      </c>
      <c r="I37">
        <v>0</v>
      </c>
      <c r="J37">
        <v>0</v>
      </c>
      <c r="K37">
        <v>9</v>
      </c>
      <c r="L37">
        <v>0</v>
      </c>
      <c r="M37">
        <v>0</v>
      </c>
      <c r="N37">
        <v>0</v>
      </c>
      <c r="O37">
        <v>0</v>
      </c>
      <c r="P37">
        <v>46</v>
      </c>
      <c r="Q37">
        <v>0</v>
      </c>
      <c r="R37">
        <v>0</v>
      </c>
      <c r="S37">
        <v>0</v>
      </c>
      <c r="T37">
        <v>22</v>
      </c>
      <c r="U37">
        <v>5</v>
      </c>
      <c r="V37">
        <v>14</v>
      </c>
      <c r="W37">
        <v>0</v>
      </c>
      <c r="X37">
        <v>0</v>
      </c>
    </row>
    <row r="38" spans="1:24" x14ac:dyDescent="0.2">
      <c r="A38">
        <v>1020200</v>
      </c>
      <c r="B38" t="s">
        <v>37</v>
      </c>
      <c r="C38">
        <v>100</v>
      </c>
      <c r="D38">
        <v>5000</v>
      </c>
      <c r="E38">
        <v>10000</v>
      </c>
      <c r="F38">
        <v>60</v>
      </c>
      <c r="G38">
        <v>0</v>
      </c>
      <c r="H38">
        <v>0</v>
      </c>
      <c r="I38">
        <v>0</v>
      </c>
      <c r="J38">
        <v>0</v>
      </c>
      <c r="K38">
        <v>9</v>
      </c>
      <c r="L38">
        <v>0</v>
      </c>
      <c r="M38">
        <v>0</v>
      </c>
      <c r="N38">
        <v>0</v>
      </c>
      <c r="O38">
        <v>0</v>
      </c>
      <c r="P38">
        <v>4</v>
      </c>
      <c r="Q38">
        <v>68</v>
      </c>
      <c r="R38">
        <v>0</v>
      </c>
      <c r="S38">
        <v>0</v>
      </c>
      <c r="T38">
        <v>22</v>
      </c>
      <c r="U38">
        <v>5</v>
      </c>
      <c r="V38">
        <v>14</v>
      </c>
      <c r="W38">
        <v>0</v>
      </c>
      <c r="X38">
        <v>0</v>
      </c>
    </row>
    <row r="39" spans="1:24" x14ac:dyDescent="0.2">
      <c r="A39">
        <v>1020300</v>
      </c>
      <c r="B39" t="s">
        <v>38</v>
      </c>
      <c r="C39">
        <v>300</v>
      </c>
      <c r="D39">
        <v>300</v>
      </c>
      <c r="E39">
        <v>10000</v>
      </c>
      <c r="F39">
        <v>60</v>
      </c>
      <c r="G39">
        <v>0</v>
      </c>
      <c r="H39">
        <v>0</v>
      </c>
      <c r="I39">
        <v>0</v>
      </c>
      <c r="J39">
        <v>0</v>
      </c>
      <c r="K39">
        <v>8</v>
      </c>
      <c r="L39">
        <v>0</v>
      </c>
      <c r="M39">
        <v>0</v>
      </c>
      <c r="N39">
        <v>0</v>
      </c>
      <c r="O39">
        <v>0</v>
      </c>
      <c r="P39">
        <v>48</v>
      </c>
      <c r="Q39">
        <v>48</v>
      </c>
      <c r="R39">
        <v>0</v>
      </c>
      <c r="S39">
        <v>0</v>
      </c>
      <c r="T39">
        <v>22</v>
      </c>
      <c r="U39">
        <v>5</v>
      </c>
      <c r="V39">
        <v>14</v>
      </c>
      <c r="W39">
        <v>0</v>
      </c>
      <c r="X39">
        <v>0</v>
      </c>
    </row>
    <row r="40" spans="1:24" x14ac:dyDescent="0.2">
      <c r="A40">
        <v>1020400</v>
      </c>
      <c r="B40" t="s">
        <v>39</v>
      </c>
      <c r="C40">
        <v>500</v>
      </c>
      <c r="D40">
        <v>500</v>
      </c>
      <c r="E40">
        <v>10000</v>
      </c>
      <c r="F40">
        <v>73</v>
      </c>
      <c r="G40">
        <v>73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</v>
      </c>
      <c r="Q40">
        <v>68</v>
      </c>
      <c r="R40">
        <v>77</v>
      </c>
      <c r="S40">
        <v>0</v>
      </c>
      <c r="T40">
        <v>22</v>
      </c>
      <c r="U40">
        <v>5</v>
      </c>
      <c r="V40">
        <v>14</v>
      </c>
      <c r="W40">
        <v>0</v>
      </c>
      <c r="X40">
        <v>0</v>
      </c>
    </row>
    <row r="41" spans="1:24" x14ac:dyDescent="0.2">
      <c r="A41">
        <v>1020500</v>
      </c>
      <c r="B41" t="s">
        <v>40</v>
      </c>
      <c r="C41">
        <v>400</v>
      </c>
      <c r="D41">
        <v>400</v>
      </c>
      <c r="E41">
        <v>10000</v>
      </c>
      <c r="F41">
        <v>73</v>
      </c>
      <c r="G41">
        <v>73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</v>
      </c>
      <c r="Q41">
        <v>68</v>
      </c>
      <c r="R41">
        <v>77</v>
      </c>
      <c r="S41">
        <v>0</v>
      </c>
      <c r="T41">
        <v>22</v>
      </c>
      <c r="U41">
        <v>5</v>
      </c>
      <c r="V41">
        <v>14</v>
      </c>
      <c r="W41">
        <v>0</v>
      </c>
      <c r="X41">
        <v>0</v>
      </c>
    </row>
    <row r="42" spans="1:24" x14ac:dyDescent="0.2">
      <c r="A42">
        <v>1020600</v>
      </c>
      <c r="B42" t="s">
        <v>41</v>
      </c>
      <c r="C42">
        <v>600</v>
      </c>
      <c r="D42">
        <v>600</v>
      </c>
      <c r="E42">
        <v>10000</v>
      </c>
      <c r="F42">
        <v>75</v>
      </c>
      <c r="G42">
        <v>0</v>
      </c>
      <c r="H42">
        <v>75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</v>
      </c>
      <c r="Q42">
        <v>68</v>
      </c>
      <c r="R42">
        <v>0</v>
      </c>
      <c r="S42">
        <v>0</v>
      </c>
      <c r="T42">
        <v>22</v>
      </c>
      <c r="U42">
        <v>5</v>
      </c>
      <c r="V42">
        <v>14</v>
      </c>
      <c r="W42">
        <v>0</v>
      </c>
      <c r="X42">
        <v>0</v>
      </c>
    </row>
    <row r="43" spans="1:24" x14ac:dyDescent="0.2">
      <c r="A43">
        <v>1020700</v>
      </c>
      <c r="B43" t="s">
        <v>42</v>
      </c>
      <c r="C43">
        <v>700</v>
      </c>
      <c r="D43">
        <v>700</v>
      </c>
      <c r="E43">
        <v>10000</v>
      </c>
      <c r="F43">
        <v>73</v>
      </c>
      <c r="G43">
        <v>0</v>
      </c>
      <c r="H43">
        <v>73</v>
      </c>
      <c r="I43">
        <v>0</v>
      </c>
      <c r="J43">
        <v>0</v>
      </c>
      <c r="K43">
        <v>0</v>
      </c>
      <c r="L43">
        <v>0</v>
      </c>
      <c r="M43">
        <v>4</v>
      </c>
      <c r="N43">
        <v>0</v>
      </c>
      <c r="O43">
        <v>0</v>
      </c>
      <c r="P43">
        <v>9</v>
      </c>
      <c r="Q43">
        <v>68</v>
      </c>
      <c r="R43">
        <v>77</v>
      </c>
      <c r="S43">
        <v>77</v>
      </c>
      <c r="T43">
        <v>22</v>
      </c>
      <c r="U43">
        <v>5</v>
      </c>
      <c r="V43">
        <v>14</v>
      </c>
      <c r="W43">
        <v>0</v>
      </c>
      <c r="X43">
        <v>0</v>
      </c>
    </row>
    <row r="44" spans="1:24" x14ac:dyDescent="0.2">
      <c r="A44">
        <v>1020800</v>
      </c>
      <c r="B44" t="s">
        <v>43</v>
      </c>
      <c r="C44">
        <v>800</v>
      </c>
      <c r="D44">
        <v>800</v>
      </c>
      <c r="E44">
        <v>10000</v>
      </c>
      <c r="F44">
        <v>73</v>
      </c>
      <c r="G44">
        <v>0</v>
      </c>
      <c r="H44">
        <v>0</v>
      </c>
      <c r="I44">
        <v>73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</v>
      </c>
      <c r="Q44">
        <v>68</v>
      </c>
      <c r="R44">
        <v>0</v>
      </c>
      <c r="S44">
        <v>77</v>
      </c>
      <c r="T44">
        <v>22</v>
      </c>
      <c r="U44">
        <v>5</v>
      </c>
      <c r="V44">
        <v>14</v>
      </c>
      <c r="W44">
        <v>0</v>
      </c>
      <c r="X44">
        <v>0</v>
      </c>
    </row>
    <row r="45" spans="1:24" x14ac:dyDescent="0.2">
      <c r="A45">
        <v>1020900</v>
      </c>
      <c r="B45" t="s">
        <v>44</v>
      </c>
      <c r="C45">
        <v>900</v>
      </c>
      <c r="D45">
        <v>900</v>
      </c>
      <c r="E45">
        <v>10000</v>
      </c>
      <c r="F45">
        <v>75</v>
      </c>
      <c r="G45">
        <v>0</v>
      </c>
      <c r="H45">
        <v>0</v>
      </c>
      <c r="I45">
        <v>0</v>
      </c>
      <c r="J45">
        <v>75</v>
      </c>
      <c r="K45">
        <v>0</v>
      </c>
      <c r="L45">
        <v>0</v>
      </c>
      <c r="M45">
        <v>0</v>
      </c>
      <c r="N45">
        <v>0</v>
      </c>
      <c r="O45">
        <v>0</v>
      </c>
      <c r="P45">
        <v>9</v>
      </c>
      <c r="Q45">
        <v>68</v>
      </c>
      <c r="R45">
        <v>0</v>
      </c>
      <c r="S45">
        <v>0</v>
      </c>
      <c r="T45">
        <v>22</v>
      </c>
      <c r="U45">
        <v>5</v>
      </c>
      <c r="V45">
        <v>14</v>
      </c>
      <c r="W45">
        <v>0</v>
      </c>
      <c r="X45">
        <v>0</v>
      </c>
    </row>
    <row r="46" spans="1:24" x14ac:dyDescent="0.2">
      <c r="A46">
        <v>1021000</v>
      </c>
      <c r="B46" t="s">
        <v>45</v>
      </c>
      <c r="C46">
        <v>1000</v>
      </c>
      <c r="D46">
        <v>1000</v>
      </c>
      <c r="E46">
        <v>10000</v>
      </c>
      <c r="F46">
        <v>73</v>
      </c>
      <c r="G46">
        <v>0</v>
      </c>
      <c r="H46">
        <v>0</v>
      </c>
      <c r="I46">
        <v>0</v>
      </c>
      <c r="J46">
        <v>73</v>
      </c>
      <c r="K46">
        <v>0</v>
      </c>
      <c r="L46">
        <v>0</v>
      </c>
      <c r="M46">
        <v>0</v>
      </c>
      <c r="N46">
        <v>0</v>
      </c>
      <c r="O46">
        <v>4</v>
      </c>
      <c r="P46">
        <v>9</v>
      </c>
      <c r="Q46">
        <v>68</v>
      </c>
      <c r="R46">
        <v>77</v>
      </c>
      <c r="S46">
        <v>77</v>
      </c>
      <c r="T46">
        <v>22</v>
      </c>
      <c r="U46">
        <v>5</v>
      </c>
      <c r="V46">
        <v>14</v>
      </c>
      <c r="W46">
        <v>0</v>
      </c>
      <c r="X46">
        <v>0</v>
      </c>
    </row>
    <row r="47" spans="1:24" x14ac:dyDescent="0.2">
      <c r="A47">
        <v>1021100</v>
      </c>
      <c r="B47" t="s">
        <v>46</v>
      </c>
      <c r="C47">
        <v>1100</v>
      </c>
      <c r="D47">
        <v>1100</v>
      </c>
      <c r="E47">
        <v>10000</v>
      </c>
      <c r="F47">
        <v>60</v>
      </c>
      <c r="G47">
        <v>0</v>
      </c>
      <c r="H47">
        <v>0</v>
      </c>
      <c r="I47">
        <v>0</v>
      </c>
      <c r="J47">
        <v>0</v>
      </c>
      <c r="K47">
        <v>9</v>
      </c>
      <c r="L47">
        <v>0</v>
      </c>
      <c r="M47">
        <v>0</v>
      </c>
      <c r="N47">
        <v>0</v>
      </c>
      <c r="O47">
        <v>0</v>
      </c>
      <c r="P47">
        <v>9</v>
      </c>
      <c r="Q47">
        <v>68</v>
      </c>
      <c r="R47">
        <v>0</v>
      </c>
      <c r="S47">
        <v>0</v>
      </c>
      <c r="T47">
        <v>22</v>
      </c>
      <c r="U47">
        <v>5</v>
      </c>
      <c r="V47">
        <v>14</v>
      </c>
      <c r="W47">
        <v>0</v>
      </c>
      <c r="X47">
        <v>0</v>
      </c>
    </row>
    <row r="48" spans="1:24" x14ac:dyDescent="0.2">
      <c r="A48">
        <v>1021200</v>
      </c>
      <c r="B48" t="s">
        <v>47</v>
      </c>
      <c r="C48">
        <v>1200</v>
      </c>
      <c r="D48">
        <v>1200</v>
      </c>
      <c r="E48">
        <v>10000</v>
      </c>
      <c r="F48">
        <v>60</v>
      </c>
      <c r="G48">
        <v>0</v>
      </c>
      <c r="H48">
        <v>0</v>
      </c>
      <c r="I48">
        <v>0</v>
      </c>
      <c r="J48">
        <v>0</v>
      </c>
      <c r="K48">
        <v>9</v>
      </c>
      <c r="L48">
        <v>0</v>
      </c>
      <c r="M48">
        <v>0</v>
      </c>
      <c r="N48">
        <v>0</v>
      </c>
      <c r="O48">
        <v>0</v>
      </c>
      <c r="P48">
        <v>9</v>
      </c>
      <c r="Q48">
        <v>68</v>
      </c>
      <c r="R48">
        <v>0</v>
      </c>
      <c r="S48">
        <v>0</v>
      </c>
      <c r="T48">
        <v>22</v>
      </c>
      <c r="U48">
        <v>5</v>
      </c>
      <c r="V48">
        <v>14</v>
      </c>
      <c r="W48">
        <v>0</v>
      </c>
      <c r="X48">
        <v>0</v>
      </c>
    </row>
    <row r="49" spans="1:24" x14ac:dyDescent="0.2">
      <c r="A49">
        <v>1021300</v>
      </c>
      <c r="B49" t="s">
        <v>48</v>
      </c>
      <c r="C49">
        <v>1300</v>
      </c>
      <c r="D49">
        <v>1300</v>
      </c>
      <c r="E49">
        <v>10000</v>
      </c>
      <c r="F49">
        <v>70</v>
      </c>
      <c r="G49">
        <v>0</v>
      </c>
      <c r="H49">
        <v>0</v>
      </c>
      <c r="I49">
        <v>0</v>
      </c>
      <c r="J49">
        <v>0</v>
      </c>
      <c r="K49">
        <v>9</v>
      </c>
      <c r="L49">
        <v>0</v>
      </c>
      <c r="M49">
        <v>0</v>
      </c>
      <c r="N49">
        <v>0</v>
      </c>
      <c r="O49">
        <v>0</v>
      </c>
      <c r="P49">
        <v>9</v>
      </c>
      <c r="Q49">
        <v>68</v>
      </c>
      <c r="R49">
        <v>0</v>
      </c>
      <c r="S49">
        <v>0</v>
      </c>
      <c r="T49">
        <v>22</v>
      </c>
      <c r="U49">
        <v>5</v>
      </c>
      <c r="V49">
        <v>14</v>
      </c>
      <c r="W49">
        <v>0</v>
      </c>
      <c r="X49">
        <v>0</v>
      </c>
    </row>
    <row r="50" spans="1:24" x14ac:dyDescent="0.2">
      <c r="A50">
        <v>1021400</v>
      </c>
      <c r="B50" t="s">
        <v>49</v>
      </c>
      <c r="C50">
        <v>1400</v>
      </c>
      <c r="D50">
        <v>1400</v>
      </c>
      <c r="E50">
        <v>10014</v>
      </c>
      <c r="F50">
        <v>73</v>
      </c>
      <c r="G50">
        <v>0</v>
      </c>
      <c r="H50">
        <v>0</v>
      </c>
      <c r="I50">
        <v>0</v>
      </c>
      <c r="J50">
        <v>0</v>
      </c>
      <c r="K50">
        <v>9</v>
      </c>
      <c r="L50">
        <v>0</v>
      </c>
      <c r="M50">
        <v>0</v>
      </c>
      <c r="N50">
        <v>0</v>
      </c>
      <c r="O50">
        <v>0</v>
      </c>
      <c r="P50">
        <v>9</v>
      </c>
      <c r="Q50">
        <v>68</v>
      </c>
      <c r="R50">
        <v>0</v>
      </c>
      <c r="S50">
        <v>77</v>
      </c>
      <c r="T50">
        <v>22</v>
      </c>
      <c r="U50">
        <v>5</v>
      </c>
      <c r="V50">
        <v>14</v>
      </c>
      <c r="W50">
        <v>0</v>
      </c>
      <c r="X50">
        <v>0</v>
      </c>
    </row>
    <row r="51" spans="1:24" x14ac:dyDescent="0.2">
      <c r="A51">
        <v>1021500</v>
      </c>
      <c r="B51" t="s">
        <v>50</v>
      </c>
      <c r="C51">
        <v>1500</v>
      </c>
      <c r="D51">
        <v>1500</v>
      </c>
      <c r="E51">
        <v>10015</v>
      </c>
      <c r="F51">
        <v>60</v>
      </c>
      <c r="G51">
        <v>0</v>
      </c>
      <c r="H51">
        <v>0</v>
      </c>
      <c r="I51">
        <v>0</v>
      </c>
      <c r="J51">
        <v>0</v>
      </c>
      <c r="K51">
        <v>9</v>
      </c>
      <c r="L51">
        <v>0</v>
      </c>
      <c r="M51">
        <v>0</v>
      </c>
      <c r="N51">
        <v>0</v>
      </c>
      <c r="O51">
        <v>0</v>
      </c>
      <c r="P51">
        <v>9</v>
      </c>
      <c r="Q51">
        <v>68</v>
      </c>
      <c r="R51">
        <v>0</v>
      </c>
      <c r="S51">
        <v>0</v>
      </c>
      <c r="T51">
        <v>22</v>
      </c>
      <c r="U51">
        <v>5</v>
      </c>
      <c r="V51">
        <v>14</v>
      </c>
      <c r="W51">
        <v>0</v>
      </c>
      <c r="X51">
        <v>0</v>
      </c>
    </row>
    <row r="52" spans="1:24" x14ac:dyDescent="0.2">
      <c r="A52">
        <v>1040000</v>
      </c>
      <c r="B52" t="s">
        <v>51</v>
      </c>
      <c r="C52">
        <v>0</v>
      </c>
      <c r="D52">
        <v>0</v>
      </c>
      <c r="E52">
        <v>10000</v>
      </c>
      <c r="F52">
        <v>64</v>
      </c>
      <c r="G52">
        <v>0</v>
      </c>
      <c r="H52">
        <v>0</v>
      </c>
      <c r="I52">
        <v>0</v>
      </c>
      <c r="J52">
        <v>0</v>
      </c>
      <c r="K52">
        <v>9</v>
      </c>
      <c r="L52">
        <v>0</v>
      </c>
      <c r="M52">
        <v>0</v>
      </c>
      <c r="N52">
        <v>0</v>
      </c>
      <c r="O52">
        <v>0</v>
      </c>
      <c r="P52">
        <v>9</v>
      </c>
      <c r="Q52">
        <v>66</v>
      </c>
      <c r="R52">
        <v>0</v>
      </c>
      <c r="S52">
        <v>0</v>
      </c>
      <c r="T52">
        <v>22</v>
      </c>
      <c r="U52">
        <v>10</v>
      </c>
      <c r="V52">
        <v>8</v>
      </c>
      <c r="W52">
        <v>0</v>
      </c>
      <c r="X52">
        <v>0</v>
      </c>
    </row>
    <row r="53" spans="1:24" x14ac:dyDescent="0.2">
      <c r="A53">
        <v>1040100</v>
      </c>
      <c r="B53" t="s">
        <v>52</v>
      </c>
      <c r="C53">
        <v>200</v>
      </c>
      <c r="D53">
        <v>100</v>
      </c>
      <c r="E53">
        <v>10000</v>
      </c>
      <c r="F53">
        <v>64</v>
      </c>
      <c r="G53">
        <v>0</v>
      </c>
      <c r="H53">
        <v>0</v>
      </c>
      <c r="I53">
        <v>0</v>
      </c>
      <c r="J53">
        <v>0</v>
      </c>
      <c r="K53">
        <v>9</v>
      </c>
      <c r="L53">
        <v>0</v>
      </c>
      <c r="M53">
        <v>0</v>
      </c>
      <c r="N53">
        <v>0</v>
      </c>
      <c r="O53">
        <v>0</v>
      </c>
      <c r="P53">
        <v>45</v>
      </c>
      <c r="Q53">
        <v>0</v>
      </c>
      <c r="R53">
        <v>0</v>
      </c>
      <c r="S53">
        <v>0</v>
      </c>
      <c r="T53">
        <v>22</v>
      </c>
      <c r="U53">
        <v>10</v>
      </c>
      <c r="V53">
        <v>8</v>
      </c>
      <c r="W53">
        <v>0</v>
      </c>
      <c r="X53">
        <v>0</v>
      </c>
    </row>
    <row r="54" spans="1:24" x14ac:dyDescent="0.2">
      <c r="A54">
        <v>1040200</v>
      </c>
      <c r="B54" t="s">
        <v>53</v>
      </c>
      <c r="C54">
        <v>100</v>
      </c>
      <c r="D54">
        <v>5000</v>
      </c>
      <c r="E54">
        <v>10000</v>
      </c>
      <c r="F54">
        <v>64</v>
      </c>
      <c r="G54">
        <v>0</v>
      </c>
      <c r="H54">
        <v>0</v>
      </c>
      <c r="I54">
        <v>0</v>
      </c>
      <c r="J54">
        <v>0</v>
      </c>
      <c r="K54">
        <v>9</v>
      </c>
      <c r="L54">
        <v>0</v>
      </c>
      <c r="M54">
        <v>0</v>
      </c>
      <c r="N54">
        <v>0</v>
      </c>
      <c r="O54">
        <v>0</v>
      </c>
      <c r="P54">
        <v>4</v>
      </c>
      <c r="Q54">
        <v>66</v>
      </c>
      <c r="R54">
        <v>0</v>
      </c>
      <c r="S54">
        <v>0</v>
      </c>
      <c r="T54">
        <v>22</v>
      </c>
      <c r="U54">
        <v>10</v>
      </c>
      <c r="V54">
        <v>8</v>
      </c>
      <c r="W54">
        <v>0</v>
      </c>
      <c r="X54">
        <v>0</v>
      </c>
    </row>
    <row r="55" spans="1:24" x14ac:dyDescent="0.2">
      <c r="A55">
        <v>1040300</v>
      </c>
      <c r="B55" t="s">
        <v>54</v>
      </c>
      <c r="C55">
        <v>300</v>
      </c>
      <c r="D55">
        <v>300</v>
      </c>
      <c r="E55">
        <v>10000</v>
      </c>
      <c r="F55">
        <v>64</v>
      </c>
      <c r="G55">
        <v>0</v>
      </c>
      <c r="H55">
        <v>0</v>
      </c>
      <c r="I55">
        <v>0</v>
      </c>
      <c r="J55">
        <v>0</v>
      </c>
      <c r="K55">
        <v>8</v>
      </c>
      <c r="L55">
        <v>0</v>
      </c>
      <c r="M55">
        <v>0</v>
      </c>
      <c r="N55">
        <v>0</v>
      </c>
      <c r="O55">
        <v>0</v>
      </c>
      <c r="P55">
        <v>52</v>
      </c>
      <c r="Q55">
        <v>52</v>
      </c>
      <c r="R55">
        <v>0</v>
      </c>
      <c r="S55">
        <v>0</v>
      </c>
      <c r="T55">
        <v>22</v>
      </c>
      <c r="U55">
        <v>10</v>
      </c>
      <c r="V55">
        <v>8</v>
      </c>
      <c r="W55">
        <v>0</v>
      </c>
      <c r="X55">
        <v>0</v>
      </c>
    </row>
    <row r="56" spans="1:24" x14ac:dyDescent="0.2">
      <c r="A56">
        <v>1040400</v>
      </c>
      <c r="B56" t="s">
        <v>55</v>
      </c>
      <c r="C56">
        <v>500</v>
      </c>
      <c r="D56">
        <v>500</v>
      </c>
      <c r="E56">
        <v>10000</v>
      </c>
      <c r="F56">
        <v>77</v>
      </c>
      <c r="G56">
        <v>77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</v>
      </c>
      <c r="Q56">
        <v>66</v>
      </c>
      <c r="R56">
        <v>75</v>
      </c>
      <c r="S56">
        <v>0</v>
      </c>
      <c r="T56">
        <v>22</v>
      </c>
      <c r="U56">
        <v>10</v>
      </c>
      <c r="V56">
        <v>8</v>
      </c>
      <c r="W56">
        <v>0</v>
      </c>
      <c r="X56">
        <v>0</v>
      </c>
    </row>
    <row r="57" spans="1:24" x14ac:dyDescent="0.2">
      <c r="A57">
        <v>1040500</v>
      </c>
      <c r="B57" t="s">
        <v>56</v>
      </c>
      <c r="C57">
        <v>400</v>
      </c>
      <c r="D57">
        <v>400</v>
      </c>
      <c r="E57">
        <v>10000</v>
      </c>
      <c r="F57">
        <v>77</v>
      </c>
      <c r="G57">
        <v>77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</v>
      </c>
      <c r="Q57">
        <v>66</v>
      </c>
      <c r="R57">
        <v>75</v>
      </c>
      <c r="S57">
        <v>0</v>
      </c>
      <c r="T57">
        <v>22</v>
      </c>
      <c r="U57">
        <v>10</v>
      </c>
      <c r="V57">
        <v>8</v>
      </c>
      <c r="W57">
        <v>0</v>
      </c>
      <c r="X57">
        <v>0</v>
      </c>
    </row>
    <row r="58" spans="1:24" x14ac:dyDescent="0.2">
      <c r="A58">
        <v>1040600</v>
      </c>
      <c r="B58" t="s">
        <v>57</v>
      </c>
      <c r="C58">
        <v>600</v>
      </c>
      <c r="D58">
        <v>600</v>
      </c>
      <c r="E58">
        <v>10000</v>
      </c>
      <c r="F58">
        <v>79</v>
      </c>
      <c r="G58">
        <v>0</v>
      </c>
      <c r="H58">
        <v>79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66</v>
      </c>
      <c r="R58">
        <v>0</v>
      </c>
      <c r="S58">
        <v>0</v>
      </c>
      <c r="T58">
        <v>22</v>
      </c>
      <c r="U58">
        <v>10</v>
      </c>
      <c r="V58">
        <v>8</v>
      </c>
      <c r="W58">
        <v>0</v>
      </c>
      <c r="X58">
        <v>0</v>
      </c>
    </row>
    <row r="59" spans="1:24" x14ac:dyDescent="0.2">
      <c r="A59">
        <v>1040700</v>
      </c>
      <c r="B59" t="s">
        <v>58</v>
      </c>
      <c r="C59">
        <v>700</v>
      </c>
      <c r="D59">
        <v>700</v>
      </c>
      <c r="E59">
        <v>10000</v>
      </c>
      <c r="F59">
        <v>77</v>
      </c>
      <c r="G59">
        <v>0</v>
      </c>
      <c r="H59">
        <v>77</v>
      </c>
      <c r="I59">
        <v>0</v>
      </c>
      <c r="J59">
        <v>0</v>
      </c>
      <c r="K59">
        <v>0</v>
      </c>
      <c r="L59">
        <v>0</v>
      </c>
      <c r="M59">
        <v>4</v>
      </c>
      <c r="N59">
        <v>0</v>
      </c>
      <c r="O59">
        <v>0</v>
      </c>
      <c r="P59">
        <v>9</v>
      </c>
      <c r="Q59">
        <v>66</v>
      </c>
      <c r="R59">
        <v>75</v>
      </c>
      <c r="S59">
        <v>75</v>
      </c>
      <c r="T59">
        <v>22</v>
      </c>
      <c r="U59">
        <v>10</v>
      </c>
      <c r="V59">
        <v>8</v>
      </c>
      <c r="W59">
        <v>0</v>
      </c>
      <c r="X59">
        <v>0</v>
      </c>
    </row>
    <row r="60" spans="1:24" x14ac:dyDescent="0.2">
      <c r="A60">
        <v>1040800</v>
      </c>
      <c r="B60" t="s">
        <v>59</v>
      </c>
      <c r="C60">
        <v>800</v>
      </c>
      <c r="D60">
        <v>800</v>
      </c>
      <c r="E60">
        <v>10000</v>
      </c>
      <c r="F60">
        <v>77</v>
      </c>
      <c r="G60">
        <v>0</v>
      </c>
      <c r="H60">
        <v>0</v>
      </c>
      <c r="I60">
        <v>77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</v>
      </c>
      <c r="Q60">
        <v>66</v>
      </c>
      <c r="R60">
        <v>0</v>
      </c>
      <c r="S60">
        <v>75</v>
      </c>
      <c r="T60">
        <v>22</v>
      </c>
      <c r="U60">
        <v>10</v>
      </c>
      <c r="V60">
        <v>8</v>
      </c>
      <c r="W60">
        <v>0</v>
      </c>
      <c r="X60">
        <v>0</v>
      </c>
    </row>
    <row r="61" spans="1:24" x14ac:dyDescent="0.2">
      <c r="A61">
        <v>1040900</v>
      </c>
      <c r="B61" t="s">
        <v>60</v>
      </c>
      <c r="C61">
        <v>900</v>
      </c>
      <c r="D61">
        <v>900</v>
      </c>
      <c r="E61">
        <v>10000</v>
      </c>
      <c r="F61">
        <v>79</v>
      </c>
      <c r="G61">
        <v>0</v>
      </c>
      <c r="H61">
        <v>0</v>
      </c>
      <c r="I61">
        <v>0</v>
      </c>
      <c r="J61">
        <v>79</v>
      </c>
      <c r="K61">
        <v>0</v>
      </c>
      <c r="L61">
        <v>0</v>
      </c>
      <c r="M61">
        <v>0</v>
      </c>
      <c r="N61">
        <v>0</v>
      </c>
      <c r="O61">
        <v>0</v>
      </c>
      <c r="P61">
        <v>9</v>
      </c>
      <c r="Q61">
        <v>66</v>
      </c>
      <c r="R61">
        <v>0</v>
      </c>
      <c r="S61">
        <v>0</v>
      </c>
      <c r="T61">
        <v>22</v>
      </c>
      <c r="U61">
        <v>10</v>
      </c>
      <c r="V61">
        <v>8</v>
      </c>
      <c r="W61">
        <v>0</v>
      </c>
      <c r="X61">
        <v>0</v>
      </c>
    </row>
    <row r="62" spans="1:24" x14ac:dyDescent="0.2">
      <c r="A62">
        <v>1041000</v>
      </c>
      <c r="B62" t="s">
        <v>61</v>
      </c>
      <c r="C62">
        <v>1000</v>
      </c>
      <c r="D62">
        <v>1000</v>
      </c>
      <c r="E62">
        <v>10000</v>
      </c>
      <c r="F62">
        <v>77</v>
      </c>
      <c r="G62">
        <v>0</v>
      </c>
      <c r="H62">
        <v>0</v>
      </c>
      <c r="I62">
        <v>0</v>
      </c>
      <c r="J62">
        <v>77</v>
      </c>
      <c r="K62">
        <v>0</v>
      </c>
      <c r="L62">
        <v>0</v>
      </c>
      <c r="M62">
        <v>0</v>
      </c>
      <c r="N62">
        <v>0</v>
      </c>
      <c r="O62">
        <v>4</v>
      </c>
      <c r="P62">
        <v>9</v>
      </c>
      <c r="Q62">
        <v>66</v>
      </c>
      <c r="R62">
        <v>75</v>
      </c>
      <c r="S62">
        <v>75</v>
      </c>
      <c r="T62">
        <v>22</v>
      </c>
      <c r="U62">
        <v>10</v>
      </c>
      <c r="V62">
        <v>8</v>
      </c>
      <c r="W62">
        <v>0</v>
      </c>
      <c r="X62">
        <v>0</v>
      </c>
    </row>
    <row r="63" spans="1:24" x14ac:dyDescent="0.2">
      <c r="A63">
        <v>1041100</v>
      </c>
      <c r="B63" t="s">
        <v>62</v>
      </c>
      <c r="C63">
        <v>1100</v>
      </c>
      <c r="D63">
        <v>1100</v>
      </c>
      <c r="E63">
        <v>10000</v>
      </c>
      <c r="F63">
        <v>64</v>
      </c>
      <c r="G63">
        <v>0</v>
      </c>
      <c r="H63">
        <v>0</v>
      </c>
      <c r="I63">
        <v>0</v>
      </c>
      <c r="J63">
        <v>0</v>
      </c>
      <c r="K63">
        <v>9</v>
      </c>
      <c r="L63">
        <v>0</v>
      </c>
      <c r="M63">
        <v>0</v>
      </c>
      <c r="N63">
        <v>0</v>
      </c>
      <c r="O63">
        <v>0</v>
      </c>
      <c r="P63">
        <v>9</v>
      </c>
      <c r="Q63">
        <v>66</v>
      </c>
      <c r="R63">
        <v>0</v>
      </c>
      <c r="S63">
        <v>0</v>
      </c>
      <c r="T63">
        <v>22</v>
      </c>
      <c r="U63">
        <v>10</v>
      </c>
      <c r="V63">
        <v>8</v>
      </c>
      <c r="W63">
        <v>0</v>
      </c>
      <c r="X63">
        <v>0</v>
      </c>
    </row>
    <row r="64" spans="1:24" x14ac:dyDescent="0.2">
      <c r="A64">
        <v>1041200</v>
      </c>
      <c r="B64" t="s">
        <v>63</v>
      </c>
      <c r="C64">
        <v>1200</v>
      </c>
      <c r="D64">
        <v>1200</v>
      </c>
      <c r="E64">
        <v>10000</v>
      </c>
      <c r="F64">
        <v>64</v>
      </c>
      <c r="G64">
        <v>0</v>
      </c>
      <c r="H64">
        <v>0</v>
      </c>
      <c r="I64">
        <v>0</v>
      </c>
      <c r="J64">
        <v>0</v>
      </c>
      <c r="K64">
        <v>9</v>
      </c>
      <c r="L64">
        <v>0</v>
      </c>
      <c r="M64">
        <v>0</v>
      </c>
      <c r="N64">
        <v>0</v>
      </c>
      <c r="O64">
        <v>0</v>
      </c>
      <c r="P64">
        <v>9</v>
      </c>
      <c r="Q64">
        <v>66</v>
      </c>
      <c r="R64">
        <v>0</v>
      </c>
      <c r="S64">
        <v>0</v>
      </c>
      <c r="T64">
        <v>22</v>
      </c>
      <c r="U64">
        <v>10</v>
      </c>
      <c r="V64">
        <v>8</v>
      </c>
      <c r="W64">
        <v>0</v>
      </c>
      <c r="X64">
        <v>0</v>
      </c>
    </row>
    <row r="65" spans="1:24" x14ac:dyDescent="0.2">
      <c r="A65">
        <v>1041300</v>
      </c>
      <c r="B65" t="s">
        <v>64</v>
      </c>
      <c r="C65">
        <v>1300</v>
      </c>
      <c r="D65">
        <v>1300</v>
      </c>
      <c r="E65">
        <v>10000</v>
      </c>
      <c r="F65">
        <v>69</v>
      </c>
      <c r="G65">
        <v>0</v>
      </c>
      <c r="H65">
        <v>0</v>
      </c>
      <c r="I65">
        <v>0</v>
      </c>
      <c r="J65">
        <v>0</v>
      </c>
      <c r="K65">
        <v>9</v>
      </c>
      <c r="L65">
        <v>0</v>
      </c>
      <c r="M65">
        <v>0</v>
      </c>
      <c r="N65">
        <v>0</v>
      </c>
      <c r="O65">
        <v>0</v>
      </c>
      <c r="P65">
        <v>9</v>
      </c>
      <c r="Q65">
        <v>66</v>
      </c>
      <c r="R65">
        <v>0</v>
      </c>
      <c r="S65">
        <v>0</v>
      </c>
      <c r="T65">
        <v>22</v>
      </c>
      <c r="U65">
        <v>10</v>
      </c>
      <c r="V65">
        <v>8</v>
      </c>
      <c r="W65">
        <v>0</v>
      </c>
      <c r="X65">
        <v>0</v>
      </c>
    </row>
    <row r="66" spans="1:24" x14ac:dyDescent="0.2">
      <c r="A66">
        <v>1041400</v>
      </c>
      <c r="B66" t="s">
        <v>65</v>
      </c>
      <c r="C66">
        <v>1400</v>
      </c>
      <c r="D66">
        <v>1400</v>
      </c>
      <c r="E66">
        <v>10014</v>
      </c>
      <c r="F66">
        <v>77</v>
      </c>
      <c r="G66">
        <v>0</v>
      </c>
      <c r="H66">
        <v>0</v>
      </c>
      <c r="I66">
        <v>0</v>
      </c>
      <c r="J66">
        <v>0</v>
      </c>
      <c r="K66">
        <v>9</v>
      </c>
      <c r="L66">
        <v>0</v>
      </c>
      <c r="M66">
        <v>0</v>
      </c>
      <c r="N66">
        <v>0</v>
      </c>
      <c r="O66">
        <v>0</v>
      </c>
      <c r="P66">
        <v>9</v>
      </c>
      <c r="Q66">
        <v>66</v>
      </c>
      <c r="R66">
        <v>0</v>
      </c>
      <c r="S66">
        <v>75</v>
      </c>
      <c r="T66">
        <v>22</v>
      </c>
      <c r="U66">
        <v>10</v>
      </c>
      <c r="V66">
        <v>8</v>
      </c>
      <c r="W66">
        <v>0</v>
      </c>
      <c r="X66">
        <v>0</v>
      </c>
    </row>
    <row r="67" spans="1:24" x14ac:dyDescent="0.2">
      <c r="A67">
        <v>1041500</v>
      </c>
      <c r="B67" t="s">
        <v>66</v>
      </c>
      <c r="C67">
        <v>1500</v>
      </c>
      <c r="D67">
        <v>1500</v>
      </c>
      <c r="E67">
        <v>10015</v>
      </c>
      <c r="F67">
        <v>64</v>
      </c>
      <c r="G67">
        <v>0</v>
      </c>
      <c r="H67">
        <v>0</v>
      </c>
      <c r="I67">
        <v>0</v>
      </c>
      <c r="J67">
        <v>0</v>
      </c>
      <c r="K67">
        <v>9</v>
      </c>
      <c r="L67">
        <v>0</v>
      </c>
      <c r="M67">
        <v>0</v>
      </c>
      <c r="N67">
        <v>0</v>
      </c>
      <c r="O67">
        <v>0</v>
      </c>
      <c r="P67">
        <v>9</v>
      </c>
      <c r="Q67">
        <v>66</v>
      </c>
      <c r="R67">
        <v>0</v>
      </c>
      <c r="S67">
        <v>0</v>
      </c>
      <c r="T67">
        <v>22</v>
      </c>
      <c r="U67">
        <v>10</v>
      </c>
      <c r="V67">
        <v>8</v>
      </c>
      <c r="W67">
        <v>0</v>
      </c>
      <c r="X67">
        <v>0</v>
      </c>
    </row>
    <row r="68" spans="1:24" x14ac:dyDescent="0.2">
      <c r="A68">
        <v>1060000</v>
      </c>
      <c r="B68" t="s">
        <v>67</v>
      </c>
      <c r="C68">
        <v>0</v>
      </c>
      <c r="D68">
        <v>0</v>
      </c>
      <c r="E68">
        <v>10000</v>
      </c>
      <c r="F68">
        <v>62</v>
      </c>
      <c r="G68">
        <v>0</v>
      </c>
      <c r="H68">
        <v>0</v>
      </c>
      <c r="I68">
        <v>0</v>
      </c>
      <c r="J68">
        <v>0</v>
      </c>
      <c r="K68">
        <v>9</v>
      </c>
      <c r="L68">
        <v>0</v>
      </c>
      <c r="M68">
        <v>0</v>
      </c>
      <c r="N68">
        <v>0</v>
      </c>
      <c r="O68">
        <v>0</v>
      </c>
      <c r="P68">
        <v>9</v>
      </c>
      <c r="Q68">
        <v>67</v>
      </c>
      <c r="R68">
        <v>0</v>
      </c>
      <c r="S68">
        <v>0</v>
      </c>
      <c r="T68">
        <v>22</v>
      </c>
      <c r="U68">
        <v>8</v>
      </c>
      <c r="V68">
        <v>10</v>
      </c>
      <c r="W68">
        <v>0</v>
      </c>
      <c r="X68">
        <v>0</v>
      </c>
    </row>
    <row r="69" spans="1:24" x14ac:dyDescent="0.2">
      <c r="A69">
        <v>1060100</v>
      </c>
      <c r="B69" t="s">
        <v>68</v>
      </c>
      <c r="C69">
        <v>200</v>
      </c>
      <c r="D69">
        <v>100</v>
      </c>
      <c r="E69">
        <v>10000</v>
      </c>
      <c r="F69">
        <v>62</v>
      </c>
      <c r="G69">
        <v>0</v>
      </c>
      <c r="H69">
        <v>0</v>
      </c>
      <c r="I69">
        <v>0</v>
      </c>
      <c r="J69">
        <v>0</v>
      </c>
      <c r="K69">
        <v>9</v>
      </c>
      <c r="L69">
        <v>0</v>
      </c>
      <c r="M69">
        <v>0</v>
      </c>
      <c r="N69">
        <v>0</v>
      </c>
      <c r="O69">
        <v>0</v>
      </c>
      <c r="P69">
        <v>45</v>
      </c>
      <c r="Q69">
        <v>0</v>
      </c>
      <c r="R69">
        <v>0</v>
      </c>
      <c r="S69">
        <v>0</v>
      </c>
      <c r="T69">
        <v>22</v>
      </c>
      <c r="U69">
        <v>8</v>
      </c>
      <c r="V69">
        <v>10</v>
      </c>
      <c r="W69">
        <v>0</v>
      </c>
      <c r="X69">
        <v>0</v>
      </c>
    </row>
    <row r="70" spans="1:24" x14ac:dyDescent="0.2">
      <c r="A70">
        <v>1060200</v>
      </c>
      <c r="B70" t="s">
        <v>69</v>
      </c>
      <c r="C70">
        <v>100</v>
      </c>
      <c r="D70">
        <v>5000</v>
      </c>
      <c r="E70">
        <v>10000</v>
      </c>
      <c r="F70">
        <v>62</v>
      </c>
      <c r="G70">
        <v>0</v>
      </c>
      <c r="H70">
        <v>0</v>
      </c>
      <c r="I70">
        <v>0</v>
      </c>
      <c r="J70">
        <v>0</v>
      </c>
      <c r="K70">
        <v>9</v>
      </c>
      <c r="L70">
        <v>0</v>
      </c>
      <c r="M70">
        <v>0</v>
      </c>
      <c r="N70">
        <v>0</v>
      </c>
      <c r="O70">
        <v>0</v>
      </c>
      <c r="P70">
        <v>4</v>
      </c>
      <c r="Q70">
        <v>67</v>
      </c>
      <c r="R70">
        <v>0</v>
      </c>
      <c r="S70">
        <v>0</v>
      </c>
      <c r="T70">
        <v>22</v>
      </c>
      <c r="U70">
        <v>8</v>
      </c>
      <c r="V70">
        <v>10</v>
      </c>
      <c r="W70">
        <v>0</v>
      </c>
      <c r="X70">
        <v>0</v>
      </c>
    </row>
    <row r="71" spans="1:24" x14ac:dyDescent="0.2">
      <c r="A71">
        <v>1060300</v>
      </c>
      <c r="B71" t="s">
        <v>70</v>
      </c>
      <c r="C71">
        <v>300</v>
      </c>
      <c r="D71">
        <v>300</v>
      </c>
      <c r="E71">
        <v>10000</v>
      </c>
      <c r="F71">
        <v>62</v>
      </c>
      <c r="G71">
        <v>0</v>
      </c>
      <c r="H71">
        <v>0</v>
      </c>
      <c r="I71">
        <v>0</v>
      </c>
      <c r="J71">
        <v>0</v>
      </c>
      <c r="K71">
        <v>8</v>
      </c>
      <c r="L71">
        <v>0</v>
      </c>
      <c r="M71">
        <v>0</v>
      </c>
      <c r="N71">
        <v>0</v>
      </c>
      <c r="O71">
        <v>0</v>
      </c>
      <c r="P71">
        <v>53</v>
      </c>
      <c r="Q71">
        <v>53</v>
      </c>
      <c r="R71">
        <v>0</v>
      </c>
      <c r="S71">
        <v>0</v>
      </c>
      <c r="T71">
        <v>22</v>
      </c>
      <c r="U71">
        <v>8</v>
      </c>
      <c r="V71">
        <v>10</v>
      </c>
      <c r="W71">
        <v>0</v>
      </c>
      <c r="X71">
        <v>0</v>
      </c>
    </row>
    <row r="72" spans="1:24" x14ac:dyDescent="0.2">
      <c r="A72">
        <v>1060400</v>
      </c>
      <c r="B72" t="s">
        <v>71</v>
      </c>
      <c r="C72">
        <v>500</v>
      </c>
      <c r="D72">
        <v>500</v>
      </c>
      <c r="E72">
        <v>10000</v>
      </c>
      <c r="F72">
        <v>75</v>
      </c>
      <c r="G72">
        <v>75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9</v>
      </c>
      <c r="Q72">
        <v>67</v>
      </c>
      <c r="R72">
        <v>76</v>
      </c>
      <c r="S72">
        <v>0</v>
      </c>
      <c r="T72">
        <v>22</v>
      </c>
      <c r="U72">
        <v>8</v>
      </c>
      <c r="V72">
        <v>10</v>
      </c>
      <c r="W72">
        <v>0</v>
      </c>
      <c r="X72">
        <v>0</v>
      </c>
    </row>
    <row r="73" spans="1:24" x14ac:dyDescent="0.2">
      <c r="A73">
        <v>1060500</v>
      </c>
      <c r="B73" t="s">
        <v>72</v>
      </c>
      <c r="C73">
        <v>400</v>
      </c>
      <c r="D73">
        <v>400</v>
      </c>
      <c r="E73">
        <v>10000</v>
      </c>
      <c r="F73">
        <v>75</v>
      </c>
      <c r="G73">
        <v>75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9</v>
      </c>
      <c r="Q73">
        <v>67</v>
      </c>
      <c r="R73">
        <v>76</v>
      </c>
      <c r="S73">
        <v>0</v>
      </c>
      <c r="T73">
        <v>22</v>
      </c>
      <c r="U73">
        <v>8</v>
      </c>
      <c r="V73">
        <v>10</v>
      </c>
      <c r="W73">
        <v>0</v>
      </c>
      <c r="X73">
        <v>0</v>
      </c>
    </row>
    <row r="74" spans="1:24" x14ac:dyDescent="0.2">
      <c r="A74">
        <v>1060600</v>
      </c>
      <c r="B74" t="s">
        <v>73</v>
      </c>
      <c r="C74">
        <v>600</v>
      </c>
      <c r="D74">
        <v>600</v>
      </c>
      <c r="E74">
        <v>10000</v>
      </c>
      <c r="F74">
        <v>77</v>
      </c>
      <c r="G74">
        <v>0</v>
      </c>
      <c r="H74">
        <v>77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9</v>
      </c>
      <c r="Q74">
        <v>67</v>
      </c>
      <c r="R74">
        <v>0</v>
      </c>
      <c r="S74">
        <v>0</v>
      </c>
      <c r="T74">
        <v>22</v>
      </c>
      <c r="U74">
        <v>8</v>
      </c>
      <c r="V74">
        <v>10</v>
      </c>
      <c r="W74">
        <v>0</v>
      </c>
      <c r="X74">
        <v>0</v>
      </c>
    </row>
    <row r="75" spans="1:24" x14ac:dyDescent="0.2">
      <c r="A75">
        <v>1060700</v>
      </c>
      <c r="B75" t="s">
        <v>74</v>
      </c>
      <c r="C75">
        <v>700</v>
      </c>
      <c r="D75">
        <v>700</v>
      </c>
      <c r="E75">
        <v>10000</v>
      </c>
      <c r="F75">
        <v>75</v>
      </c>
      <c r="G75">
        <v>0</v>
      </c>
      <c r="H75">
        <v>75</v>
      </c>
      <c r="I75">
        <v>0</v>
      </c>
      <c r="J75">
        <v>0</v>
      </c>
      <c r="K75">
        <v>0</v>
      </c>
      <c r="L75">
        <v>0</v>
      </c>
      <c r="M75">
        <v>4</v>
      </c>
      <c r="N75">
        <v>0</v>
      </c>
      <c r="O75">
        <v>0</v>
      </c>
      <c r="P75">
        <v>9</v>
      </c>
      <c r="Q75">
        <v>67</v>
      </c>
      <c r="R75">
        <v>76</v>
      </c>
      <c r="S75">
        <v>76</v>
      </c>
      <c r="T75">
        <v>22</v>
      </c>
      <c r="U75">
        <v>8</v>
      </c>
      <c r="V75">
        <v>10</v>
      </c>
      <c r="W75">
        <v>0</v>
      </c>
      <c r="X75">
        <v>0</v>
      </c>
    </row>
    <row r="76" spans="1:24" x14ac:dyDescent="0.2">
      <c r="A76">
        <v>1060800</v>
      </c>
      <c r="B76" t="s">
        <v>75</v>
      </c>
      <c r="C76">
        <v>800</v>
      </c>
      <c r="D76">
        <v>800</v>
      </c>
      <c r="E76">
        <v>10000</v>
      </c>
      <c r="F76">
        <v>75</v>
      </c>
      <c r="G76">
        <v>0</v>
      </c>
      <c r="H76">
        <v>0</v>
      </c>
      <c r="I76">
        <v>75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9</v>
      </c>
      <c r="Q76">
        <v>67</v>
      </c>
      <c r="R76">
        <v>0</v>
      </c>
      <c r="S76">
        <v>76</v>
      </c>
      <c r="T76">
        <v>22</v>
      </c>
      <c r="U76">
        <v>8</v>
      </c>
      <c r="V76">
        <v>10</v>
      </c>
      <c r="W76">
        <v>0</v>
      </c>
      <c r="X76">
        <v>0</v>
      </c>
    </row>
    <row r="77" spans="1:24" x14ac:dyDescent="0.2">
      <c r="A77">
        <v>1060900</v>
      </c>
      <c r="B77" t="s">
        <v>76</v>
      </c>
      <c r="C77">
        <v>900</v>
      </c>
      <c r="D77">
        <v>900</v>
      </c>
      <c r="E77">
        <v>10000</v>
      </c>
      <c r="F77">
        <v>77</v>
      </c>
      <c r="G77">
        <v>0</v>
      </c>
      <c r="H77">
        <v>0</v>
      </c>
      <c r="I77">
        <v>0</v>
      </c>
      <c r="J77">
        <v>77</v>
      </c>
      <c r="K77">
        <v>0</v>
      </c>
      <c r="L77">
        <v>0</v>
      </c>
      <c r="M77">
        <v>0</v>
      </c>
      <c r="N77">
        <v>0</v>
      </c>
      <c r="O77">
        <v>0</v>
      </c>
      <c r="P77">
        <v>9</v>
      </c>
      <c r="Q77">
        <v>67</v>
      </c>
      <c r="R77">
        <v>0</v>
      </c>
      <c r="S77">
        <v>0</v>
      </c>
      <c r="T77">
        <v>22</v>
      </c>
      <c r="U77">
        <v>8</v>
      </c>
      <c r="V77">
        <v>10</v>
      </c>
      <c r="W77">
        <v>0</v>
      </c>
      <c r="X77">
        <v>0</v>
      </c>
    </row>
    <row r="78" spans="1:24" x14ac:dyDescent="0.2">
      <c r="A78">
        <v>1061000</v>
      </c>
      <c r="B78" t="s">
        <v>77</v>
      </c>
      <c r="C78">
        <v>1000</v>
      </c>
      <c r="D78">
        <v>1000</v>
      </c>
      <c r="E78">
        <v>10000</v>
      </c>
      <c r="F78">
        <v>75</v>
      </c>
      <c r="G78">
        <v>0</v>
      </c>
      <c r="H78">
        <v>0</v>
      </c>
      <c r="I78">
        <v>0</v>
      </c>
      <c r="J78">
        <v>75</v>
      </c>
      <c r="K78">
        <v>0</v>
      </c>
      <c r="L78">
        <v>0</v>
      </c>
      <c r="M78">
        <v>0</v>
      </c>
      <c r="N78">
        <v>0</v>
      </c>
      <c r="O78">
        <v>4</v>
      </c>
      <c r="P78">
        <v>9</v>
      </c>
      <c r="Q78">
        <v>67</v>
      </c>
      <c r="R78">
        <v>76</v>
      </c>
      <c r="S78">
        <v>76</v>
      </c>
      <c r="T78">
        <v>22</v>
      </c>
      <c r="U78">
        <v>8</v>
      </c>
      <c r="V78">
        <v>10</v>
      </c>
      <c r="W78">
        <v>0</v>
      </c>
      <c r="X78">
        <v>0</v>
      </c>
    </row>
    <row r="79" spans="1:24" x14ac:dyDescent="0.2">
      <c r="A79">
        <v>1061100</v>
      </c>
      <c r="B79" t="s">
        <v>78</v>
      </c>
      <c r="C79">
        <v>1100</v>
      </c>
      <c r="D79">
        <v>1100</v>
      </c>
      <c r="E79">
        <v>10000</v>
      </c>
      <c r="F79">
        <v>62</v>
      </c>
      <c r="G79">
        <v>0</v>
      </c>
      <c r="H79">
        <v>0</v>
      </c>
      <c r="I79">
        <v>0</v>
      </c>
      <c r="J79">
        <v>0</v>
      </c>
      <c r="K79">
        <v>9</v>
      </c>
      <c r="L79">
        <v>0</v>
      </c>
      <c r="M79">
        <v>0</v>
      </c>
      <c r="N79">
        <v>0</v>
      </c>
      <c r="O79">
        <v>0</v>
      </c>
      <c r="P79">
        <v>9</v>
      </c>
      <c r="Q79">
        <v>67</v>
      </c>
      <c r="R79">
        <v>0</v>
      </c>
      <c r="S79">
        <v>0</v>
      </c>
      <c r="T79">
        <v>22</v>
      </c>
      <c r="U79">
        <v>8</v>
      </c>
      <c r="V79">
        <v>10</v>
      </c>
      <c r="W79">
        <v>0</v>
      </c>
      <c r="X79">
        <v>0</v>
      </c>
    </row>
    <row r="80" spans="1:24" x14ac:dyDescent="0.2">
      <c r="A80">
        <v>1061200</v>
      </c>
      <c r="B80" t="s">
        <v>79</v>
      </c>
      <c r="C80">
        <v>1200</v>
      </c>
      <c r="D80">
        <v>1200</v>
      </c>
      <c r="E80">
        <v>10000</v>
      </c>
      <c r="F80">
        <v>62</v>
      </c>
      <c r="G80">
        <v>0</v>
      </c>
      <c r="H80">
        <v>0</v>
      </c>
      <c r="I80">
        <v>0</v>
      </c>
      <c r="J80">
        <v>0</v>
      </c>
      <c r="K80">
        <v>9</v>
      </c>
      <c r="L80">
        <v>0</v>
      </c>
      <c r="M80">
        <v>0</v>
      </c>
      <c r="N80">
        <v>0</v>
      </c>
      <c r="O80">
        <v>0</v>
      </c>
      <c r="P80">
        <v>9</v>
      </c>
      <c r="Q80">
        <v>67</v>
      </c>
      <c r="R80">
        <v>0</v>
      </c>
      <c r="S80">
        <v>0</v>
      </c>
      <c r="T80">
        <v>22</v>
      </c>
      <c r="U80">
        <v>8</v>
      </c>
      <c r="V80">
        <v>10</v>
      </c>
      <c r="W80">
        <v>0</v>
      </c>
      <c r="X80">
        <v>0</v>
      </c>
    </row>
    <row r="81" spans="1:24" x14ac:dyDescent="0.2">
      <c r="A81">
        <v>1061300</v>
      </c>
      <c r="B81" t="s">
        <v>80</v>
      </c>
      <c r="C81">
        <v>1300</v>
      </c>
      <c r="D81">
        <v>1300</v>
      </c>
      <c r="E81">
        <v>10000</v>
      </c>
      <c r="F81">
        <v>72</v>
      </c>
      <c r="G81">
        <v>0</v>
      </c>
      <c r="H81">
        <v>0</v>
      </c>
      <c r="I81">
        <v>0</v>
      </c>
      <c r="J81">
        <v>0</v>
      </c>
      <c r="K81">
        <v>9</v>
      </c>
      <c r="L81">
        <v>0</v>
      </c>
      <c r="M81">
        <v>0</v>
      </c>
      <c r="N81">
        <v>0</v>
      </c>
      <c r="O81">
        <v>0</v>
      </c>
      <c r="P81">
        <v>9</v>
      </c>
      <c r="Q81">
        <v>67</v>
      </c>
      <c r="R81">
        <v>0</v>
      </c>
      <c r="S81">
        <v>0</v>
      </c>
      <c r="T81">
        <v>22</v>
      </c>
      <c r="U81">
        <v>8</v>
      </c>
      <c r="V81">
        <v>10</v>
      </c>
      <c r="W81">
        <v>0</v>
      </c>
      <c r="X81">
        <v>0</v>
      </c>
    </row>
    <row r="82" spans="1:24" x14ac:dyDescent="0.2">
      <c r="A82">
        <v>1061400</v>
      </c>
      <c r="B82" t="s">
        <v>81</v>
      </c>
      <c r="C82">
        <v>1400</v>
      </c>
      <c r="D82">
        <v>1400</v>
      </c>
      <c r="E82">
        <v>10014</v>
      </c>
      <c r="F82">
        <v>75</v>
      </c>
      <c r="G82">
        <v>0</v>
      </c>
      <c r="H82">
        <v>0</v>
      </c>
      <c r="I82">
        <v>0</v>
      </c>
      <c r="J82">
        <v>0</v>
      </c>
      <c r="K82">
        <v>9</v>
      </c>
      <c r="L82">
        <v>0</v>
      </c>
      <c r="M82">
        <v>0</v>
      </c>
      <c r="N82">
        <v>0</v>
      </c>
      <c r="O82">
        <v>0</v>
      </c>
      <c r="P82">
        <v>9</v>
      </c>
      <c r="Q82">
        <v>67</v>
      </c>
      <c r="R82">
        <v>0</v>
      </c>
      <c r="S82">
        <v>76</v>
      </c>
      <c r="T82">
        <v>22</v>
      </c>
      <c r="U82">
        <v>8</v>
      </c>
      <c r="V82">
        <v>10</v>
      </c>
      <c r="W82">
        <v>0</v>
      </c>
      <c r="X82">
        <v>0</v>
      </c>
    </row>
    <row r="83" spans="1:24" x14ac:dyDescent="0.2">
      <c r="A83">
        <v>1061500</v>
      </c>
      <c r="B83" t="s">
        <v>82</v>
      </c>
      <c r="C83">
        <v>1500</v>
      </c>
      <c r="D83">
        <v>1500</v>
      </c>
      <c r="E83">
        <v>10015</v>
      </c>
      <c r="F83">
        <v>62</v>
      </c>
      <c r="G83">
        <v>0</v>
      </c>
      <c r="H83">
        <v>0</v>
      </c>
      <c r="I83">
        <v>0</v>
      </c>
      <c r="J83">
        <v>0</v>
      </c>
      <c r="K83">
        <v>9</v>
      </c>
      <c r="L83">
        <v>0</v>
      </c>
      <c r="M83">
        <v>0</v>
      </c>
      <c r="N83">
        <v>0</v>
      </c>
      <c r="O83">
        <v>0</v>
      </c>
      <c r="P83">
        <v>9</v>
      </c>
      <c r="Q83">
        <v>67</v>
      </c>
      <c r="R83">
        <v>0</v>
      </c>
      <c r="S83">
        <v>0</v>
      </c>
      <c r="T83">
        <v>22</v>
      </c>
      <c r="U83">
        <v>8</v>
      </c>
      <c r="V83">
        <v>10</v>
      </c>
      <c r="W83">
        <v>0</v>
      </c>
      <c r="X83">
        <v>0</v>
      </c>
    </row>
    <row r="84" spans="1:24" x14ac:dyDescent="0.2">
      <c r="A84">
        <v>1070000</v>
      </c>
      <c r="B84" t="s">
        <v>83</v>
      </c>
      <c r="C84">
        <v>0</v>
      </c>
      <c r="D84">
        <v>0</v>
      </c>
      <c r="E84">
        <v>10000</v>
      </c>
      <c r="F84">
        <v>68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10</v>
      </c>
      <c r="Q84">
        <v>52</v>
      </c>
      <c r="R84">
        <v>0</v>
      </c>
      <c r="S84">
        <v>0</v>
      </c>
      <c r="T84">
        <v>18</v>
      </c>
      <c r="U84">
        <v>7</v>
      </c>
      <c r="V84">
        <v>0</v>
      </c>
      <c r="W84">
        <v>0</v>
      </c>
      <c r="X84">
        <v>16</v>
      </c>
    </row>
    <row r="85" spans="1:24" x14ac:dyDescent="0.2">
      <c r="A85">
        <v>1080000</v>
      </c>
      <c r="B85" t="s">
        <v>84</v>
      </c>
      <c r="C85">
        <v>2000</v>
      </c>
      <c r="D85">
        <v>2100</v>
      </c>
      <c r="E85">
        <v>10000</v>
      </c>
      <c r="F85">
        <v>97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10</v>
      </c>
      <c r="Q85">
        <v>20</v>
      </c>
      <c r="R85">
        <v>0</v>
      </c>
      <c r="S85">
        <v>0</v>
      </c>
      <c r="T85">
        <v>9</v>
      </c>
      <c r="U85">
        <v>8</v>
      </c>
      <c r="V85">
        <v>14</v>
      </c>
      <c r="W85">
        <v>0</v>
      </c>
      <c r="X85">
        <v>0</v>
      </c>
    </row>
    <row r="86" spans="1:24" x14ac:dyDescent="0.2">
      <c r="A86">
        <v>1090000</v>
      </c>
      <c r="B86" t="s">
        <v>85</v>
      </c>
      <c r="C86">
        <v>0</v>
      </c>
      <c r="D86">
        <v>0</v>
      </c>
      <c r="E86">
        <v>10000</v>
      </c>
      <c r="F86">
        <v>93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18</v>
      </c>
      <c r="Q86">
        <v>18</v>
      </c>
      <c r="R86">
        <v>0</v>
      </c>
      <c r="S86">
        <v>0</v>
      </c>
      <c r="T86">
        <v>9</v>
      </c>
      <c r="U86">
        <v>12</v>
      </c>
      <c r="V86">
        <v>16</v>
      </c>
      <c r="W86">
        <v>0</v>
      </c>
      <c r="X86">
        <v>0</v>
      </c>
    </row>
    <row r="87" spans="1:24" x14ac:dyDescent="0.2">
      <c r="A87">
        <v>1090100</v>
      </c>
      <c r="B87" t="s">
        <v>86</v>
      </c>
      <c r="C87">
        <v>200</v>
      </c>
      <c r="D87">
        <v>100</v>
      </c>
      <c r="E87">
        <v>10000</v>
      </c>
      <c r="F87">
        <v>93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18</v>
      </c>
      <c r="Q87">
        <v>0</v>
      </c>
      <c r="R87">
        <v>0</v>
      </c>
      <c r="S87">
        <v>0</v>
      </c>
      <c r="T87">
        <v>9</v>
      </c>
      <c r="U87">
        <v>12</v>
      </c>
      <c r="V87">
        <v>16</v>
      </c>
      <c r="W87">
        <v>0</v>
      </c>
      <c r="X87">
        <v>0</v>
      </c>
    </row>
    <row r="88" spans="1:24" x14ac:dyDescent="0.2">
      <c r="A88">
        <v>1090200</v>
      </c>
      <c r="B88" t="s">
        <v>87</v>
      </c>
      <c r="C88">
        <v>100</v>
      </c>
      <c r="D88">
        <v>200</v>
      </c>
      <c r="E88">
        <v>10000</v>
      </c>
      <c r="F88">
        <v>93</v>
      </c>
      <c r="G88">
        <v>0</v>
      </c>
      <c r="H88">
        <v>0</v>
      </c>
      <c r="I88">
        <v>0</v>
      </c>
      <c r="J88">
        <v>0</v>
      </c>
      <c r="K88">
        <v>2</v>
      </c>
      <c r="L88">
        <v>0</v>
      </c>
      <c r="M88">
        <v>0</v>
      </c>
      <c r="N88">
        <v>0</v>
      </c>
      <c r="O88">
        <v>0</v>
      </c>
      <c r="P88">
        <v>18</v>
      </c>
      <c r="Q88">
        <v>18</v>
      </c>
      <c r="R88">
        <v>0</v>
      </c>
      <c r="S88">
        <v>0</v>
      </c>
      <c r="T88">
        <v>9</v>
      </c>
      <c r="U88">
        <v>12</v>
      </c>
      <c r="V88">
        <v>16</v>
      </c>
      <c r="W88">
        <v>0</v>
      </c>
      <c r="X88">
        <v>0</v>
      </c>
    </row>
    <row r="89" spans="1:24" x14ac:dyDescent="0.2">
      <c r="A89">
        <v>1090300</v>
      </c>
      <c r="B89" t="s">
        <v>88</v>
      </c>
      <c r="C89">
        <v>300</v>
      </c>
      <c r="D89">
        <v>300</v>
      </c>
      <c r="E89">
        <v>10000</v>
      </c>
      <c r="F89">
        <v>93</v>
      </c>
      <c r="G89">
        <v>0</v>
      </c>
      <c r="H89">
        <v>0</v>
      </c>
      <c r="I89">
        <v>0</v>
      </c>
      <c r="J89">
        <v>0</v>
      </c>
      <c r="K89">
        <v>8</v>
      </c>
      <c r="L89">
        <v>0</v>
      </c>
      <c r="M89">
        <v>0</v>
      </c>
      <c r="N89">
        <v>0</v>
      </c>
      <c r="O89">
        <v>0</v>
      </c>
      <c r="P89">
        <v>28</v>
      </c>
      <c r="Q89">
        <v>28</v>
      </c>
      <c r="R89">
        <v>0</v>
      </c>
      <c r="S89">
        <v>0</v>
      </c>
      <c r="T89">
        <v>9</v>
      </c>
      <c r="U89">
        <v>12</v>
      </c>
      <c r="V89">
        <v>16</v>
      </c>
      <c r="W89">
        <v>0</v>
      </c>
      <c r="X89">
        <v>0</v>
      </c>
    </row>
    <row r="90" spans="1:24" x14ac:dyDescent="0.2">
      <c r="A90">
        <v>1090400</v>
      </c>
      <c r="B90" t="s">
        <v>89</v>
      </c>
      <c r="C90">
        <v>500</v>
      </c>
      <c r="D90">
        <v>500</v>
      </c>
      <c r="E90">
        <v>10000</v>
      </c>
      <c r="F90">
        <v>103</v>
      </c>
      <c r="G90">
        <v>103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18</v>
      </c>
      <c r="Q90">
        <v>18</v>
      </c>
      <c r="R90">
        <v>36</v>
      </c>
      <c r="S90">
        <v>0</v>
      </c>
      <c r="T90">
        <v>9</v>
      </c>
      <c r="U90">
        <v>12</v>
      </c>
      <c r="V90">
        <v>16</v>
      </c>
      <c r="W90">
        <v>0</v>
      </c>
      <c r="X90">
        <v>0</v>
      </c>
    </row>
    <row r="91" spans="1:24" x14ac:dyDescent="0.2">
      <c r="A91">
        <v>1090500</v>
      </c>
      <c r="B91" t="s">
        <v>90</v>
      </c>
      <c r="C91">
        <v>400</v>
      </c>
      <c r="D91">
        <v>400</v>
      </c>
      <c r="E91">
        <v>10000</v>
      </c>
      <c r="F91">
        <v>103</v>
      </c>
      <c r="G91">
        <v>103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18</v>
      </c>
      <c r="Q91">
        <v>18</v>
      </c>
      <c r="R91">
        <v>36</v>
      </c>
      <c r="S91">
        <v>0</v>
      </c>
      <c r="T91">
        <v>9</v>
      </c>
      <c r="U91">
        <v>12</v>
      </c>
      <c r="V91">
        <v>16</v>
      </c>
      <c r="W91">
        <v>0</v>
      </c>
      <c r="X91">
        <v>0</v>
      </c>
    </row>
    <row r="92" spans="1:24" x14ac:dyDescent="0.2">
      <c r="A92">
        <v>1090600</v>
      </c>
      <c r="B92" t="s">
        <v>91</v>
      </c>
      <c r="C92">
        <v>600</v>
      </c>
      <c r="D92">
        <v>600</v>
      </c>
      <c r="E92">
        <v>10000</v>
      </c>
      <c r="F92">
        <v>83</v>
      </c>
      <c r="G92">
        <v>0</v>
      </c>
      <c r="H92">
        <v>83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18</v>
      </c>
      <c r="Q92">
        <v>18</v>
      </c>
      <c r="R92">
        <v>0</v>
      </c>
      <c r="S92">
        <v>0</v>
      </c>
      <c r="T92">
        <v>9</v>
      </c>
      <c r="U92">
        <v>12</v>
      </c>
      <c r="V92">
        <v>16</v>
      </c>
      <c r="W92">
        <v>0</v>
      </c>
      <c r="X92">
        <v>0</v>
      </c>
    </row>
    <row r="93" spans="1:24" x14ac:dyDescent="0.2">
      <c r="A93">
        <v>1090700</v>
      </c>
      <c r="B93" t="s">
        <v>92</v>
      </c>
      <c r="C93">
        <v>700</v>
      </c>
      <c r="D93">
        <v>700</v>
      </c>
      <c r="E93">
        <v>10000</v>
      </c>
      <c r="F93">
        <v>103</v>
      </c>
      <c r="G93">
        <v>0</v>
      </c>
      <c r="H93">
        <v>103</v>
      </c>
      <c r="I93">
        <v>0</v>
      </c>
      <c r="J93">
        <v>0</v>
      </c>
      <c r="K93">
        <v>0</v>
      </c>
      <c r="L93">
        <v>0</v>
      </c>
      <c r="M93">
        <v>4</v>
      </c>
      <c r="N93">
        <v>0</v>
      </c>
      <c r="O93">
        <v>0</v>
      </c>
      <c r="P93">
        <v>18</v>
      </c>
      <c r="Q93">
        <v>18</v>
      </c>
      <c r="R93">
        <v>36</v>
      </c>
      <c r="S93">
        <v>36</v>
      </c>
      <c r="T93">
        <v>9</v>
      </c>
      <c r="U93">
        <v>12</v>
      </c>
      <c r="V93">
        <v>16</v>
      </c>
      <c r="W93">
        <v>0</v>
      </c>
      <c r="X93">
        <v>0</v>
      </c>
    </row>
    <row r="94" spans="1:24" x14ac:dyDescent="0.2">
      <c r="A94">
        <v>1090800</v>
      </c>
      <c r="B94" t="s">
        <v>93</v>
      </c>
      <c r="C94">
        <v>800</v>
      </c>
      <c r="D94">
        <v>800</v>
      </c>
      <c r="E94">
        <v>10000</v>
      </c>
      <c r="F94">
        <v>103</v>
      </c>
      <c r="G94">
        <v>0</v>
      </c>
      <c r="H94">
        <v>0</v>
      </c>
      <c r="I94">
        <v>103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18</v>
      </c>
      <c r="Q94">
        <v>18</v>
      </c>
      <c r="R94">
        <v>0</v>
      </c>
      <c r="S94">
        <v>36</v>
      </c>
      <c r="T94">
        <v>9</v>
      </c>
      <c r="U94">
        <v>12</v>
      </c>
      <c r="V94">
        <v>16</v>
      </c>
      <c r="W94">
        <v>0</v>
      </c>
      <c r="X94">
        <v>0</v>
      </c>
    </row>
    <row r="95" spans="1:24" x14ac:dyDescent="0.2">
      <c r="A95">
        <v>1090900</v>
      </c>
      <c r="B95" t="s">
        <v>94</v>
      </c>
      <c r="C95">
        <v>900</v>
      </c>
      <c r="D95">
        <v>900</v>
      </c>
      <c r="E95">
        <v>10000</v>
      </c>
      <c r="F95">
        <v>83</v>
      </c>
      <c r="G95">
        <v>0</v>
      </c>
      <c r="H95">
        <v>0</v>
      </c>
      <c r="I95">
        <v>0</v>
      </c>
      <c r="J95">
        <v>83</v>
      </c>
      <c r="K95">
        <v>0</v>
      </c>
      <c r="L95">
        <v>0</v>
      </c>
      <c r="M95">
        <v>0</v>
      </c>
      <c r="N95">
        <v>0</v>
      </c>
      <c r="O95">
        <v>0</v>
      </c>
      <c r="P95">
        <v>18</v>
      </c>
      <c r="Q95">
        <v>18</v>
      </c>
      <c r="R95">
        <v>0</v>
      </c>
      <c r="S95">
        <v>0</v>
      </c>
      <c r="T95">
        <v>9</v>
      </c>
      <c r="U95">
        <v>12</v>
      </c>
      <c r="V95">
        <v>16</v>
      </c>
      <c r="W95">
        <v>0</v>
      </c>
      <c r="X95">
        <v>0</v>
      </c>
    </row>
    <row r="96" spans="1:24" x14ac:dyDescent="0.2">
      <c r="A96">
        <v>1091000</v>
      </c>
      <c r="B96" t="s">
        <v>95</v>
      </c>
      <c r="C96">
        <v>1000</v>
      </c>
      <c r="D96">
        <v>1000</v>
      </c>
      <c r="E96">
        <v>10000</v>
      </c>
      <c r="F96">
        <v>103</v>
      </c>
      <c r="G96">
        <v>0</v>
      </c>
      <c r="H96">
        <v>0</v>
      </c>
      <c r="I96">
        <v>0</v>
      </c>
      <c r="J96">
        <v>103</v>
      </c>
      <c r="K96">
        <v>0</v>
      </c>
      <c r="L96">
        <v>0</v>
      </c>
      <c r="M96">
        <v>0</v>
      </c>
      <c r="N96">
        <v>0</v>
      </c>
      <c r="O96">
        <v>4</v>
      </c>
      <c r="P96">
        <v>18</v>
      </c>
      <c r="Q96">
        <v>18</v>
      </c>
      <c r="R96">
        <v>36</v>
      </c>
      <c r="S96">
        <v>36</v>
      </c>
      <c r="T96">
        <v>9</v>
      </c>
      <c r="U96">
        <v>12</v>
      </c>
      <c r="V96">
        <v>16</v>
      </c>
      <c r="W96">
        <v>0</v>
      </c>
      <c r="X96">
        <v>0</v>
      </c>
    </row>
    <row r="97" spans="1:24" x14ac:dyDescent="0.2">
      <c r="A97">
        <v>1091100</v>
      </c>
      <c r="B97" t="s">
        <v>96</v>
      </c>
      <c r="C97">
        <v>1100</v>
      </c>
      <c r="D97">
        <v>1100</v>
      </c>
      <c r="E97">
        <v>10000</v>
      </c>
      <c r="F97">
        <v>93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18</v>
      </c>
      <c r="Q97">
        <v>18</v>
      </c>
      <c r="R97">
        <v>0</v>
      </c>
      <c r="S97">
        <v>0</v>
      </c>
      <c r="T97">
        <v>9</v>
      </c>
      <c r="U97">
        <v>12</v>
      </c>
      <c r="V97">
        <v>16</v>
      </c>
      <c r="W97">
        <v>0</v>
      </c>
      <c r="X97">
        <v>0</v>
      </c>
    </row>
    <row r="98" spans="1:24" x14ac:dyDescent="0.2">
      <c r="A98">
        <v>1091200</v>
      </c>
      <c r="B98" t="s">
        <v>97</v>
      </c>
      <c r="C98">
        <v>1200</v>
      </c>
      <c r="D98">
        <v>1200</v>
      </c>
      <c r="E98">
        <v>10000</v>
      </c>
      <c r="F98">
        <v>93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18</v>
      </c>
      <c r="Q98">
        <v>18</v>
      </c>
      <c r="R98">
        <v>0</v>
      </c>
      <c r="S98">
        <v>0</v>
      </c>
      <c r="T98">
        <v>9</v>
      </c>
      <c r="U98">
        <v>12</v>
      </c>
      <c r="V98">
        <v>16</v>
      </c>
      <c r="W98">
        <v>0</v>
      </c>
      <c r="X98">
        <v>0</v>
      </c>
    </row>
    <row r="99" spans="1:24" x14ac:dyDescent="0.2">
      <c r="A99">
        <v>1091300</v>
      </c>
      <c r="B99" t="s">
        <v>98</v>
      </c>
      <c r="C99">
        <v>1300</v>
      </c>
      <c r="D99">
        <v>1300</v>
      </c>
      <c r="E99">
        <v>10000</v>
      </c>
      <c r="F99">
        <v>86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18</v>
      </c>
      <c r="Q99">
        <v>18</v>
      </c>
      <c r="R99">
        <v>0</v>
      </c>
      <c r="S99">
        <v>0</v>
      </c>
      <c r="T99">
        <v>9</v>
      </c>
      <c r="U99">
        <v>12</v>
      </c>
      <c r="V99">
        <v>16</v>
      </c>
      <c r="W99">
        <v>0</v>
      </c>
      <c r="X99">
        <v>0</v>
      </c>
    </row>
    <row r="100" spans="1:24" x14ac:dyDescent="0.2">
      <c r="A100">
        <v>1091400</v>
      </c>
      <c r="B100" t="s">
        <v>99</v>
      </c>
      <c r="C100">
        <v>1400</v>
      </c>
      <c r="D100">
        <v>1400</v>
      </c>
      <c r="E100">
        <v>10014</v>
      </c>
      <c r="F100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18</v>
      </c>
      <c r="Q100">
        <v>18</v>
      </c>
      <c r="R100">
        <v>0</v>
      </c>
      <c r="S100">
        <v>36</v>
      </c>
      <c r="T100">
        <v>9</v>
      </c>
      <c r="U100">
        <v>12</v>
      </c>
      <c r="V100">
        <v>16</v>
      </c>
      <c r="W100">
        <v>0</v>
      </c>
      <c r="X100">
        <v>0</v>
      </c>
    </row>
    <row r="101" spans="1:24" x14ac:dyDescent="0.2">
      <c r="A101">
        <v>1091500</v>
      </c>
      <c r="B101" t="s">
        <v>100</v>
      </c>
      <c r="C101">
        <v>1500</v>
      </c>
      <c r="D101">
        <v>1500</v>
      </c>
      <c r="E101">
        <v>10015</v>
      </c>
      <c r="F101">
        <v>93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18</v>
      </c>
      <c r="Q101">
        <v>18</v>
      </c>
      <c r="R101">
        <v>0</v>
      </c>
      <c r="S101">
        <v>0</v>
      </c>
      <c r="T101">
        <v>9</v>
      </c>
      <c r="U101">
        <v>12</v>
      </c>
      <c r="V101">
        <v>16</v>
      </c>
      <c r="W101">
        <v>0</v>
      </c>
      <c r="X101">
        <v>0</v>
      </c>
    </row>
    <row r="102" spans="1:24" x14ac:dyDescent="0.2">
      <c r="A102">
        <v>1120000</v>
      </c>
      <c r="B102" t="s">
        <v>101</v>
      </c>
      <c r="C102">
        <v>0</v>
      </c>
      <c r="D102">
        <v>0</v>
      </c>
      <c r="E102">
        <v>10000</v>
      </c>
      <c r="F102">
        <v>85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15</v>
      </c>
      <c r="Q102">
        <v>16</v>
      </c>
      <c r="R102">
        <v>0</v>
      </c>
      <c r="S102">
        <v>0</v>
      </c>
      <c r="T102">
        <v>9</v>
      </c>
      <c r="U102">
        <v>4</v>
      </c>
      <c r="V102">
        <v>8</v>
      </c>
      <c r="W102">
        <v>0</v>
      </c>
      <c r="X102">
        <v>0</v>
      </c>
    </row>
    <row r="103" spans="1:24" x14ac:dyDescent="0.2">
      <c r="A103">
        <v>1140000</v>
      </c>
      <c r="B103" t="s">
        <v>102</v>
      </c>
      <c r="C103">
        <v>2200</v>
      </c>
      <c r="D103">
        <v>4600</v>
      </c>
      <c r="E103">
        <v>10000</v>
      </c>
      <c r="F103">
        <v>59</v>
      </c>
      <c r="G103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8</v>
      </c>
      <c r="Q103">
        <v>45</v>
      </c>
      <c r="R103">
        <v>45</v>
      </c>
      <c r="S103">
        <v>0</v>
      </c>
      <c r="T103">
        <v>15</v>
      </c>
      <c r="U103">
        <v>5</v>
      </c>
      <c r="V103">
        <v>14</v>
      </c>
      <c r="W103">
        <v>18</v>
      </c>
      <c r="X103">
        <v>0</v>
      </c>
    </row>
    <row r="104" spans="1:24" x14ac:dyDescent="0.2">
      <c r="A104">
        <v>1150000</v>
      </c>
      <c r="B104" t="s">
        <v>103</v>
      </c>
      <c r="C104">
        <v>0</v>
      </c>
      <c r="D104">
        <v>0</v>
      </c>
      <c r="E104">
        <v>10000</v>
      </c>
      <c r="F104">
        <v>72</v>
      </c>
      <c r="G104">
        <v>0</v>
      </c>
      <c r="H104">
        <v>0</v>
      </c>
      <c r="I104">
        <v>0</v>
      </c>
      <c r="J104">
        <v>22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25</v>
      </c>
      <c r="Q104">
        <v>40</v>
      </c>
      <c r="R104">
        <v>15</v>
      </c>
      <c r="S104">
        <v>15</v>
      </c>
      <c r="T104">
        <v>19</v>
      </c>
      <c r="U104">
        <v>6</v>
      </c>
      <c r="V104">
        <v>11</v>
      </c>
      <c r="W104">
        <v>11</v>
      </c>
      <c r="X104">
        <v>11</v>
      </c>
    </row>
    <row r="105" spans="1:24" x14ac:dyDescent="0.2">
      <c r="A105">
        <v>1150100</v>
      </c>
      <c r="B105" t="s">
        <v>104</v>
      </c>
      <c r="C105">
        <v>200</v>
      </c>
      <c r="D105">
        <v>100</v>
      </c>
      <c r="E105">
        <v>10000</v>
      </c>
      <c r="F105">
        <v>72</v>
      </c>
      <c r="G105">
        <v>0</v>
      </c>
      <c r="H105">
        <v>0</v>
      </c>
      <c r="I105">
        <v>0</v>
      </c>
      <c r="J105">
        <v>22</v>
      </c>
      <c r="K105">
        <v>1</v>
      </c>
      <c r="L105">
        <v>0</v>
      </c>
      <c r="M105">
        <v>0</v>
      </c>
      <c r="N105">
        <v>0</v>
      </c>
      <c r="O105">
        <v>0</v>
      </c>
      <c r="P105">
        <v>42</v>
      </c>
      <c r="Q105">
        <v>0</v>
      </c>
      <c r="R105">
        <v>15</v>
      </c>
      <c r="S105">
        <v>15</v>
      </c>
      <c r="T105">
        <v>19</v>
      </c>
      <c r="U105">
        <v>6</v>
      </c>
      <c r="V105">
        <v>11</v>
      </c>
      <c r="W105">
        <v>11</v>
      </c>
      <c r="X105">
        <v>11</v>
      </c>
    </row>
    <row r="106" spans="1:24" x14ac:dyDescent="0.2">
      <c r="A106">
        <v>1150200</v>
      </c>
      <c r="B106" t="s">
        <v>105</v>
      </c>
      <c r="C106">
        <v>100</v>
      </c>
      <c r="D106">
        <v>200</v>
      </c>
      <c r="E106">
        <v>10000</v>
      </c>
      <c r="F106">
        <v>72</v>
      </c>
      <c r="G106">
        <v>0</v>
      </c>
      <c r="H106">
        <v>0</v>
      </c>
      <c r="I106">
        <v>0</v>
      </c>
      <c r="J106">
        <v>22</v>
      </c>
      <c r="K106">
        <v>2</v>
      </c>
      <c r="L106">
        <v>0</v>
      </c>
      <c r="M106">
        <v>0</v>
      </c>
      <c r="N106">
        <v>0</v>
      </c>
      <c r="O106">
        <v>0</v>
      </c>
      <c r="P106">
        <v>12</v>
      </c>
      <c r="Q106">
        <v>42</v>
      </c>
      <c r="R106">
        <v>15</v>
      </c>
      <c r="S106">
        <v>15</v>
      </c>
      <c r="T106">
        <v>19</v>
      </c>
      <c r="U106">
        <v>6</v>
      </c>
      <c r="V106">
        <v>11</v>
      </c>
      <c r="W106">
        <v>11</v>
      </c>
      <c r="X106">
        <v>11</v>
      </c>
    </row>
    <row r="107" spans="1:24" x14ac:dyDescent="0.2">
      <c r="A107">
        <v>1150300</v>
      </c>
      <c r="B107" t="s">
        <v>106</v>
      </c>
      <c r="C107">
        <v>300</v>
      </c>
      <c r="D107">
        <v>300</v>
      </c>
      <c r="E107">
        <v>10000</v>
      </c>
      <c r="F107">
        <v>72</v>
      </c>
      <c r="G107">
        <v>0</v>
      </c>
      <c r="H107">
        <v>0</v>
      </c>
      <c r="I107">
        <v>0</v>
      </c>
      <c r="J107">
        <v>22</v>
      </c>
      <c r="K107">
        <v>8</v>
      </c>
      <c r="L107">
        <v>0</v>
      </c>
      <c r="M107">
        <v>0</v>
      </c>
      <c r="N107">
        <v>0</v>
      </c>
      <c r="O107">
        <v>0</v>
      </c>
      <c r="P107">
        <v>42</v>
      </c>
      <c r="Q107">
        <v>47</v>
      </c>
      <c r="R107">
        <v>15</v>
      </c>
      <c r="S107">
        <v>15</v>
      </c>
      <c r="T107">
        <v>19</v>
      </c>
      <c r="U107">
        <v>6</v>
      </c>
      <c r="V107">
        <v>11</v>
      </c>
      <c r="W107">
        <v>11</v>
      </c>
      <c r="X107">
        <v>11</v>
      </c>
    </row>
    <row r="108" spans="1:24" x14ac:dyDescent="0.2">
      <c r="A108">
        <v>1150400</v>
      </c>
      <c r="B108" t="s">
        <v>107</v>
      </c>
      <c r="C108">
        <v>500</v>
      </c>
      <c r="D108">
        <v>500</v>
      </c>
      <c r="E108">
        <v>10000</v>
      </c>
      <c r="F108">
        <v>72</v>
      </c>
      <c r="G108">
        <v>72</v>
      </c>
      <c r="H108">
        <v>0</v>
      </c>
      <c r="I108">
        <v>0</v>
      </c>
      <c r="J108">
        <v>22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25</v>
      </c>
      <c r="Q108">
        <v>40</v>
      </c>
      <c r="R108">
        <v>65</v>
      </c>
      <c r="S108">
        <v>15</v>
      </c>
      <c r="T108">
        <v>19</v>
      </c>
      <c r="U108">
        <v>6</v>
      </c>
      <c r="V108">
        <v>11</v>
      </c>
      <c r="W108">
        <v>11</v>
      </c>
      <c r="X108">
        <v>11</v>
      </c>
    </row>
    <row r="109" spans="1:24" x14ac:dyDescent="0.2">
      <c r="A109">
        <v>1150500</v>
      </c>
      <c r="B109" t="s">
        <v>108</v>
      </c>
      <c r="C109">
        <v>400</v>
      </c>
      <c r="D109">
        <v>400</v>
      </c>
      <c r="E109">
        <v>10000</v>
      </c>
      <c r="F109">
        <v>82</v>
      </c>
      <c r="G109">
        <v>82</v>
      </c>
      <c r="H109">
        <v>0</v>
      </c>
      <c r="I109">
        <v>0</v>
      </c>
      <c r="J109">
        <v>22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25</v>
      </c>
      <c r="Q109">
        <v>40</v>
      </c>
      <c r="R109">
        <v>65</v>
      </c>
      <c r="S109">
        <v>15</v>
      </c>
      <c r="T109">
        <v>19</v>
      </c>
      <c r="U109">
        <v>6</v>
      </c>
      <c r="V109">
        <v>11</v>
      </c>
      <c r="W109">
        <v>11</v>
      </c>
      <c r="X109">
        <v>11</v>
      </c>
    </row>
    <row r="110" spans="1:24" x14ac:dyDescent="0.2">
      <c r="A110">
        <v>1150600</v>
      </c>
      <c r="B110" t="s">
        <v>109</v>
      </c>
      <c r="C110">
        <v>600</v>
      </c>
      <c r="D110">
        <v>600</v>
      </c>
      <c r="E110">
        <v>10000</v>
      </c>
      <c r="F110">
        <v>72</v>
      </c>
      <c r="G110">
        <v>0</v>
      </c>
      <c r="H110">
        <v>72</v>
      </c>
      <c r="I110">
        <v>0</v>
      </c>
      <c r="J110">
        <v>22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25</v>
      </c>
      <c r="Q110">
        <v>40</v>
      </c>
      <c r="R110">
        <v>15</v>
      </c>
      <c r="S110">
        <v>15</v>
      </c>
      <c r="T110">
        <v>19</v>
      </c>
      <c r="U110">
        <v>6</v>
      </c>
      <c r="V110">
        <v>11</v>
      </c>
      <c r="W110">
        <v>11</v>
      </c>
      <c r="X110">
        <v>11</v>
      </c>
    </row>
    <row r="111" spans="1:24" x14ac:dyDescent="0.2">
      <c r="A111">
        <v>1150700</v>
      </c>
      <c r="B111" t="s">
        <v>110</v>
      </c>
      <c r="C111">
        <v>700</v>
      </c>
      <c r="D111">
        <v>700</v>
      </c>
      <c r="E111">
        <v>10000</v>
      </c>
      <c r="F111">
        <v>82</v>
      </c>
      <c r="G111">
        <v>0</v>
      </c>
      <c r="H111">
        <v>82</v>
      </c>
      <c r="I111">
        <v>0</v>
      </c>
      <c r="J111">
        <v>22</v>
      </c>
      <c r="K111">
        <v>0</v>
      </c>
      <c r="L111">
        <v>0</v>
      </c>
      <c r="M111">
        <v>4</v>
      </c>
      <c r="N111">
        <v>0</v>
      </c>
      <c r="O111">
        <v>0</v>
      </c>
      <c r="P111">
        <v>25</v>
      </c>
      <c r="Q111">
        <v>40</v>
      </c>
      <c r="R111">
        <v>65</v>
      </c>
      <c r="S111">
        <v>65</v>
      </c>
      <c r="T111">
        <v>19</v>
      </c>
      <c r="U111">
        <v>6</v>
      </c>
      <c r="V111">
        <v>11</v>
      </c>
      <c r="W111">
        <v>11</v>
      </c>
      <c r="X111">
        <v>11</v>
      </c>
    </row>
    <row r="112" spans="1:24" x14ac:dyDescent="0.2">
      <c r="A112">
        <v>1150800</v>
      </c>
      <c r="B112" t="s">
        <v>111</v>
      </c>
      <c r="C112">
        <v>800</v>
      </c>
      <c r="D112">
        <v>800</v>
      </c>
      <c r="E112">
        <v>10000</v>
      </c>
      <c r="F112">
        <v>82</v>
      </c>
      <c r="G112">
        <v>0</v>
      </c>
      <c r="H112">
        <v>0</v>
      </c>
      <c r="I112">
        <v>82</v>
      </c>
      <c r="J112">
        <v>22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25</v>
      </c>
      <c r="Q112">
        <v>40</v>
      </c>
      <c r="R112">
        <v>15</v>
      </c>
      <c r="S112">
        <v>65</v>
      </c>
      <c r="T112">
        <v>19</v>
      </c>
      <c r="U112">
        <v>6</v>
      </c>
      <c r="V112">
        <v>11</v>
      </c>
      <c r="W112">
        <v>11</v>
      </c>
      <c r="X112">
        <v>11</v>
      </c>
    </row>
    <row r="113" spans="1:24" x14ac:dyDescent="0.2">
      <c r="A113">
        <v>1150900</v>
      </c>
      <c r="B113" t="s">
        <v>112</v>
      </c>
      <c r="C113">
        <v>900</v>
      </c>
      <c r="D113">
        <v>900</v>
      </c>
      <c r="E113">
        <v>10000</v>
      </c>
      <c r="F113">
        <v>67</v>
      </c>
      <c r="G113">
        <v>0</v>
      </c>
      <c r="H113">
        <v>0</v>
      </c>
      <c r="I113">
        <v>0</v>
      </c>
      <c r="J113">
        <v>94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25</v>
      </c>
      <c r="Q113">
        <v>40</v>
      </c>
      <c r="R113">
        <v>15</v>
      </c>
      <c r="S113">
        <v>15</v>
      </c>
      <c r="T113">
        <v>19</v>
      </c>
      <c r="U113">
        <v>6</v>
      </c>
      <c r="V113">
        <v>11</v>
      </c>
      <c r="W113">
        <v>11</v>
      </c>
      <c r="X113">
        <v>11</v>
      </c>
    </row>
    <row r="114" spans="1:24" x14ac:dyDescent="0.2">
      <c r="A114">
        <v>1151000</v>
      </c>
      <c r="B114" t="s">
        <v>113</v>
      </c>
      <c r="C114">
        <v>1000</v>
      </c>
      <c r="D114">
        <v>1000</v>
      </c>
      <c r="E114">
        <v>10000</v>
      </c>
      <c r="F114">
        <v>62</v>
      </c>
      <c r="G114">
        <v>0</v>
      </c>
      <c r="H114">
        <v>0</v>
      </c>
      <c r="I114">
        <v>0</v>
      </c>
      <c r="J114">
        <v>89</v>
      </c>
      <c r="K114">
        <v>0</v>
      </c>
      <c r="L114">
        <v>0</v>
      </c>
      <c r="M114">
        <v>0</v>
      </c>
      <c r="N114">
        <v>0</v>
      </c>
      <c r="O114">
        <v>4</v>
      </c>
      <c r="P114">
        <v>25</v>
      </c>
      <c r="Q114">
        <v>40</v>
      </c>
      <c r="R114">
        <v>65</v>
      </c>
      <c r="S114">
        <v>65</v>
      </c>
      <c r="T114">
        <v>19</v>
      </c>
      <c r="U114">
        <v>6</v>
      </c>
      <c r="V114">
        <v>11</v>
      </c>
      <c r="W114">
        <v>11</v>
      </c>
      <c r="X114">
        <v>11</v>
      </c>
    </row>
    <row r="115" spans="1:24" x14ac:dyDescent="0.2">
      <c r="A115">
        <v>1151100</v>
      </c>
      <c r="B115" t="s">
        <v>114</v>
      </c>
      <c r="C115">
        <v>1100</v>
      </c>
      <c r="D115">
        <v>1100</v>
      </c>
      <c r="E115">
        <v>10000</v>
      </c>
      <c r="F115">
        <v>72</v>
      </c>
      <c r="G115">
        <v>0</v>
      </c>
      <c r="H115">
        <v>0</v>
      </c>
      <c r="I115">
        <v>0</v>
      </c>
      <c r="J115">
        <v>22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25</v>
      </c>
      <c r="Q115">
        <v>40</v>
      </c>
      <c r="R115">
        <v>15</v>
      </c>
      <c r="S115">
        <v>15</v>
      </c>
      <c r="T115">
        <v>19</v>
      </c>
      <c r="U115">
        <v>6</v>
      </c>
      <c r="V115">
        <v>11</v>
      </c>
      <c r="W115">
        <v>11</v>
      </c>
      <c r="X115">
        <v>11</v>
      </c>
    </row>
    <row r="116" spans="1:24" x14ac:dyDescent="0.2">
      <c r="A116">
        <v>1151200</v>
      </c>
      <c r="B116" t="s">
        <v>115</v>
      </c>
      <c r="C116">
        <v>1200</v>
      </c>
      <c r="D116">
        <v>1200</v>
      </c>
      <c r="E116">
        <v>10000</v>
      </c>
      <c r="F116">
        <v>72</v>
      </c>
      <c r="G116">
        <v>0</v>
      </c>
      <c r="H116">
        <v>0</v>
      </c>
      <c r="I116">
        <v>0</v>
      </c>
      <c r="J116">
        <v>22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25</v>
      </c>
      <c r="Q116">
        <v>40</v>
      </c>
      <c r="R116">
        <v>15</v>
      </c>
      <c r="S116">
        <v>15</v>
      </c>
      <c r="T116">
        <v>19</v>
      </c>
      <c r="U116">
        <v>6</v>
      </c>
      <c r="V116">
        <v>11</v>
      </c>
      <c r="W116">
        <v>11</v>
      </c>
      <c r="X116">
        <v>11</v>
      </c>
    </row>
    <row r="117" spans="1:24" x14ac:dyDescent="0.2">
      <c r="A117">
        <v>1151300</v>
      </c>
      <c r="B117" t="s">
        <v>116</v>
      </c>
      <c r="C117">
        <v>1300</v>
      </c>
      <c r="D117">
        <v>1300</v>
      </c>
      <c r="E117">
        <v>10000</v>
      </c>
      <c r="F117">
        <v>72</v>
      </c>
      <c r="G117">
        <v>0</v>
      </c>
      <c r="H117">
        <v>0</v>
      </c>
      <c r="I117">
        <v>0</v>
      </c>
      <c r="J117">
        <v>22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25</v>
      </c>
      <c r="Q117">
        <v>40</v>
      </c>
      <c r="R117">
        <v>15</v>
      </c>
      <c r="S117">
        <v>15</v>
      </c>
      <c r="T117">
        <v>19</v>
      </c>
      <c r="U117">
        <v>6</v>
      </c>
      <c r="V117">
        <v>11</v>
      </c>
      <c r="W117">
        <v>11</v>
      </c>
      <c r="X117">
        <v>11</v>
      </c>
    </row>
    <row r="118" spans="1:24" x14ac:dyDescent="0.2">
      <c r="A118">
        <v>1151400</v>
      </c>
      <c r="B118" t="s">
        <v>117</v>
      </c>
      <c r="C118">
        <v>1400</v>
      </c>
      <c r="D118">
        <v>1400</v>
      </c>
      <c r="E118">
        <v>10014</v>
      </c>
      <c r="F118">
        <v>72</v>
      </c>
      <c r="G118">
        <v>0</v>
      </c>
      <c r="H118">
        <v>0</v>
      </c>
      <c r="I118">
        <v>0</v>
      </c>
      <c r="J118">
        <v>22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25</v>
      </c>
      <c r="Q118">
        <v>40</v>
      </c>
      <c r="R118">
        <v>15</v>
      </c>
      <c r="S118">
        <v>65</v>
      </c>
      <c r="T118">
        <v>19</v>
      </c>
      <c r="U118">
        <v>6</v>
      </c>
      <c r="V118">
        <v>11</v>
      </c>
      <c r="W118">
        <v>11</v>
      </c>
      <c r="X118">
        <v>11</v>
      </c>
    </row>
    <row r="119" spans="1:24" x14ac:dyDescent="0.2">
      <c r="A119">
        <v>1151500</v>
      </c>
      <c r="B119" t="s">
        <v>118</v>
      </c>
      <c r="C119">
        <v>1500</v>
      </c>
      <c r="D119">
        <v>1500</v>
      </c>
      <c r="E119">
        <v>10015</v>
      </c>
      <c r="F119">
        <v>72</v>
      </c>
      <c r="G119">
        <v>0</v>
      </c>
      <c r="H119">
        <v>0</v>
      </c>
      <c r="I119">
        <v>0</v>
      </c>
      <c r="J119">
        <v>22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25</v>
      </c>
      <c r="Q119">
        <v>40</v>
      </c>
      <c r="R119">
        <v>15</v>
      </c>
      <c r="S119">
        <v>15</v>
      </c>
      <c r="T119">
        <v>19</v>
      </c>
      <c r="U119">
        <v>6</v>
      </c>
      <c r="V119">
        <v>11</v>
      </c>
      <c r="W119">
        <v>11</v>
      </c>
      <c r="X119">
        <v>11</v>
      </c>
    </row>
    <row r="120" spans="1:24" x14ac:dyDescent="0.2">
      <c r="A120">
        <v>2000000</v>
      </c>
      <c r="B120" t="s">
        <v>119</v>
      </c>
      <c r="C120">
        <v>0</v>
      </c>
      <c r="D120">
        <v>0</v>
      </c>
      <c r="E120">
        <v>10000</v>
      </c>
      <c r="F120">
        <v>99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40</v>
      </c>
      <c r="Q120">
        <v>51</v>
      </c>
      <c r="R120">
        <v>0</v>
      </c>
      <c r="S120">
        <v>0</v>
      </c>
      <c r="T120">
        <v>27</v>
      </c>
      <c r="U120">
        <v>8</v>
      </c>
      <c r="V120">
        <v>10</v>
      </c>
      <c r="W120">
        <v>0</v>
      </c>
      <c r="X120">
        <v>0</v>
      </c>
    </row>
    <row r="121" spans="1:24" x14ac:dyDescent="0.2">
      <c r="A121">
        <v>2000100</v>
      </c>
      <c r="B121" t="s">
        <v>120</v>
      </c>
      <c r="C121">
        <v>200</v>
      </c>
      <c r="D121">
        <v>100</v>
      </c>
      <c r="E121">
        <v>10000</v>
      </c>
      <c r="F121">
        <v>99</v>
      </c>
      <c r="G121">
        <v>0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45</v>
      </c>
      <c r="Q121">
        <v>0</v>
      </c>
      <c r="R121">
        <v>0</v>
      </c>
      <c r="S121">
        <v>0</v>
      </c>
      <c r="T121">
        <v>27</v>
      </c>
      <c r="U121">
        <v>8</v>
      </c>
      <c r="V121">
        <v>10</v>
      </c>
      <c r="W121">
        <v>0</v>
      </c>
      <c r="X121">
        <v>0</v>
      </c>
    </row>
    <row r="122" spans="1:24" x14ac:dyDescent="0.2">
      <c r="A122">
        <v>2000200</v>
      </c>
      <c r="B122" t="s">
        <v>121</v>
      </c>
      <c r="C122">
        <v>100</v>
      </c>
      <c r="D122">
        <v>5000</v>
      </c>
      <c r="E122">
        <v>10000</v>
      </c>
      <c r="F122">
        <v>99</v>
      </c>
      <c r="G122">
        <v>0</v>
      </c>
      <c r="H122">
        <v>0</v>
      </c>
      <c r="I122">
        <v>0</v>
      </c>
      <c r="J122">
        <v>0</v>
      </c>
      <c r="K122">
        <v>2</v>
      </c>
      <c r="L122">
        <v>0</v>
      </c>
      <c r="M122">
        <v>0</v>
      </c>
      <c r="N122">
        <v>0</v>
      </c>
      <c r="O122">
        <v>0</v>
      </c>
      <c r="P122">
        <v>26</v>
      </c>
      <c r="Q122">
        <v>56</v>
      </c>
      <c r="R122">
        <v>0</v>
      </c>
      <c r="S122">
        <v>0</v>
      </c>
      <c r="T122">
        <v>27</v>
      </c>
      <c r="U122">
        <v>8</v>
      </c>
      <c r="V122">
        <v>10</v>
      </c>
      <c r="W122">
        <v>0</v>
      </c>
      <c r="X122">
        <v>0</v>
      </c>
    </row>
    <row r="123" spans="1:24" x14ac:dyDescent="0.2">
      <c r="A123">
        <v>2000300</v>
      </c>
      <c r="B123" t="s">
        <v>122</v>
      </c>
      <c r="C123">
        <v>300</v>
      </c>
      <c r="D123">
        <v>300</v>
      </c>
      <c r="E123">
        <v>10000</v>
      </c>
      <c r="F123">
        <v>99</v>
      </c>
      <c r="G123">
        <v>0</v>
      </c>
      <c r="H123">
        <v>0</v>
      </c>
      <c r="I123">
        <v>0</v>
      </c>
      <c r="J123">
        <v>0</v>
      </c>
      <c r="K123">
        <v>8</v>
      </c>
      <c r="L123">
        <v>0</v>
      </c>
      <c r="M123">
        <v>0</v>
      </c>
      <c r="N123">
        <v>0</v>
      </c>
      <c r="O123">
        <v>0</v>
      </c>
      <c r="P123">
        <v>55</v>
      </c>
      <c r="Q123">
        <v>55</v>
      </c>
      <c r="R123">
        <v>0</v>
      </c>
      <c r="S123">
        <v>0</v>
      </c>
      <c r="T123">
        <v>27</v>
      </c>
      <c r="U123">
        <v>8</v>
      </c>
      <c r="V123">
        <v>10</v>
      </c>
      <c r="W123">
        <v>0</v>
      </c>
      <c r="X123">
        <v>0</v>
      </c>
    </row>
    <row r="124" spans="1:24" x14ac:dyDescent="0.2">
      <c r="A124">
        <v>2000400</v>
      </c>
      <c r="B124" t="s">
        <v>123</v>
      </c>
      <c r="C124">
        <v>500</v>
      </c>
      <c r="D124">
        <v>500</v>
      </c>
      <c r="E124">
        <v>10000</v>
      </c>
      <c r="F124">
        <v>99</v>
      </c>
      <c r="G124">
        <v>99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40</v>
      </c>
      <c r="Q124">
        <v>51</v>
      </c>
      <c r="R124">
        <v>91</v>
      </c>
      <c r="S124">
        <v>0</v>
      </c>
      <c r="T124">
        <v>27</v>
      </c>
      <c r="U124">
        <v>8</v>
      </c>
      <c r="V124">
        <v>10</v>
      </c>
      <c r="W124">
        <v>0</v>
      </c>
      <c r="X124">
        <v>0</v>
      </c>
    </row>
    <row r="125" spans="1:24" x14ac:dyDescent="0.2">
      <c r="A125">
        <v>2000500</v>
      </c>
      <c r="B125" t="s">
        <v>124</v>
      </c>
      <c r="C125">
        <v>400</v>
      </c>
      <c r="D125">
        <v>400</v>
      </c>
      <c r="E125">
        <v>10000</v>
      </c>
      <c r="F125">
        <v>99</v>
      </c>
      <c r="G125">
        <v>99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40</v>
      </c>
      <c r="Q125">
        <v>51</v>
      </c>
      <c r="R125">
        <v>91</v>
      </c>
      <c r="S125">
        <v>0</v>
      </c>
      <c r="T125">
        <v>27</v>
      </c>
      <c r="U125">
        <v>8</v>
      </c>
      <c r="V125">
        <v>10</v>
      </c>
      <c r="W125">
        <v>0</v>
      </c>
      <c r="X125">
        <v>0</v>
      </c>
    </row>
    <row r="126" spans="1:24" x14ac:dyDescent="0.2">
      <c r="A126">
        <v>2000600</v>
      </c>
      <c r="B126" t="s">
        <v>125</v>
      </c>
      <c r="C126">
        <v>600</v>
      </c>
      <c r="D126">
        <v>600</v>
      </c>
      <c r="E126">
        <v>10000</v>
      </c>
      <c r="F126">
        <v>104</v>
      </c>
      <c r="G126">
        <v>0</v>
      </c>
      <c r="H126">
        <v>104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40</v>
      </c>
      <c r="Q126">
        <v>51</v>
      </c>
      <c r="R126">
        <v>0</v>
      </c>
      <c r="S126">
        <v>0</v>
      </c>
      <c r="T126">
        <v>27</v>
      </c>
      <c r="U126">
        <v>8</v>
      </c>
      <c r="V126">
        <v>10</v>
      </c>
      <c r="W126">
        <v>0</v>
      </c>
      <c r="X126">
        <v>0</v>
      </c>
    </row>
    <row r="127" spans="1:24" x14ac:dyDescent="0.2">
      <c r="A127">
        <v>2000700</v>
      </c>
      <c r="B127" t="s">
        <v>126</v>
      </c>
      <c r="C127">
        <v>700</v>
      </c>
      <c r="D127">
        <v>700</v>
      </c>
      <c r="E127">
        <v>10000</v>
      </c>
      <c r="F127">
        <v>99</v>
      </c>
      <c r="G127">
        <v>0</v>
      </c>
      <c r="H127">
        <v>99</v>
      </c>
      <c r="I127">
        <v>0</v>
      </c>
      <c r="J127">
        <v>0</v>
      </c>
      <c r="K127">
        <v>0</v>
      </c>
      <c r="L127">
        <v>0</v>
      </c>
      <c r="M127">
        <v>4</v>
      </c>
      <c r="N127">
        <v>0</v>
      </c>
      <c r="O127">
        <v>0</v>
      </c>
      <c r="P127">
        <v>40</v>
      </c>
      <c r="Q127">
        <v>51</v>
      </c>
      <c r="R127">
        <v>91</v>
      </c>
      <c r="S127">
        <v>91</v>
      </c>
      <c r="T127">
        <v>27</v>
      </c>
      <c r="U127">
        <v>8</v>
      </c>
      <c r="V127">
        <v>10</v>
      </c>
      <c r="W127">
        <v>0</v>
      </c>
      <c r="X127">
        <v>0</v>
      </c>
    </row>
    <row r="128" spans="1:24" x14ac:dyDescent="0.2">
      <c r="A128">
        <v>2000800</v>
      </c>
      <c r="B128" t="s">
        <v>127</v>
      </c>
      <c r="C128">
        <v>800</v>
      </c>
      <c r="D128">
        <v>800</v>
      </c>
      <c r="E128">
        <v>10000</v>
      </c>
      <c r="F128">
        <v>99</v>
      </c>
      <c r="G128">
        <v>0</v>
      </c>
      <c r="H128">
        <v>0</v>
      </c>
      <c r="I128">
        <v>99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40</v>
      </c>
      <c r="Q128">
        <v>51</v>
      </c>
      <c r="R128">
        <v>0</v>
      </c>
      <c r="S128">
        <v>91</v>
      </c>
      <c r="T128">
        <v>27</v>
      </c>
      <c r="U128">
        <v>8</v>
      </c>
      <c r="V128">
        <v>10</v>
      </c>
      <c r="W128">
        <v>0</v>
      </c>
      <c r="X128">
        <v>0</v>
      </c>
    </row>
    <row r="129" spans="1:24" x14ac:dyDescent="0.2">
      <c r="A129">
        <v>2000900</v>
      </c>
      <c r="B129" t="s">
        <v>128</v>
      </c>
      <c r="C129">
        <v>900</v>
      </c>
      <c r="D129">
        <v>900</v>
      </c>
      <c r="E129">
        <v>10000</v>
      </c>
      <c r="F129">
        <v>104</v>
      </c>
      <c r="G129">
        <v>0</v>
      </c>
      <c r="H129">
        <v>0</v>
      </c>
      <c r="I129">
        <v>0</v>
      </c>
      <c r="J129">
        <v>104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40</v>
      </c>
      <c r="Q129">
        <v>51</v>
      </c>
      <c r="R129">
        <v>0</v>
      </c>
      <c r="S129">
        <v>0</v>
      </c>
      <c r="T129">
        <v>27</v>
      </c>
      <c r="U129">
        <v>8</v>
      </c>
      <c r="V129">
        <v>10</v>
      </c>
      <c r="W129">
        <v>0</v>
      </c>
      <c r="X129">
        <v>0</v>
      </c>
    </row>
    <row r="130" spans="1:24" x14ac:dyDescent="0.2">
      <c r="A130">
        <v>2001000</v>
      </c>
      <c r="B130" t="s">
        <v>129</v>
      </c>
      <c r="C130">
        <v>1000</v>
      </c>
      <c r="D130">
        <v>1000</v>
      </c>
      <c r="E130">
        <v>10000</v>
      </c>
      <c r="F130">
        <v>99</v>
      </c>
      <c r="G130">
        <v>0</v>
      </c>
      <c r="H130">
        <v>0</v>
      </c>
      <c r="I130">
        <v>0</v>
      </c>
      <c r="J130">
        <v>99</v>
      </c>
      <c r="K130">
        <v>0</v>
      </c>
      <c r="L130">
        <v>0</v>
      </c>
      <c r="M130">
        <v>0</v>
      </c>
      <c r="N130">
        <v>0</v>
      </c>
      <c r="O130">
        <v>4</v>
      </c>
      <c r="P130">
        <v>40</v>
      </c>
      <c r="Q130">
        <v>51</v>
      </c>
      <c r="R130">
        <v>91</v>
      </c>
      <c r="S130">
        <v>91</v>
      </c>
      <c r="T130">
        <v>27</v>
      </c>
      <c r="U130">
        <v>8</v>
      </c>
      <c r="V130">
        <v>10</v>
      </c>
      <c r="W130">
        <v>0</v>
      </c>
      <c r="X130">
        <v>0</v>
      </c>
    </row>
    <row r="131" spans="1:24" x14ac:dyDescent="0.2">
      <c r="A131">
        <v>2001100</v>
      </c>
      <c r="B131" t="s">
        <v>130</v>
      </c>
      <c r="C131">
        <v>1100</v>
      </c>
      <c r="D131">
        <v>1100</v>
      </c>
      <c r="E131">
        <v>10000</v>
      </c>
      <c r="F131">
        <v>99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40</v>
      </c>
      <c r="Q131">
        <v>51</v>
      </c>
      <c r="R131">
        <v>0</v>
      </c>
      <c r="S131">
        <v>0</v>
      </c>
      <c r="T131">
        <v>27</v>
      </c>
      <c r="U131">
        <v>8</v>
      </c>
      <c r="V131">
        <v>10</v>
      </c>
      <c r="W131">
        <v>0</v>
      </c>
      <c r="X131">
        <v>0</v>
      </c>
    </row>
    <row r="132" spans="1:24" x14ac:dyDescent="0.2">
      <c r="A132">
        <v>2001200</v>
      </c>
      <c r="B132" t="s">
        <v>131</v>
      </c>
      <c r="C132">
        <v>1200</v>
      </c>
      <c r="D132">
        <v>1200</v>
      </c>
      <c r="E132">
        <v>10000</v>
      </c>
      <c r="F132">
        <v>99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</v>
      </c>
      <c r="Q132">
        <v>51</v>
      </c>
      <c r="R132">
        <v>0</v>
      </c>
      <c r="S132">
        <v>0</v>
      </c>
      <c r="T132">
        <v>27</v>
      </c>
      <c r="U132">
        <v>8</v>
      </c>
      <c r="V132">
        <v>10</v>
      </c>
      <c r="W132">
        <v>0</v>
      </c>
      <c r="X132">
        <v>0</v>
      </c>
    </row>
    <row r="133" spans="1:24" x14ac:dyDescent="0.2">
      <c r="A133">
        <v>2001300</v>
      </c>
      <c r="B133" t="s">
        <v>132</v>
      </c>
      <c r="C133">
        <v>1300</v>
      </c>
      <c r="D133">
        <v>1300</v>
      </c>
      <c r="E133">
        <v>10000</v>
      </c>
      <c r="F133">
        <v>109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40</v>
      </c>
      <c r="Q133">
        <v>51</v>
      </c>
      <c r="R133">
        <v>0</v>
      </c>
      <c r="S133">
        <v>0</v>
      </c>
      <c r="T133">
        <v>27</v>
      </c>
      <c r="U133">
        <v>8</v>
      </c>
      <c r="V133">
        <v>10</v>
      </c>
      <c r="W133">
        <v>0</v>
      </c>
      <c r="X133">
        <v>0</v>
      </c>
    </row>
    <row r="134" spans="1:24" x14ac:dyDescent="0.2">
      <c r="A134">
        <v>2001400</v>
      </c>
      <c r="B134" t="s">
        <v>133</v>
      </c>
      <c r="C134">
        <v>1400</v>
      </c>
      <c r="D134">
        <v>1400</v>
      </c>
      <c r="E134">
        <v>10014</v>
      </c>
      <c r="F134">
        <v>99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40</v>
      </c>
      <c r="Q134">
        <v>51</v>
      </c>
      <c r="R134">
        <v>0</v>
      </c>
      <c r="S134">
        <v>91</v>
      </c>
      <c r="T134">
        <v>27</v>
      </c>
      <c r="U134">
        <v>8</v>
      </c>
      <c r="V134">
        <v>10</v>
      </c>
      <c r="W134">
        <v>0</v>
      </c>
      <c r="X134">
        <v>0</v>
      </c>
    </row>
    <row r="135" spans="1:24" x14ac:dyDescent="0.2">
      <c r="A135">
        <v>2001500</v>
      </c>
      <c r="B135" t="s">
        <v>134</v>
      </c>
      <c r="C135">
        <v>1500</v>
      </c>
      <c r="D135">
        <v>1500</v>
      </c>
      <c r="E135">
        <v>10015</v>
      </c>
      <c r="F135">
        <v>99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40</v>
      </c>
      <c r="Q135">
        <v>51</v>
      </c>
      <c r="R135">
        <v>0</v>
      </c>
      <c r="S135">
        <v>0</v>
      </c>
      <c r="T135">
        <v>27</v>
      </c>
      <c r="U135">
        <v>8</v>
      </c>
      <c r="V135">
        <v>10</v>
      </c>
      <c r="W135">
        <v>0</v>
      </c>
      <c r="X135">
        <v>0</v>
      </c>
    </row>
    <row r="136" spans="1:24" x14ac:dyDescent="0.2">
      <c r="A136">
        <v>2010000</v>
      </c>
      <c r="B136" t="s">
        <v>135</v>
      </c>
      <c r="C136">
        <v>0</v>
      </c>
      <c r="D136">
        <v>0</v>
      </c>
      <c r="E136">
        <v>10000</v>
      </c>
      <c r="F136">
        <v>110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50</v>
      </c>
      <c r="Q136">
        <v>35</v>
      </c>
      <c r="R136">
        <v>0</v>
      </c>
      <c r="S136">
        <v>0</v>
      </c>
      <c r="T136">
        <v>25</v>
      </c>
      <c r="U136">
        <v>10</v>
      </c>
      <c r="V136">
        <v>10</v>
      </c>
      <c r="W136">
        <v>0</v>
      </c>
      <c r="X136">
        <v>0</v>
      </c>
    </row>
    <row r="137" spans="1:24" x14ac:dyDescent="0.2">
      <c r="A137">
        <v>2010100</v>
      </c>
      <c r="B137" t="s">
        <v>136</v>
      </c>
      <c r="C137">
        <v>200</v>
      </c>
      <c r="D137">
        <v>100</v>
      </c>
      <c r="E137">
        <v>10000</v>
      </c>
      <c r="F137">
        <v>110</v>
      </c>
      <c r="G137">
        <v>0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45</v>
      </c>
      <c r="Q137">
        <v>0</v>
      </c>
      <c r="R137">
        <v>0</v>
      </c>
      <c r="S137">
        <v>0</v>
      </c>
      <c r="T137">
        <v>25</v>
      </c>
      <c r="U137">
        <v>10</v>
      </c>
      <c r="V137">
        <v>10</v>
      </c>
      <c r="W137">
        <v>0</v>
      </c>
      <c r="X137">
        <v>0</v>
      </c>
    </row>
    <row r="138" spans="1:24" x14ac:dyDescent="0.2">
      <c r="A138">
        <v>2010200</v>
      </c>
      <c r="B138" t="s">
        <v>137</v>
      </c>
      <c r="C138">
        <v>100</v>
      </c>
      <c r="D138">
        <v>200</v>
      </c>
      <c r="E138">
        <v>10000</v>
      </c>
      <c r="F138">
        <v>110</v>
      </c>
      <c r="G138">
        <v>0</v>
      </c>
      <c r="H138">
        <v>0</v>
      </c>
      <c r="I138">
        <v>0</v>
      </c>
      <c r="J138">
        <v>0</v>
      </c>
      <c r="K138">
        <v>2</v>
      </c>
      <c r="L138">
        <v>0</v>
      </c>
      <c r="M138">
        <v>0</v>
      </c>
      <c r="N138">
        <v>0</v>
      </c>
      <c r="O138">
        <v>0</v>
      </c>
      <c r="P138">
        <v>17</v>
      </c>
      <c r="Q138">
        <v>45</v>
      </c>
      <c r="R138">
        <v>0</v>
      </c>
      <c r="S138">
        <v>0</v>
      </c>
      <c r="T138">
        <v>25</v>
      </c>
      <c r="U138">
        <v>10</v>
      </c>
      <c r="V138">
        <v>10</v>
      </c>
      <c r="W138">
        <v>0</v>
      </c>
      <c r="X138">
        <v>0</v>
      </c>
    </row>
    <row r="139" spans="1:24" x14ac:dyDescent="0.2">
      <c r="A139">
        <v>2010300</v>
      </c>
      <c r="B139" t="s">
        <v>138</v>
      </c>
      <c r="C139">
        <v>300</v>
      </c>
      <c r="D139">
        <v>300</v>
      </c>
      <c r="E139">
        <v>10000</v>
      </c>
      <c r="F139">
        <v>110</v>
      </c>
      <c r="G139">
        <v>0</v>
      </c>
      <c r="H139">
        <v>0</v>
      </c>
      <c r="I139">
        <v>0</v>
      </c>
      <c r="J139">
        <v>0</v>
      </c>
      <c r="K139">
        <v>8</v>
      </c>
      <c r="L139">
        <v>0</v>
      </c>
      <c r="M139">
        <v>0</v>
      </c>
      <c r="N139">
        <v>0</v>
      </c>
      <c r="O139">
        <v>0</v>
      </c>
      <c r="P139">
        <v>52</v>
      </c>
      <c r="Q139">
        <v>52</v>
      </c>
      <c r="R139">
        <v>0</v>
      </c>
      <c r="S139">
        <v>0</v>
      </c>
      <c r="T139">
        <v>25</v>
      </c>
      <c r="U139">
        <v>10</v>
      </c>
      <c r="V139">
        <v>10</v>
      </c>
      <c r="W139">
        <v>0</v>
      </c>
      <c r="X139">
        <v>0</v>
      </c>
    </row>
    <row r="140" spans="1:24" x14ac:dyDescent="0.2">
      <c r="A140">
        <v>2010400</v>
      </c>
      <c r="B140" t="s">
        <v>139</v>
      </c>
      <c r="C140">
        <v>500</v>
      </c>
      <c r="D140">
        <v>500</v>
      </c>
      <c r="E140">
        <v>10000</v>
      </c>
      <c r="F140">
        <v>106</v>
      </c>
      <c r="G140">
        <v>106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50</v>
      </c>
      <c r="Q140">
        <v>35</v>
      </c>
      <c r="R140">
        <v>85</v>
      </c>
      <c r="S140">
        <v>0</v>
      </c>
      <c r="T140">
        <v>25</v>
      </c>
      <c r="U140">
        <v>10</v>
      </c>
      <c r="V140">
        <v>10</v>
      </c>
      <c r="W140">
        <v>0</v>
      </c>
      <c r="X140">
        <v>0</v>
      </c>
    </row>
    <row r="141" spans="1:24" x14ac:dyDescent="0.2">
      <c r="A141">
        <v>2010500</v>
      </c>
      <c r="B141" t="s">
        <v>140</v>
      </c>
      <c r="C141">
        <v>400</v>
      </c>
      <c r="D141">
        <v>400</v>
      </c>
      <c r="E141">
        <v>10000</v>
      </c>
      <c r="F141">
        <v>106</v>
      </c>
      <c r="G141">
        <v>106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50</v>
      </c>
      <c r="Q141">
        <v>35</v>
      </c>
      <c r="R141">
        <v>85</v>
      </c>
      <c r="S141">
        <v>0</v>
      </c>
      <c r="T141">
        <v>25</v>
      </c>
      <c r="U141">
        <v>10</v>
      </c>
      <c r="V141">
        <v>10</v>
      </c>
      <c r="W141">
        <v>0</v>
      </c>
      <c r="X141">
        <v>0</v>
      </c>
    </row>
    <row r="142" spans="1:24" x14ac:dyDescent="0.2">
      <c r="A142">
        <v>2010600</v>
      </c>
      <c r="B142" t="s">
        <v>141</v>
      </c>
      <c r="C142">
        <v>600</v>
      </c>
      <c r="D142">
        <v>600</v>
      </c>
      <c r="E142">
        <v>10000</v>
      </c>
      <c r="F142">
        <v>110</v>
      </c>
      <c r="G142">
        <v>0</v>
      </c>
      <c r="H142">
        <v>110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50</v>
      </c>
      <c r="Q142">
        <v>35</v>
      </c>
      <c r="R142">
        <v>0</v>
      </c>
      <c r="S142">
        <v>0</v>
      </c>
      <c r="T142">
        <v>25</v>
      </c>
      <c r="U142">
        <v>10</v>
      </c>
      <c r="V142">
        <v>10</v>
      </c>
      <c r="W142">
        <v>0</v>
      </c>
      <c r="X142">
        <v>0</v>
      </c>
    </row>
    <row r="143" spans="1:24" x14ac:dyDescent="0.2">
      <c r="A143">
        <v>2010700</v>
      </c>
      <c r="B143" t="s">
        <v>142</v>
      </c>
      <c r="C143">
        <v>700</v>
      </c>
      <c r="D143">
        <v>700</v>
      </c>
      <c r="E143">
        <v>10000</v>
      </c>
      <c r="F143">
        <v>106</v>
      </c>
      <c r="G143">
        <v>0</v>
      </c>
      <c r="H143">
        <v>106</v>
      </c>
      <c r="I143">
        <v>0</v>
      </c>
      <c r="J143">
        <v>0</v>
      </c>
      <c r="K143">
        <v>0</v>
      </c>
      <c r="L143">
        <v>0</v>
      </c>
      <c r="M143">
        <v>4</v>
      </c>
      <c r="N143">
        <v>0</v>
      </c>
      <c r="O143">
        <v>0</v>
      </c>
      <c r="P143">
        <v>50</v>
      </c>
      <c r="Q143">
        <v>35</v>
      </c>
      <c r="R143">
        <v>85</v>
      </c>
      <c r="S143">
        <v>85</v>
      </c>
      <c r="T143">
        <v>25</v>
      </c>
      <c r="U143">
        <v>10</v>
      </c>
      <c r="V143">
        <v>10</v>
      </c>
      <c r="W143">
        <v>0</v>
      </c>
      <c r="X143">
        <v>0</v>
      </c>
    </row>
    <row r="144" spans="1:24" x14ac:dyDescent="0.2">
      <c r="A144">
        <v>2010800</v>
      </c>
      <c r="B144" t="s">
        <v>143</v>
      </c>
      <c r="C144">
        <v>800</v>
      </c>
      <c r="D144">
        <v>800</v>
      </c>
      <c r="E144">
        <v>10000</v>
      </c>
      <c r="F144">
        <v>106</v>
      </c>
      <c r="G144">
        <v>0</v>
      </c>
      <c r="H144">
        <v>0</v>
      </c>
      <c r="I144">
        <v>106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50</v>
      </c>
      <c r="Q144">
        <v>35</v>
      </c>
      <c r="R144">
        <v>0</v>
      </c>
      <c r="S144">
        <v>85</v>
      </c>
      <c r="T144">
        <v>25</v>
      </c>
      <c r="U144">
        <v>10</v>
      </c>
      <c r="V144">
        <v>10</v>
      </c>
      <c r="W144">
        <v>0</v>
      </c>
      <c r="X144">
        <v>0</v>
      </c>
    </row>
    <row r="145" spans="1:24" x14ac:dyDescent="0.2">
      <c r="A145">
        <v>2010900</v>
      </c>
      <c r="B145" t="s">
        <v>144</v>
      </c>
      <c r="C145">
        <v>900</v>
      </c>
      <c r="D145">
        <v>900</v>
      </c>
      <c r="E145">
        <v>10000</v>
      </c>
      <c r="F145">
        <v>110</v>
      </c>
      <c r="G145">
        <v>0</v>
      </c>
      <c r="H145">
        <v>0</v>
      </c>
      <c r="I145">
        <v>0</v>
      </c>
      <c r="J145">
        <v>110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50</v>
      </c>
      <c r="Q145">
        <v>35</v>
      </c>
      <c r="R145">
        <v>0</v>
      </c>
      <c r="S145">
        <v>0</v>
      </c>
      <c r="T145">
        <v>25</v>
      </c>
      <c r="U145">
        <v>10</v>
      </c>
      <c r="V145">
        <v>10</v>
      </c>
      <c r="W145">
        <v>0</v>
      </c>
      <c r="X145">
        <v>0</v>
      </c>
    </row>
    <row r="146" spans="1:24" x14ac:dyDescent="0.2">
      <c r="A146">
        <v>2011000</v>
      </c>
      <c r="B146" t="s">
        <v>145</v>
      </c>
      <c r="C146">
        <v>1000</v>
      </c>
      <c r="D146">
        <v>1000</v>
      </c>
      <c r="E146">
        <v>10000</v>
      </c>
      <c r="F146">
        <v>106</v>
      </c>
      <c r="G146">
        <v>0</v>
      </c>
      <c r="H146">
        <v>0</v>
      </c>
      <c r="I146">
        <v>0</v>
      </c>
      <c r="J146">
        <v>106</v>
      </c>
      <c r="K146">
        <v>0</v>
      </c>
      <c r="L146">
        <v>0</v>
      </c>
      <c r="M146">
        <v>0</v>
      </c>
      <c r="N146">
        <v>0</v>
      </c>
      <c r="O146">
        <v>4</v>
      </c>
      <c r="P146">
        <v>50</v>
      </c>
      <c r="Q146">
        <v>35</v>
      </c>
      <c r="R146">
        <v>85</v>
      </c>
      <c r="S146">
        <v>85</v>
      </c>
      <c r="T146">
        <v>25</v>
      </c>
      <c r="U146">
        <v>10</v>
      </c>
      <c r="V146">
        <v>10</v>
      </c>
      <c r="W146">
        <v>0</v>
      </c>
      <c r="X146">
        <v>0</v>
      </c>
    </row>
    <row r="147" spans="1:24" x14ac:dyDescent="0.2">
      <c r="A147">
        <v>2011100</v>
      </c>
      <c r="B147" t="s">
        <v>146</v>
      </c>
      <c r="C147">
        <v>1100</v>
      </c>
      <c r="D147">
        <v>1100</v>
      </c>
      <c r="E147">
        <v>10000</v>
      </c>
      <c r="F147">
        <v>110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50</v>
      </c>
      <c r="Q147">
        <v>35</v>
      </c>
      <c r="R147">
        <v>0</v>
      </c>
      <c r="S147">
        <v>0</v>
      </c>
      <c r="T147">
        <v>25</v>
      </c>
      <c r="U147">
        <v>10</v>
      </c>
      <c r="V147">
        <v>10</v>
      </c>
      <c r="W147">
        <v>0</v>
      </c>
      <c r="X147">
        <v>0</v>
      </c>
    </row>
    <row r="148" spans="1:24" x14ac:dyDescent="0.2">
      <c r="A148">
        <v>2011200</v>
      </c>
      <c r="B148" t="s">
        <v>147</v>
      </c>
      <c r="C148">
        <v>1200</v>
      </c>
      <c r="D148">
        <v>1200</v>
      </c>
      <c r="E148">
        <v>10000</v>
      </c>
      <c r="F148">
        <v>110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50</v>
      </c>
      <c r="Q148">
        <v>35</v>
      </c>
      <c r="R148">
        <v>0</v>
      </c>
      <c r="S148">
        <v>0</v>
      </c>
      <c r="T148">
        <v>25</v>
      </c>
      <c r="U148">
        <v>10</v>
      </c>
      <c r="V148">
        <v>10</v>
      </c>
      <c r="W148">
        <v>0</v>
      </c>
      <c r="X148">
        <v>0</v>
      </c>
    </row>
    <row r="149" spans="1:24" x14ac:dyDescent="0.2">
      <c r="A149">
        <v>2011300</v>
      </c>
      <c r="B149" t="s">
        <v>148</v>
      </c>
      <c r="C149">
        <v>1300</v>
      </c>
      <c r="D149">
        <v>1300</v>
      </c>
      <c r="E149">
        <v>10000</v>
      </c>
      <c r="F149">
        <v>119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50</v>
      </c>
      <c r="Q149">
        <v>35</v>
      </c>
      <c r="R149">
        <v>0</v>
      </c>
      <c r="S149">
        <v>0</v>
      </c>
      <c r="T149">
        <v>25</v>
      </c>
      <c r="U149">
        <v>10</v>
      </c>
      <c r="V149">
        <v>10</v>
      </c>
      <c r="W149">
        <v>0</v>
      </c>
      <c r="X149">
        <v>0</v>
      </c>
    </row>
    <row r="150" spans="1:24" x14ac:dyDescent="0.2">
      <c r="A150">
        <v>2011400</v>
      </c>
      <c r="B150" t="s">
        <v>149</v>
      </c>
      <c r="C150">
        <v>1400</v>
      </c>
      <c r="D150">
        <v>1400</v>
      </c>
      <c r="E150">
        <v>10014</v>
      </c>
      <c r="F150">
        <v>106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50</v>
      </c>
      <c r="Q150">
        <v>35</v>
      </c>
      <c r="R150">
        <v>0</v>
      </c>
      <c r="S150">
        <v>85</v>
      </c>
      <c r="T150">
        <v>25</v>
      </c>
      <c r="U150">
        <v>10</v>
      </c>
      <c r="V150">
        <v>10</v>
      </c>
      <c r="W150">
        <v>0</v>
      </c>
      <c r="X150">
        <v>0</v>
      </c>
    </row>
    <row r="151" spans="1:24" x14ac:dyDescent="0.2">
      <c r="A151">
        <v>2011500</v>
      </c>
      <c r="B151" t="s">
        <v>150</v>
      </c>
      <c r="C151">
        <v>1500</v>
      </c>
      <c r="D151">
        <v>1500</v>
      </c>
      <c r="E151">
        <v>10015</v>
      </c>
      <c r="F151">
        <v>110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50</v>
      </c>
      <c r="Q151">
        <v>35</v>
      </c>
      <c r="R151">
        <v>0</v>
      </c>
      <c r="S151">
        <v>0</v>
      </c>
      <c r="T151">
        <v>25</v>
      </c>
      <c r="U151">
        <v>10</v>
      </c>
      <c r="V151">
        <v>10</v>
      </c>
      <c r="W151">
        <v>0</v>
      </c>
      <c r="X151">
        <v>0</v>
      </c>
    </row>
    <row r="152" spans="1:24" x14ac:dyDescent="0.2">
      <c r="A152">
        <v>2020000</v>
      </c>
      <c r="B152" t="s">
        <v>151</v>
      </c>
      <c r="C152">
        <v>0</v>
      </c>
      <c r="D152">
        <v>0</v>
      </c>
      <c r="E152">
        <v>10000</v>
      </c>
      <c r="F152">
        <v>117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51</v>
      </c>
      <c r="Q152">
        <v>30</v>
      </c>
      <c r="R152">
        <v>0</v>
      </c>
      <c r="S152">
        <v>0</v>
      </c>
      <c r="T152">
        <v>25</v>
      </c>
      <c r="U152">
        <v>10</v>
      </c>
      <c r="V152">
        <v>10</v>
      </c>
      <c r="W152">
        <v>0</v>
      </c>
      <c r="X152">
        <v>0</v>
      </c>
    </row>
    <row r="153" spans="1:24" x14ac:dyDescent="0.2">
      <c r="A153">
        <v>2020100</v>
      </c>
      <c r="B153" t="s">
        <v>152</v>
      </c>
      <c r="C153">
        <v>200</v>
      </c>
      <c r="D153">
        <v>100</v>
      </c>
      <c r="E153">
        <v>10000</v>
      </c>
      <c r="F153">
        <v>117</v>
      </c>
      <c r="G153">
        <v>0</v>
      </c>
      <c r="H153">
        <v>0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43</v>
      </c>
      <c r="Q153">
        <v>0</v>
      </c>
      <c r="R153">
        <v>0</v>
      </c>
      <c r="S153">
        <v>0</v>
      </c>
      <c r="T153">
        <v>25</v>
      </c>
      <c r="U153">
        <v>10</v>
      </c>
      <c r="V153">
        <v>10</v>
      </c>
      <c r="W153">
        <v>0</v>
      </c>
      <c r="X153">
        <v>0</v>
      </c>
    </row>
    <row r="154" spans="1:24" x14ac:dyDescent="0.2">
      <c r="A154">
        <v>2020200</v>
      </c>
      <c r="B154" t="s">
        <v>153</v>
      </c>
      <c r="C154">
        <v>100</v>
      </c>
      <c r="D154">
        <v>200</v>
      </c>
      <c r="E154">
        <v>10000</v>
      </c>
      <c r="F154">
        <v>117</v>
      </c>
      <c r="G154">
        <v>0</v>
      </c>
      <c r="H154">
        <v>0</v>
      </c>
      <c r="I154">
        <v>0</v>
      </c>
      <c r="J154">
        <v>0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16</v>
      </c>
      <c r="Q154">
        <v>43</v>
      </c>
      <c r="R154">
        <v>0</v>
      </c>
      <c r="S154">
        <v>0</v>
      </c>
      <c r="T154">
        <v>25</v>
      </c>
      <c r="U154">
        <v>10</v>
      </c>
      <c r="V154">
        <v>10</v>
      </c>
      <c r="W154">
        <v>0</v>
      </c>
      <c r="X154">
        <v>0</v>
      </c>
    </row>
    <row r="155" spans="1:24" x14ac:dyDescent="0.2">
      <c r="A155">
        <v>2020300</v>
      </c>
      <c r="B155" t="s">
        <v>154</v>
      </c>
      <c r="C155">
        <v>300</v>
      </c>
      <c r="D155">
        <v>300</v>
      </c>
      <c r="E155">
        <v>10000</v>
      </c>
      <c r="F155">
        <v>117</v>
      </c>
      <c r="G155">
        <v>0</v>
      </c>
      <c r="H155">
        <v>0</v>
      </c>
      <c r="I155">
        <v>0</v>
      </c>
      <c r="J155">
        <v>0</v>
      </c>
      <c r="K155">
        <v>8</v>
      </c>
      <c r="L155">
        <v>0</v>
      </c>
      <c r="M155">
        <v>0</v>
      </c>
      <c r="N155">
        <v>0</v>
      </c>
      <c r="O155">
        <v>0</v>
      </c>
      <c r="P155">
        <v>50</v>
      </c>
      <c r="Q155">
        <v>50</v>
      </c>
      <c r="R155">
        <v>0</v>
      </c>
      <c r="S155">
        <v>0</v>
      </c>
      <c r="T155">
        <v>25</v>
      </c>
      <c r="U155">
        <v>10</v>
      </c>
      <c r="V155">
        <v>10</v>
      </c>
      <c r="W155">
        <v>0</v>
      </c>
      <c r="X155">
        <v>0</v>
      </c>
    </row>
    <row r="156" spans="1:24" x14ac:dyDescent="0.2">
      <c r="A156">
        <v>2020400</v>
      </c>
      <c r="B156" t="s">
        <v>155</v>
      </c>
      <c r="C156">
        <v>500</v>
      </c>
      <c r="D156">
        <v>500</v>
      </c>
      <c r="E156">
        <v>10000</v>
      </c>
      <c r="F156">
        <v>112</v>
      </c>
      <c r="G156">
        <v>112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51</v>
      </c>
      <c r="Q156">
        <v>30</v>
      </c>
      <c r="R156">
        <v>81</v>
      </c>
      <c r="S156">
        <v>0</v>
      </c>
      <c r="T156">
        <v>25</v>
      </c>
      <c r="U156">
        <v>10</v>
      </c>
      <c r="V156">
        <v>10</v>
      </c>
      <c r="W156">
        <v>0</v>
      </c>
      <c r="X156">
        <v>0</v>
      </c>
    </row>
    <row r="157" spans="1:24" x14ac:dyDescent="0.2">
      <c r="A157">
        <v>2020500</v>
      </c>
      <c r="B157" t="s">
        <v>156</v>
      </c>
      <c r="C157">
        <v>400</v>
      </c>
      <c r="D157">
        <v>400</v>
      </c>
      <c r="E157">
        <v>10000</v>
      </c>
      <c r="F157">
        <v>112</v>
      </c>
      <c r="G157">
        <v>112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51</v>
      </c>
      <c r="Q157">
        <v>30</v>
      </c>
      <c r="R157">
        <v>81</v>
      </c>
      <c r="S157">
        <v>0</v>
      </c>
      <c r="T157">
        <v>25</v>
      </c>
      <c r="U157">
        <v>10</v>
      </c>
      <c r="V157">
        <v>10</v>
      </c>
      <c r="W157">
        <v>0</v>
      </c>
      <c r="X157">
        <v>0</v>
      </c>
    </row>
    <row r="158" spans="1:24" x14ac:dyDescent="0.2">
      <c r="A158">
        <v>2020600</v>
      </c>
      <c r="B158" t="s">
        <v>157</v>
      </c>
      <c r="C158">
        <v>600</v>
      </c>
      <c r="D158">
        <v>600</v>
      </c>
      <c r="E158">
        <v>10000</v>
      </c>
      <c r="F158">
        <v>115</v>
      </c>
      <c r="G158">
        <v>0</v>
      </c>
      <c r="H158">
        <v>115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51</v>
      </c>
      <c r="Q158">
        <v>30</v>
      </c>
      <c r="R158">
        <v>0</v>
      </c>
      <c r="S158">
        <v>0</v>
      </c>
      <c r="T158">
        <v>25</v>
      </c>
      <c r="U158">
        <v>10</v>
      </c>
      <c r="V158">
        <v>10</v>
      </c>
      <c r="W158">
        <v>0</v>
      </c>
      <c r="X158">
        <v>0</v>
      </c>
    </row>
    <row r="159" spans="1:24" x14ac:dyDescent="0.2">
      <c r="A159">
        <v>2020700</v>
      </c>
      <c r="B159" t="s">
        <v>158</v>
      </c>
      <c r="C159">
        <v>700</v>
      </c>
      <c r="D159">
        <v>700</v>
      </c>
      <c r="E159">
        <v>10000</v>
      </c>
      <c r="F159">
        <v>112</v>
      </c>
      <c r="G159">
        <v>0</v>
      </c>
      <c r="H159">
        <v>112</v>
      </c>
      <c r="I159">
        <v>0</v>
      </c>
      <c r="J159">
        <v>0</v>
      </c>
      <c r="K159">
        <v>0</v>
      </c>
      <c r="L159">
        <v>0</v>
      </c>
      <c r="M159">
        <v>4</v>
      </c>
      <c r="N159">
        <v>0</v>
      </c>
      <c r="O159">
        <v>0</v>
      </c>
      <c r="P159">
        <v>51</v>
      </c>
      <c r="Q159">
        <v>30</v>
      </c>
      <c r="R159">
        <v>81</v>
      </c>
      <c r="S159">
        <v>81</v>
      </c>
      <c r="T159">
        <v>25</v>
      </c>
      <c r="U159">
        <v>10</v>
      </c>
      <c r="V159">
        <v>10</v>
      </c>
      <c r="W159">
        <v>0</v>
      </c>
      <c r="X159">
        <v>0</v>
      </c>
    </row>
    <row r="160" spans="1:24" x14ac:dyDescent="0.2">
      <c r="A160">
        <v>2020800</v>
      </c>
      <c r="B160" t="s">
        <v>159</v>
      </c>
      <c r="C160">
        <v>800</v>
      </c>
      <c r="D160">
        <v>800</v>
      </c>
      <c r="E160">
        <v>10000</v>
      </c>
      <c r="F160">
        <v>112</v>
      </c>
      <c r="G160">
        <v>0</v>
      </c>
      <c r="H160">
        <v>0</v>
      </c>
      <c r="I160">
        <v>112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51</v>
      </c>
      <c r="Q160">
        <v>30</v>
      </c>
      <c r="R160">
        <v>0</v>
      </c>
      <c r="S160">
        <v>81</v>
      </c>
      <c r="T160">
        <v>25</v>
      </c>
      <c r="U160">
        <v>10</v>
      </c>
      <c r="V160">
        <v>10</v>
      </c>
      <c r="W160">
        <v>0</v>
      </c>
      <c r="X160">
        <v>0</v>
      </c>
    </row>
    <row r="161" spans="1:24" x14ac:dyDescent="0.2">
      <c r="A161">
        <v>2020900</v>
      </c>
      <c r="B161" t="s">
        <v>160</v>
      </c>
      <c r="C161">
        <v>900</v>
      </c>
      <c r="D161">
        <v>900</v>
      </c>
      <c r="E161">
        <v>10000</v>
      </c>
      <c r="F161">
        <v>115</v>
      </c>
      <c r="G161">
        <v>0</v>
      </c>
      <c r="H161">
        <v>0</v>
      </c>
      <c r="I161">
        <v>0</v>
      </c>
      <c r="J161">
        <v>115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51</v>
      </c>
      <c r="Q161">
        <v>30</v>
      </c>
      <c r="R161">
        <v>0</v>
      </c>
      <c r="S161">
        <v>0</v>
      </c>
      <c r="T161">
        <v>25</v>
      </c>
      <c r="U161">
        <v>10</v>
      </c>
      <c r="V161">
        <v>10</v>
      </c>
      <c r="W161">
        <v>0</v>
      </c>
      <c r="X161">
        <v>0</v>
      </c>
    </row>
    <row r="162" spans="1:24" x14ac:dyDescent="0.2">
      <c r="A162">
        <v>2021000</v>
      </c>
      <c r="B162" t="s">
        <v>161</v>
      </c>
      <c r="C162">
        <v>1000</v>
      </c>
      <c r="D162">
        <v>1000</v>
      </c>
      <c r="E162">
        <v>10000</v>
      </c>
      <c r="F162">
        <v>112</v>
      </c>
      <c r="G162">
        <v>0</v>
      </c>
      <c r="H162">
        <v>0</v>
      </c>
      <c r="I162">
        <v>0</v>
      </c>
      <c r="J162">
        <v>112</v>
      </c>
      <c r="K162">
        <v>0</v>
      </c>
      <c r="L162">
        <v>0</v>
      </c>
      <c r="M162">
        <v>0</v>
      </c>
      <c r="N162">
        <v>0</v>
      </c>
      <c r="O162">
        <v>4</v>
      </c>
      <c r="P162">
        <v>51</v>
      </c>
      <c r="Q162">
        <v>30</v>
      </c>
      <c r="R162">
        <v>81</v>
      </c>
      <c r="S162">
        <v>81</v>
      </c>
      <c r="T162">
        <v>25</v>
      </c>
      <c r="U162">
        <v>10</v>
      </c>
      <c r="V162">
        <v>10</v>
      </c>
      <c r="W162">
        <v>0</v>
      </c>
      <c r="X162">
        <v>0</v>
      </c>
    </row>
    <row r="163" spans="1:24" x14ac:dyDescent="0.2">
      <c r="A163">
        <v>2021100</v>
      </c>
      <c r="B163" t="s">
        <v>162</v>
      </c>
      <c r="C163">
        <v>1100</v>
      </c>
      <c r="D163">
        <v>1100</v>
      </c>
      <c r="E163">
        <v>10000</v>
      </c>
      <c r="F163">
        <v>117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51</v>
      </c>
      <c r="Q163">
        <v>30</v>
      </c>
      <c r="R163">
        <v>0</v>
      </c>
      <c r="S163">
        <v>0</v>
      </c>
      <c r="T163">
        <v>25</v>
      </c>
      <c r="U163">
        <v>10</v>
      </c>
      <c r="V163">
        <v>10</v>
      </c>
      <c r="W163">
        <v>0</v>
      </c>
      <c r="X163">
        <v>0</v>
      </c>
    </row>
    <row r="164" spans="1:24" x14ac:dyDescent="0.2">
      <c r="A164">
        <v>2021200</v>
      </c>
      <c r="B164" t="s">
        <v>163</v>
      </c>
      <c r="C164">
        <v>1200</v>
      </c>
      <c r="D164">
        <v>1200</v>
      </c>
      <c r="E164">
        <v>10000</v>
      </c>
      <c r="F164">
        <v>117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51</v>
      </c>
      <c r="Q164">
        <v>30</v>
      </c>
      <c r="R164">
        <v>0</v>
      </c>
      <c r="S164">
        <v>0</v>
      </c>
      <c r="T164">
        <v>25</v>
      </c>
      <c r="U164">
        <v>10</v>
      </c>
      <c r="V164">
        <v>10</v>
      </c>
      <c r="W164">
        <v>0</v>
      </c>
      <c r="X164">
        <v>0</v>
      </c>
    </row>
    <row r="165" spans="1:24" x14ac:dyDescent="0.2">
      <c r="A165">
        <v>2021300</v>
      </c>
      <c r="B165" t="s">
        <v>164</v>
      </c>
      <c r="C165">
        <v>1300</v>
      </c>
      <c r="D165">
        <v>1300</v>
      </c>
      <c r="E165">
        <v>10000</v>
      </c>
      <c r="F165">
        <v>124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51</v>
      </c>
      <c r="Q165">
        <v>30</v>
      </c>
      <c r="R165">
        <v>0</v>
      </c>
      <c r="S165">
        <v>0</v>
      </c>
      <c r="T165">
        <v>25</v>
      </c>
      <c r="U165">
        <v>10</v>
      </c>
      <c r="V165">
        <v>10</v>
      </c>
      <c r="W165">
        <v>0</v>
      </c>
      <c r="X165">
        <v>0</v>
      </c>
    </row>
    <row r="166" spans="1:24" x14ac:dyDescent="0.2">
      <c r="A166">
        <v>2021400</v>
      </c>
      <c r="B166" t="s">
        <v>165</v>
      </c>
      <c r="C166">
        <v>1400</v>
      </c>
      <c r="D166">
        <v>1400</v>
      </c>
      <c r="E166">
        <v>10014</v>
      </c>
      <c r="F166">
        <v>112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51</v>
      </c>
      <c r="Q166">
        <v>30</v>
      </c>
      <c r="R166">
        <v>0</v>
      </c>
      <c r="S166">
        <v>81</v>
      </c>
      <c r="T166">
        <v>25</v>
      </c>
      <c r="U166">
        <v>10</v>
      </c>
      <c r="V166">
        <v>10</v>
      </c>
      <c r="W166">
        <v>0</v>
      </c>
      <c r="X166">
        <v>0</v>
      </c>
    </row>
    <row r="167" spans="1:24" x14ac:dyDescent="0.2">
      <c r="A167">
        <v>2021500</v>
      </c>
      <c r="B167" t="s">
        <v>166</v>
      </c>
      <c r="C167">
        <v>1500</v>
      </c>
      <c r="D167">
        <v>1500</v>
      </c>
      <c r="E167">
        <v>10015</v>
      </c>
      <c r="F167">
        <v>117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51</v>
      </c>
      <c r="Q167">
        <v>30</v>
      </c>
      <c r="R167">
        <v>0</v>
      </c>
      <c r="S167">
        <v>0</v>
      </c>
      <c r="T167">
        <v>25</v>
      </c>
      <c r="U167">
        <v>10</v>
      </c>
      <c r="V167">
        <v>10</v>
      </c>
      <c r="W167">
        <v>0</v>
      </c>
      <c r="X167">
        <v>0</v>
      </c>
    </row>
    <row r="168" spans="1:24" x14ac:dyDescent="0.2">
      <c r="A168">
        <v>2030000</v>
      </c>
      <c r="B168" t="s">
        <v>167</v>
      </c>
      <c r="C168">
        <v>0</v>
      </c>
      <c r="D168">
        <v>0</v>
      </c>
      <c r="E168">
        <v>10000</v>
      </c>
      <c r="F168">
        <v>70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38</v>
      </c>
      <c r="Q168">
        <v>32</v>
      </c>
      <c r="R168">
        <v>0</v>
      </c>
      <c r="S168">
        <v>0</v>
      </c>
      <c r="T168">
        <v>17</v>
      </c>
      <c r="U168">
        <v>8</v>
      </c>
      <c r="V168">
        <v>8</v>
      </c>
      <c r="W168">
        <v>0</v>
      </c>
      <c r="X168">
        <v>0</v>
      </c>
    </row>
    <row r="169" spans="1:24" x14ac:dyDescent="0.2">
      <c r="A169">
        <v>2030100</v>
      </c>
      <c r="B169" t="s">
        <v>168</v>
      </c>
      <c r="C169">
        <v>200</v>
      </c>
      <c r="D169">
        <v>100</v>
      </c>
      <c r="E169">
        <v>10000</v>
      </c>
      <c r="F169">
        <v>70</v>
      </c>
      <c r="G169">
        <v>0</v>
      </c>
      <c r="H169">
        <v>0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38</v>
      </c>
      <c r="Q169">
        <v>0</v>
      </c>
      <c r="R169">
        <v>0</v>
      </c>
      <c r="S169">
        <v>0</v>
      </c>
      <c r="T169">
        <v>17</v>
      </c>
      <c r="U169">
        <v>8</v>
      </c>
      <c r="V169">
        <v>8</v>
      </c>
      <c r="W169">
        <v>0</v>
      </c>
      <c r="X169">
        <v>0</v>
      </c>
    </row>
    <row r="170" spans="1:24" x14ac:dyDescent="0.2">
      <c r="A170">
        <v>2030200</v>
      </c>
      <c r="B170" t="s">
        <v>169</v>
      </c>
      <c r="C170">
        <v>100</v>
      </c>
      <c r="D170">
        <v>200</v>
      </c>
      <c r="E170">
        <v>10000</v>
      </c>
      <c r="F170">
        <v>70</v>
      </c>
      <c r="G170">
        <v>0</v>
      </c>
      <c r="H170">
        <v>0</v>
      </c>
      <c r="I170">
        <v>0</v>
      </c>
      <c r="J170">
        <v>0</v>
      </c>
      <c r="K170">
        <v>2</v>
      </c>
      <c r="L170">
        <v>0</v>
      </c>
      <c r="M170">
        <v>0</v>
      </c>
      <c r="N170">
        <v>0</v>
      </c>
      <c r="O170">
        <v>0</v>
      </c>
      <c r="P170">
        <v>14</v>
      </c>
      <c r="Q170">
        <v>37</v>
      </c>
      <c r="R170">
        <v>0</v>
      </c>
      <c r="S170">
        <v>0</v>
      </c>
      <c r="T170">
        <v>17</v>
      </c>
      <c r="U170">
        <v>8</v>
      </c>
      <c r="V170">
        <v>8</v>
      </c>
      <c r="W170">
        <v>0</v>
      </c>
      <c r="X170">
        <v>0</v>
      </c>
    </row>
    <row r="171" spans="1:24" x14ac:dyDescent="0.2">
      <c r="A171">
        <v>2030300</v>
      </c>
      <c r="B171" t="s">
        <v>170</v>
      </c>
      <c r="C171">
        <v>300</v>
      </c>
      <c r="D171">
        <v>300</v>
      </c>
      <c r="E171">
        <v>10000</v>
      </c>
      <c r="F171">
        <v>70</v>
      </c>
      <c r="G171">
        <v>0</v>
      </c>
      <c r="H171">
        <v>0</v>
      </c>
      <c r="I171">
        <v>0</v>
      </c>
      <c r="J171">
        <v>0</v>
      </c>
      <c r="K171">
        <v>8</v>
      </c>
      <c r="L171">
        <v>0</v>
      </c>
      <c r="M171">
        <v>0</v>
      </c>
      <c r="N171">
        <v>0</v>
      </c>
      <c r="O171">
        <v>0</v>
      </c>
      <c r="P171">
        <v>45</v>
      </c>
      <c r="Q171">
        <v>45</v>
      </c>
      <c r="R171">
        <v>0</v>
      </c>
      <c r="S171">
        <v>0</v>
      </c>
      <c r="T171">
        <v>17</v>
      </c>
      <c r="U171">
        <v>8</v>
      </c>
      <c r="V171">
        <v>8</v>
      </c>
      <c r="W171">
        <v>0</v>
      </c>
      <c r="X171">
        <v>0</v>
      </c>
    </row>
    <row r="172" spans="1:24" x14ac:dyDescent="0.2">
      <c r="A172">
        <v>2030400</v>
      </c>
      <c r="B172" t="s">
        <v>171</v>
      </c>
      <c r="C172">
        <v>500</v>
      </c>
      <c r="D172">
        <v>500</v>
      </c>
      <c r="E172">
        <v>10000</v>
      </c>
      <c r="F172">
        <v>80</v>
      </c>
      <c r="G172">
        <v>80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38</v>
      </c>
      <c r="Q172">
        <v>32</v>
      </c>
      <c r="R172">
        <v>70</v>
      </c>
      <c r="S172">
        <v>0</v>
      </c>
      <c r="T172">
        <v>17</v>
      </c>
      <c r="U172">
        <v>8</v>
      </c>
      <c r="V172">
        <v>8</v>
      </c>
      <c r="W172">
        <v>0</v>
      </c>
      <c r="X172">
        <v>0</v>
      </c>
    </row>
    <row r="173" spans="1:24" x14ac:dyDescent="0.2">
      <c r="A173">
        <v>2030500</v>
      </c>
      <c r="B173" t="s">
        <v>172</v>
      </c>
      <c r="C173">
        <v>400</v>
      </c>
      <c r="D173">
        <v>400</v>
      </c>
      <c r="E173">
        <v>10000</v>
      </c>
      <c r="F173">
        <v>80</v>
      </c>
      <c r="G173">
        <v>80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38</v>
      </c>
      <c r="Q173">
        <v>32</v>
      </c>
      <c r="R173">
        <v>70</v>
      </c>
      <c r="S173">
        <v>0</v>
      </c>
      <c r="T173">
        <v>17</v>
      </c>
      <c r="U173">
        <v>8</v>
      </c>
      <c r="V173">
        <v>8</v>
      </c>
      <c r="W173">
        <v>0</v>
      </c>
      <c r="X173">
        <v>0</v>
      </c>
    </row>
    <row r="174" spans="1:24" x14ac:dyDescent="0.2">
      <c r="A174">
        <v>2030600</v>
      </c>
      <c r="B174" t="s">
        <v>173</v>
      </c>
      <c r="C174">
        <v>600</v>
      </c>
      <c r="D174">
        <v>600</v>
      </c>
      <c r="E174">
        <v>10000</v>
      </c>
      <c r="F174">
        <v>75</v>
      </c>
      <c r="G174">
        <v>0</v>
      </c>
      <c r="H174">
        <v>75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38</v>
      </c>
      <c r="Q174">
        <v>32</v>
      </c>
      <c r="R174">
        <v>0</v>
      </c>
      <c r="S174">
        <v>0</v>
      </c>
      <c r="T174">
        <v>17</v>
      </c>
      <c r="U174">
        <v>8</v>
      </c>
      <c r="V174">
        <v>8</v>
      </c>
      <c r="W174">
        <v>0</v>
      </c>
      <c r="X174">
        <v>0</v>
      </c>
    </row>
    <row r="175" spans="1:24" x14ac:dyDescent="0.2">
      <c r="A175">
        <v>2030700</v>
      </c>
      <c r="B175" t="s">
        <v>174</v>
      </c>
      <c r="C175">
        <v>700</v>
      </c>
      <c r="D175">
        <v>700</v>
      </c>
      <c r="E175">
        <v>10000</v>
      </c>
      <c r="F175">
        <v>80</v>
      </c>
      <c r="G175">
        <v>0</v>
      </c>
      <c r="H175">
        <v>80</v>
      </c>
      <c r="I175">
        <v>0</v>
      </c>
      <c r="J175">
        <v>0</v>
      </c>
      <c r="K175">
        <v>0</v>
      </c>
      <c r="L175">
        <v>0</v>
      </c>
      <c r="M175">
        <v>4</v>
      </c>
      <c r="N175">
        <v>0</v>
      </c>
      <c r="O175">
        <v>0</v>
      </c>
      <c r="P175">
        <v>38</v>
      </c>
      <c r="Q175">
        <v>32</v>
      </c>
      <c r="R175">
        <v>70</v>
      </c>
      <c r="S175">
        <v>70</v>
      </c>
      <c r="T175">
        <v>17</v>
      </c>
      <c r="U175">
        <v>8</v>
      </c>
      <c r="V175">
        <v>8</v>
      </c>
      <c r="W175">
        <v>0</v>
      </c>
      <c r="X175">
        <v>0</v>
      </c>
    </row>
    <row r="176" spans="1:24" x14ac:dyDescent="0.2">
      <c r="A176">
        <v>2030800</v>
      </c>
      <c r="B176" t="s">
        <v>175</v>
      </c>
      <c r="C176">
        <v>800</v>
      </c>
      <c r="D176">
        <v>800</v>
      </c>
      <c r="E176">
        <v>10000</v>
      </c>
      <c r="F176">
        <v>80</v>
      </c>
      <c r="G176">
        <v>0</v>
      </c>
      <c r="H176">
        <v>0</v>
      </c>
      <c r="I176">
        <v>80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38</v>
      </c>
      <c r="Q176">
        <v>32</v>
      </c>
      <c r="R176">
        <v>0</v>
      </c>
      <c r="S176">
        <v>70</v>
      </c>
      <c r="T176">
        <v>17</v>
      </c>
      <c r="U176">
        <v>8</v>
      </c>
      <c r="V176">
        <v>8</v>
      </c>
      <c r="W176">
        <v>0</v>
      </c>
      <c r="X176">
        <v>0</v>
      </c>
    </row>
    <row r="177" spans="1:24" x14ac:dyDescent="0.2">
      <c r="A177">
        <v>2030900</v>
      </c>
      <c r="B177" t="s">
        <v>176</v>
      </c>
      <c r="C177">
        <v>900</v>
      </c>
      <c r="D177">
        <v>900</v>
      </c>
      <c r="E177">
        <v>10000</v>
      </c>
      <c r="F177">
        <v>75</v>
      </c>
      <c r="G177">
        <v>0</v>
      </c>
      <c r="H177">
        <v>0</v>
      </c>
      <c r="I177">
        <v>0</v>
      </c>
      <c r="J177">
        <v>75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38</v>
      </c>
      <c r="Q177">
        <v>32</v>
      </c>
      <c r="R177">
        <v>0</v>
      </c>
      <c r="S177">
        <v>0</v>
      </c>
      <c r="T177">
        <v>17</v>
      </c>
      <c r="U177">
        <v>8</v>
      </c>
      <c r="V177">
        <v>8</v>
      </c>
      <c r="W177">
        <v>0</v>
      </c>
      <c r="X177">
        <v>0</v>
      </c>
    </row>
    <row r="178" spans="1:24" x14ac:dyDescent="0.2">
      <c r="A178">
        <v>2031000</v>
      </c>
      <c r="B178" t="s">
        <v>177</v>
      </c>
      <c r="C178">
        <v>1000</v>
      </c>
      <c r="D178">
        <v>1000</v>
      </c>
      <c r="E178">
        <v>10000</v>
      </c>
      <c r="F178">
        <v>80</v>
      </c>
      <c r="G178">
        <v>0</v>
      </c>
      <c r="H178">
        <v>0</v>
      </c>
      <c r="I178">
        <v>0</v>
      </c>
      <c r="J178">
        <v>80</v>
      </c>
      <c r="K178">
        <v>0</v>
      </c>
      <c r="L178">
        <v>0</v>
      </c>
      <c r="M178">
        <v>0</v>
      </c>
      <c r="N178">
        <v>0</v>
      </c>
      <c r="O178">
        <v>4</v>
      </c>
      <c r="P178">
        <v>38</v>
      </c>
      <c r="Q178">
        <v>32</v>
      </c>
      <c r="R178">
        <v>70</v>
      </c>
      <c r="S178">
        <v>70</v>
      </c>
      <c r="T178">
        <v>17</v>
      </c>
      <c r="U178">
        <v>8</v>
      </c>
      <c r="V178">
        <v>8</v>
      </c>
      <c r="W178">
        <v>0</v>
      </c>
      <c r="X178">
        <v>0</v>
      </c>
    </row>
    <row r="179" spans="1:24" x14ac:dyDescent="0.2">
      <c r="A179">
        <v>2031100</v>
      </c>
      <c r="B179" t="s">
        <v>178</v>
      </c>
      <c r="C179">
        <v>1100</v>
      </c>
      <c r="D179">
        <v>1100</v>
      </c>
      <c r="E179">
        <v>10000</v>
      </c>
      <c r="F179">
        <v>70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38</v>
      </c>
      <c r="Q179">
        <v>32</v>
      </c>
      <c r="R179">
        <v>0</v>
      </c>
      <c r="S179">
        <v>0</v>
      </c>
      <c r="T179">
        <v>17</v>
      </c>
      <c r="U179">
        <v>8</v>
      </c>
      <c r="V179">
        <v>8</v>
      </c>
      <c r="W179">
        <v>0</v>
      </c>
      <c r="X179">
        <v>0</v>
      </c>
    </row>
    <row r="180" spans="1:24" x14ac:dyDescent="0.2">
      <c r="A180">
        <v>2031200</v>
      </c>
      <c r="B180" t="s">
        <v>179</v>
      </c>
      <c r="C180">
        <v>1200</v>
      </c>
      <c r="D180">
        <v>1200</v>
      </c>
      <c r="E180">
        <v>10000</v>
      </c>
      <c r="F180">
        <v>70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38</v>
      </c>
      <c r="Q180">
        <v>32</v>
      </c>
      <c r="R180">
        <v>0</v>
      </c>
      <c r="S180">
        <v>0</v>
      </c>
      <c r="T180">
        <v>17</v>
      </c>
      <c r="U180">
        <v>8</v>
      </c>
      <c r="V180">
        <v>8</v>
      </c>
      <c r="W180">
        <v>0</v>
      </c>
      <c r="X180">
        <v>0</v>
      </c>
    </row>
    <row r="181" spans="1:24" x14ac:dyDescent="0.2">
      <c r="A181">
        <v>2031300</v>
      </c>
      <c r="B181" t="s">
        <v>180</v>
      </c>
      <c r="C181">
        <v>1300</v>
      </c>
      <c r="D181">
        <v>1300</v>
      </c>
      <c r="E181">
        <v>10000</v>
      </c>
      <c r="F181">
        <v>75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38</v>
      </c>
      <c r="Q181">
        <v>32</v>
      </c>
      <c r="R181">
        <v>0</v>
      </c>
      <c r="S181">
        <v>0</v>
      </c>
      <c r="T181">
        <v>17</v>
      </c>
      <c r="U181">
        <v>8</v>
      </c>
      <c r="V181">
        <v>8</v>
      </c>
      <c r="W181">
        <v>0</v>
      </c>
      <c r="X181">
        <v>0</v>
      </c>
    </row>
    <row r="182" spans="1:24" x14ac:dyDescent="0.2">
      <c r="A182">
        <v>2031400</v>
      </c>
      <c r="B182" t="s">
        <v>181</v>
      </c>
      <c r="C182">
        <v>1400</v>
      </c>
      <c r="D182">
        <v>1400</v>
      </c>
      <c r="E182">
        <v>10014</v>
      </c>
      <c r="F182">
        <v>80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38</v>
      </c>
      <c r="Q182">
        <v>32</v>
      </c>
      <c r="R182">
        <v>0</v>
      </c>
      <c r="S182">
        <v>70</v>
      </c>
      <c r="T182">
        <v>17</v>
      </c>
      <c r="U182">
        <v>8</v>
      </c>
      <c r="V182">
        <v>8</v>
      </c>
      <c r="W182">
        <v>0</v>
      </c>
      <c r="X182">
        <v>0</v>
      </c>
    </row>
    <row r="183" spans="1:24" x14ac:dyDescent="0.2">
      <c r="A183">
        <v>2031500</v>
      </c>
      <c r="B183" t="s">
        <v>182</v>
      </c>
      <c r="C183">
        <v>1500</v>
      </c>
      <c r="D183">
        <v>1500</v>
      </c>
      <c r="E183">
        <v>10015</v>
      </c>
      <c r="F183">
        <v>70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38</v>
      </c>
      <c r="Q183">
        <v>32</v>
      </c>
      <c r="R183">
        <v>0</v>
      </c>
      <c r="S183">
        <v>0</v>
      </c>
      <c r="T183">
        <v>17</v>
      </c>
      <c r="U183">
        <v>8</v>
      </c>
      <c r="V183">
        <v>8</v>
      </c>
      <c r="W183">
        <v>0</v>
      </c>
      <c r="X183">
        <v>0</v>
      </c>
    </row>
    <row r="184" spans="1:24" x14ac:dyDescent="0.2">
      <c r="A184">
        <v>2060000</v>
      </c>
      <c r="B184" t="s">
        <v>183</v>
      </c>
      <c r="C184">
        <v>0</v>
      </c>
      <c r="D184">
        <v>0</v>
      </c>
      <c r="E184">
        <v>10000</v>
      </c>
      <c r="F184">
        <v>103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41</v>
      </c>
      <c r="Q184">
        <v>50</v>
      </c>
      <c r="R184">
        <v>0</v>
      </c>
      <c r="S184">
        <v>0</v>
      </c>
      <c r="T184">
        <v>28</v>
      </c>
      <c r="U184">
        <v>11</v>
      </c>
      <c r="V184">
        <v>18</v>
      </c>
      <c r="W184">
        <v>0</v>
      </c>
      <c r="X184">
        <v>0</v>
      </c>
    </row>
    <row r="185" spans="1:24" x14ac:dyDescent="0.2">
      <c r="A185">
        <v>2060100</v>
      </c>
      <c r="B185" t="s">
        <v>184</v>
      </c>
      <c r="C185">
        <v>200</v>
      </c>
      <c r="D185">
        <v>100</v>
      </c>
      <c r="E185">
        <v>10000</v>
      </c>
      <c r="F185">
        <v>103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45</v>
      </c>
      <c r="Q185">
        <v>0</v>
      </c>
      <c r="R185">
        <v>0</v>
      </c>
      <c r="S185">
        <v>0</v>
      </c>
      <c r="T185">
        <v>28</v>
      </c>
      <c r="U185">
        <v>11</v>
      </c>
      <c r="V185">
        <v>18</v>
      </c>
      <c r="W185">
        <v>0</v>
      </c>
      <c r="X185">
        <v>0</v>
      </c>
    </row>
    <row r="186" spans="1:24" x14ac:dyDescent="0.2">
      <c r="A186">
        <v>2060200</v>
      </c>
      <c r="B186" t="s">
        <v>185</v>
      </c>
      <c r="C186">
        <v>100</v>
      </c>
      <c r="D186">
        <v>5000</v>
      </c>
      <c r="E186">
        <v>10000</v>
      </c>
      <c r="F186">
        <v>103</v>
      </c>
      <c r="G186">
        <v>0</v>
      </c>
      <c r="H186">
        <v>0</v>
      </c>
      <c r="I186">
        <v>0</v>
      </c>
      <c r="J186">
        <v>0</v>
      </c>
      <c r="K186">
        <v>2</v>
      </c>
      <c r="L186">
        <v>0</v>
      </c>
      <c r="M186">
        <v>0</v>
      </c>
      <c r="N186">
        <v>0</v>
      </c>
      <c r="O186">
        <v>0</v>
      </c>
      <c r="P186">
        <v>16</v>
      </c>
      <c r="Q186">
        <v>62</v>
      </c>
      <c r="R186">
        <v>0</v>
      </c>
      <c r="S186">
        <v>0</v>
      </c>
      <c r="T186">
        <v>28</v>
      </c>
      <c r="U186">
        <v>11</v>
      </c>
      <c r="V186">
        <v>18</v>
      </c>
      <c r="W186">
        <v>0</v>
      </c>
      <c r="X186">
        <v>0</v>
      </c>
    </row>
    <row r="187" spans="1:24" x14ac:dyDescent="0.2">
      <c r="A187">
        <v>2060300</v>
      </c>
      <c r="B187" t="s">
        <v>186</v>
      </c>
      <c r="C187">
        <v>300</v>
      </c>
      <c r="D187">
        <v>300</v>
      </c>
      <c r="E187">
        <v>10000</v>
      </c>
      <c r="F187">
        <v>103</v>
      </c>
      <c r="G187">
        <v>0</v>
      </c>
      <c r="H187">
        <v>0</v>
      </c>
      <c r="I187">
        <v>0</v>
      </c>
      <c r="J187">
        <v>0</v>
      </c>
      <c r="K187">
        <v>8</v>
      </c>
      <c r="L187">
        <v>0</v>
      </c>
      <c r="M187">
        <v>0</v>
      </c>
      <c r="N187">
        <v>0</v>
      </c>
      <c r="O187">
        <v>0</v>
      </c>
      <c r="P187">
        <v>55</v>
      </c>
      <c r="Q187">
        <v>55</v>
      </c>
      <c r="R187">
        <v>0</v>
      </c>
      <c r="S187">
        <v>0</v>
      </c>
      <c r="T187">
        <v>28</v>
      </c>
      <c r="U187">
        <v>11</v>
      </c>
      <c r="V187">
        <v>18</v>
      </c>
      <c r="W187">
        <v>0</v>
      </c>
      <c r="X187">
        <v>0</v>
      </c>
    </row>
    <row r="188" spans="1:24" x14ac:dyDescent="0.2">
      <c r="A188">
        <v>2060400</v>
      </c>
      <c r="B188" t="s">
        <v>187</v>
      </c>
      <c r="C188">
        <v>500</v>
      </c>
      <c r="D188">
        <v>500</v>
      </c>
      <c r="E188">
        <v>10000</v>
      </c>
      <c r="F188">
        <v>103</v>
      </c>
      <c r="G188">
        <v>103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41</v>
      </c>
      <c r="Q188">
        <v>50</v>
      </c>
      <c r="R188">
        <v>91</v>
      </c>
      <c r="S188">
        <v>0</v>
      </c>
      <c r="T188">
        <v>28</v>
      </c>
      <c r="U188">
        <v>11</v>
      </c>
      <c r="V188">
        <v>18</v>
      </c>
      <c r="W188">
        <v>0</v>
      </c>
      <c r="X188">
        <v>0</v>
      </c>
    </row>
    <row r="189" spans="1:24" x14ac:dyDescent="0.2">
      <c r="A189">
        <v>2060500</v>
      </c>
      <c r="B189" t="s">
        <v>188</v>
      </c>
      <c r="C189">
        <v>400</v>
      </c>
      <c r="D189">
        <v>400</v>
      </c>
      <c r="E189">
        <v>10000</v>
      </c>
      <c r="F189">
        <v>103</v>
      </c>
      <c r="G189">
        <v>103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41</v>
      </c>
      <c r="Q189">
        <v>50</v>
      </c>
      <c r="R189">
        <v>91</v>
      </c>
      <c r="S189">
        <v>0</v>
      </c>
      <c r="T189">
        <v>28</v>
      </c>
      <c r="U189">
        <v>11</v>
      </c>
      <c r="V189">
        <v>18</v>
      </c>
      <c r="W189">
        <v>0</v>
      </c>
      <c r="X189">
        <v>0</v>
      </c>
    </row>
    <row r="190" spans="1:24" x14ac:dyDescent="0.2">
      <c r="A190">
        <v>2060600</v>
      </c>
      <c r="B190" t="s">
        <v>189</v>
      </c>
      <c r="C190">
        <v>600</v>
      </c>
      <c r="D190">
        <v>600</v>
      </c>
      <c r="E190">
        <v>10000</v>
      </c>
      <c r="F190">
        <v>108</v>
      </c>
      <c r="G190">
        <v>0</v>
      </c>
      <c r="H190">
        <v>108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41</v>
      </c>
      <c r="Q190">
        <v>50</v>
      </c>
      <c r="R190">
        <v>0</v>
      </c>
      <c r="S190">
        <v>0</v>
      </c>
      <c r="T190">
        <v>28</v>
      </c>
      <c r="U190">
        <v>11</v>
      </c>
      <c r="V190">
        <v>18</v>
      </c>
      <c r="W190">
        <v>0</v>
      </c>
      <c r="X190">
        <v>0</v>
      </c>
    </row>
    <row r="191" spans="1:24" x14ac:dyDescent="0.2">
      <c r="A191">
        <v>2060700</v>
      </c>
      <c r="B191" t="s">
        <v>190</v>
      </c>
      <c r="C191">
        <v>700</v>
      </c>
      <c r="D191">
        <v>700</v>
      </c>
      <c r="E191">
        <v>10000</v>
      </c>
      <c r="F191">
        <v>103</v>
      </c>
      <c r="G191">
        <v>0</v>
      </c>
      <c r="H191">
        <v>103</v>
      </c>
      <c r="I191">
        <v>0</v>
      </c>
      <c r="J191">
        <v>0</v>
      </c>
      <c r="K191">
        <v>0</v>
      </c>
      <c r="L191">
        <v>0</v>
      </c>
      <c r="M191">
        <v>4</v>
      </c>
      <c r="N191">
        <v>0</v>
      </c>
      <c r="O191">
        <v>0</v>
      </c>
      <c r="P191">
        <v>41</v>
      </c>
      <c r="Q191">
        <v>50</v>
      </c>
      <c r="R191">
        <v>91</v>
      </c>
      <c r="S191">
        <v>91</v>
      </c>
      <c r="T191">
        <v>28</v>
      </c>
      <c r="U191">
        <v>11</v>
      </c>
      <c r="V191">
        <v>18</v>
      </c>
      <c r="W191">
        <v>0</v>
      </c>
      <c r="X191">
        <v>0</v>
      </c>
    </row>
    <row r="192" spans="1:24" x14ac:dyDescent="0.2">
      <c r="A192">
        <v>2060800</v>
      </c>
      <c r="B192" t="s">
        <v>191</v>
      </c>
      <c r="C192">
        <v>800</v>
      </c>
      <c r="D192">
        <v>800</v>
      </c>
      <c r="E192">
        <v>10000</v>
      </c>
      <c r="F192">
        <v>103</v>
      </c>
      <c r="G192">
        <v>0</v>
      </c>
      <c r="H192">
        <v>0</v>
      </c>
      <c r="I192">
        <v>103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41</v>
      </c>
      <c r="Q192">
        <v>50</v>
      </c>
      <c r="R192">
        <v>0</v>
      </c>
      <c r="S192">
        <v>91</v>
      </c>
      <c r="T192">
        <v>28</v>
      </c>
      <c r="U192">
        <v>11</v>
      </c>
      <c r="V192">
        <v>18</v>
      </c>
      <c r="W192">
        <v>0</v>
      </c>
      <c r="X192">
        <v>0</v>
      </c>
    </row>
    <row r="193" spans="1:24" x14ac:dyDescent="0.2">
      <c r="A193">
        <v>2060900</v>
      </c>
      <c r="B193" t="s">
        <v>192</v>
      </c>
      <c r="C193">
        <v>900</v>
      </c>
      <c r="D193">
        <v>900</v>
      </c>
      <c r="E193">
        <v>10000</v>
      </c>
      <c r="F193">
        <v>108</v>
      </c>
      <c r="G193">
        <v>0</v>
      </c>
      <c r="H193">
        <v>0</v>
      </c>
      <c r="I193">
        <v>0</v>
      </c>
      <c r="J193">
        <v>108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41</v>
      </c>
      <c r="Q193">
        <v>50</v>
      </c>
      <c r="R193">
        <v>0</v>
      </c>
      <c r="S193">
        <v>0</v>
      </c>
      <c r="T193">
        <v>28</v>
      </c>
      <c r="U193">
        <v>11</v>
      </c>
      <c r="V193">
        <v>18</v>
      </c>
      <c r="W193">
        <v>0</v>
      </c>
      <c r="X193">
        <v>0</v>
      </c>
    </row>
    <row r="194" spans="1:24" x14ac:dyDescent="0.2">
      <c r="A194">
        <v>2061000</v>
      </c>
      <c r="B194" t="s">
        <v>193</v>
      </c>
      <c r="C194">
        <v>1000</v>
      </c>
      <c r="D194">
        <v>1000</v>
      </c>
      <c r="E194">
        <v>10000</v>
      </c>
      <c r="F194">
        <v>103</v>
      </c>
      <c r="G194">
        <v>0</v>
      </c>
      <c r="H194">
        <v>0</v>
      </c>
      <c r="I194">
        <v>0</v>
      </c>
      <c r="J194">
        <v>103</v>
      </c>
      <c r="K194">
        <v>0</v>
      </c>
      <c r="L194">
        <v>0</v>
      </c>
      <c r="M194">
        <v>0</v>
      </c>
      <c r="N194">
        <v>0</v>
      </c>
      <c r="O194">
        <v>4</v>
      </c>
      <c r="P194">
        <v>41</v>
      </c>
      <c r="Q194">
        <v>50</v>
      </c>
      <c r="R194">
        <v>91</v>
      </c>
      <c r="S194">
        <v>91</v>
      </c>
      <c r="T194">
        <v>28</v>
      </c>
      <c r="U194">
        <v>11</v>
      </c>
      <c r="V194">
        <v>18</v>
      </c>
      <c r="W194">
        <v>0</v>
      </c>
      <c r="X194">
        <v>0</v>
      </c>
    </row>
    <row r="195" spans="1:24" x14ac:dyDescent="0.2">
      <c r="A195">
        <v>2061100</v>
      </c>
      <c r="B195" t="s">
        <v>194</v>
      </c>
      <c r="C195">
        <v>1100</v>
      </c>
      <c r="D195">
        <v>1100</v>
      </c>
      <c r="E195">
        <v>10000</v>
      </c>
      <c r="F195">
        <v>103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41</v>
      </c>
      <c r="Q195">
        <v>50</v>
      </c>
      <c r="R195">
        <v>0</v>
      </c>
      <c r="S195">
        <v>0</v>
      </c>
      <c r="T195">
        <v>28</v>
      </c>
      <c r="U195">
        <v>11</v>
      </c>
      <c r="V195">
        <v>18</v>
      </c>
      <c r="W195">
        <v>0</v>
      </c>
      <c r="X195">
        <v>0</v>
      </c>
    </row>
    <row r="196" spans="1:24" x14ac:dyDescent="0.2">
      <c r="A196">
        <v>2061200</v>
      </c>
      <c r="B196" t="s">
        <v>195</v>
      </c>
      <c r="C196">
        <v>1200</v>
      </c>
      <c r="D196">
        <v>1200</v>
      </c>
      <c r="E196">
        <v>10000</v>
      </c>
      <c r="F196">
        <v>103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41</v>
      </c>
      <c r="Q196">
        <v>50</v>
      </c>
      <c r="R196">
        <v>0</v>
      </c>
      <c r="S196">
        <v>0</v>
      </c>
      <c r="T196">
        <v>28</v>
      </c>
      <c r="U196">
        <v>11</v>
      </c>
      <c r="V196">
        <v>18</v>
      </c>
      <c r="W196">
        <v>0</v>
      </c>
      <c r="X196">
        <v>0</v>
      </c>
    </row>
    <row r="197" spans="1:24" x14ac:dyDescent="0.2">
      <c r="A197">
        <v>2061300</v>
      </c>
      <c r="B197" t="s">
        <v>196</v>
      </c>
      <c r="C197">
        <v>1300</v>
      </c>
      <c r="D197">
        <v>1300</v>
      </c>
      <c r="E197">
        <v>10000</v>
      </c>
      <c r="F197">
        <v>115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41</v>
      </c>
      <c r="Q197">
        <v>50</v>
      </c>
      <c r="R197">
        <v>0</v>
      </c>
      <c r="S197">
        <v>0</v>
      </c>
      <c r="T197">
        <v>28</v>
      </c>
      <c r="U197">
        <v>11</v>
      </c>
      <c r="V197">
        <v>18</v>
      </c>
      <c r="W197">
        <v>0</v>
      </c>
      <c r="X197">
        <v>0</v>
      </c>
    </row>
    <row r="198" spans="1:24" x14ac:dyDescent="0.2">
      <c r="A198">
        <v>2061400</v>
      </c>
      <c r="B198" t="s">
        <v>197</v>
      </c>
      <c r="C198">
        <v>1400</v>
      </c>
      <c r="D198">
        <v>1400</v>
      </c>
      <c r="E198">
        <v>10014</v>
      </c>
      <c r="F198">
        <v>103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41</v>
      </c>
      <c r="Q198">
        <v>50</v>
      </c>
      <c r="R198">
        <v>0</v>
      </c>
      <c r="S198">
        <v>91</v>
      </c>
      <c r="T198">
        <v>28</v>
      </c>
      <c r="U198">
        <v>11</v>
      </c>
      <c r="V198">
        <v>18</v>
      </c>
      <c r="W198">
        <v>0</v>
      </c>
      <c r="X198">
        <v>0</v>
      </c>
    </row>
    <row r="199" spans="1:24" x14ac:dyDescent="0.2">
      <c r="A199">
        <v>2061500</v>
      </c>
      <c r="B199" t="s">
        <v>198</v>
      </c>
      <c r="C199">
        <v>1500</v>
      </c>
      <c r="D199">
        <v>1500</v>
      </c>
      <c r="E199">
        <v>10015</v>
      </c>
      <c r="F199">
        <v>103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41</v>
      </c>
      <c r="Q199">
        <v>50</v>
      </c>
      <c r="R199">
        <v>0</v>
      </c>
      <c r="S199">
        <v>0</v>
      </c>
      <c r="T199">
        <v>28</v>
      </c>
      <c r="U199">
        <v>11</v>
      </c>
      <c r="V199">
        <v>18</v>
      </c>
      <c r="W199">
        <v>0</v>
      </c>
      <c r="X199">
        <v>0</v>
      </c>
    </row>
    <row r="200" spans="1:24" x14ac:dyDescent="0.2">
      <c r="A200">
        <v>2110000</v>
      </c>
      <c r="B200" t="s">
        <v>199</v>
      </c>
      <c r="C200">
        <v>2200</v>
      </c>
      <c r="D200">
        <v>2200</v>
      </c>
      <c r="E200">
        <v>12000</v>
      </c>
      <c r="F200">
        <v>98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25</v>
      </c>
      <c r="Q200">
        <v>25</v>
      </c>
      <c r="R200">
        <v>0</v>
      </c>
      <c r="S200">
        <v>60</v>
      </c>
      <c r="T200">
        <v>15</v>
      </c>
      <c r="U200">
        <v>12</v>
      </c>
      <c r="V200">
        <v>12</v>
      </c>
      <c r="W200">
        <v>0</v>
      </c>
      <c r="X200">
        <v>16</v>
      </c>
    </row>
    <row r="201" spans="1:24" x14ac:dyDescent="0.2">
      <c r="A201">
        <v>2120000</v>
      </c>
      <c r="B201" t="s">
        <v>200</v>
      </c>
      <c r="C201">
        <v>0</v>
      </c>
      <c r="D201">
        <v>0</v>
      </c>
      <c r="E201">
        <v>10000</v>
      </c>
      <c r="F201">
        <v>103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15</v>
      </c>
      <c r="Q201">
        <v>58</v>
      </c>
      <c r="R201">
        <v>0</v>
      </c>
      <c r="S201">
        <v>0</v>
      </c>
      <c r="T201">
        <v>21</v>
      </c>
      <c r="U201">
        <v>10</v>
      </c>
      <c r="V201">
        <v>13</v>
      </c>
      <c r="W201">
        <v>0</v>
      </c>
      <c r="X201">
        <v>0</v>
      </c>
    </row>
    <row r="202" spans="1:24" x14ac:dyDescent="0.2">
      <c r="A202">
        <v>2120100</v>
      </c>
      <c r="B202" t="s">
        <v>201</v>
      </c>
      <c r="C202">
        <v>200</v>
      </c>
      <c r="D202">
        <v>100</v>
      </c>
      <c r="E202">
        <v>10000</v>
      </c>
      <c r="F202">
        <v>103</v>
      </c>
      <c r="G202">
        <v>0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40</v>
      </c>
      <c r="Q202">
        <v>0</v>
      </c>
      <c r="R202">
        <v>0</v>
      </c>
      <c r="S202">
        <v>0</v>
      </c>
      <c r="T202">
        <v>21</v>
      </c>
      <c r="U202">
        <v>10</v>
      </c>
      <c r="V202">
        <v>13</v>
      </c>
      <c r="W202">
        <v>0</v>
      </c>
      <c r="X202">
        <v>0</v>
      </c>
    </row>
    <row r="203" spans="1:24" x14ac:dyDescent="0.2">
      <c r="A203">
        <v>2120200</v>
      </c>
      <c r="B203" t="s">
        <v>202</v>
      </c>
      <c r="C203">
        <v>100</v>
      </c>
      <c r="D203">
        <v>5000</v>
      </c>
      <c r="E203">
        <v>10000</v>
      </c>
      <c r="F203">
        <v>103</v>
      </c>
      <c r="G203">
        <v>0</v>
      </c>
      <c r="H203">
        <v>0</v>
      </c>
      <c r="I203">
        <v>0</v>
      </c>
      <c r="J203">
        <v>0</v>
      </c>
      <c r="K203">
        <v>2</v>
      </c>
      <c r="L203">
        <v>0</v>
      </c>
      <c r="M203">
        <v>0</v>
      </c>
      <c r="N203">
        <v>0</v>
      </c>
      <c r="O203">
        <v>0</v>
      </c>
      <c r="P203">
        <v>7</v>
      </c>
      <c r="Q203">
        <v>58</v>
      </c>
      <c r="R203">
        <v>0</v>
      </c>
      <c r="S203">
        <v>0</v>
      </c>
      <c r="T203">
        <v>21</v>
      </c>
      <c r="U203">
        <v>10</v>
      </c>
      <c r="V203">
        <v>13</v>
      </c>
      <c r="W203">
        <v>0</v>
      </c>
      <c r="X203">
        <v>0</v>
      </c>
    </row>
    <row r="204" spans="1:24" x14ac:dyDescent="0.2">
      <c r="A204">
        <v>2120300</v>
      </c>
      <c r="B204" t="s">
        <v>203</v>
      </c>
      <c r="C204">
        <v>300</v>
      </c>
      <c r="D204">
        <v>300</v>
      </c>
      <c r="E204">
        <v>10000</v>
      </c>
      <c r="F204">
        <v>103</v>
      </c>
      <c r="G204">
        <v>0</v>
      </c>
      <c r="H204">
        <v>0</v>
      </c>
      <c r="I204">
        <v>0</v>
      </c>
      <c r="J204">
        <v>0</v>
      </c>
      <c r="K204">
        <v>8</v>
      </c>
      <c r="L204">
        <v>0</v>
      </c>
      <c r="M204">
        <v>0</v>
      </c>
      <c r="N204">
        <v>0</v>
      </c>
      <c r="O204">
        <v>0</v>
      </c>
      <c r="P204">
        <v>46</v>
      </c>
      <c r="Q204">
        <v>46</v>
      </c>
      <c r="R204">
        <v>0</v>
      </c>
      <c r="S204">
        <v>0</v>
      </c>
      <c r="T204">
        <v>21</v>
      </c>
      <c r="U204">
        <v>10</v>
      </c>
      <c r="V204">
        <v>13</v>
      </c>
      <c r="W204">
        <v>0</v>
      </c>
      <c r="X204">
        <v>0</v>
      </c>
    </row>
    <row r="205" spans="1:24" x14ac:dyDescent="0.2">
      <c r="A205">
        <v>2120400</v>
      </c>
      <c r="B205" t="s">
        <v>204</v>
      </c>
      <c r="C205">
        <v>500</v>
      </c>
      <c r="D205">
        <v>500</v>
      </c>
      <c r="E205">
        <v>10000</v>
      </c>
      <c r="F205">
        <v>103</v>
      </c>
      <c r="G205">
        <v>103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15</v>
      </c>
      <c r="Q205">
        <v>58</v>
      </c>
      <c r="R205">
        <v>73</v>
      </c>
      <c r="S205">
        <v>0</v>
      </c>
      <c r="T205">
        <v>21</v>
      </c>
      <c r="U205">
        <v>10</v>
      </c>
      <c r="V205">
        <v>13</v>
      </c>
      <c r="W205">
        <v>0</v>
      </c>
      <c r="X205">
        <v>0</v>
      </c>
    </row>
    <row r="206" spans="1:24" x14ac:dyDescent="0.2">
      <c r="A206">
        <v>2120500</v>
      </c>
      <c r="B206" t="s">
        <v>205</v>
      </c>
      <c r="C206">
        <v>400</v>
      </c>
      <c r="D206">
        <v>400</v>
      </c>
      <c r="E206">
        <v>10000</v>
      </c>
      <c r="F206">
        <v>103</v>
      </c>
      <c r="G206">
        <v>103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15</v>
      </c>
      <c r="Q206">
        <v>58</v>
      </c>
      <c r="R206">
        <v>73</v>
      </c>
      <c r="S206">
        <v>0</v>
      </c>
      <c r="T206">
        <v>21</v>
      </c>
      <c r="U206">
        <v>10</v>
      </c>
      <c r="V206">
        <v>13</v>
      </c>
      <c r="W206">
        <v>0</v>
      </c>
      <c r="X206">
        <v>0</v>
      </c>
    </row>
    <row r="207" spans="1:24" x14ac:dyDescent="0.2">
      <c r="A207">
        <v>2120600</v>
      </c>
      <c r="B207" t="s">
        <v>206</v>
      </c>
      <c r="C207">
        <v>600</v>
      </c>
      <c r="D207">
        <v>600</v>
      </c>
      <c r="E207">
        <v>10000</v>
      </c>
      <c r="F207">
        <v>103</v>
      </c>
      <c r="G207">
        <v>0</v>
      </c>
      <c r="H207">
        <v>103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15</v>
      </c>
      <c r="Q207">
        <v>58</v>
      </c>
      <c r="R207">
        <v>0</v>
      </c>
      <c r="S207">
        <v>0</v>
      </c>
      <c r="T207">
        <v>21</v>
      </c>
      <c r="U207">
        <v>10</v>
      </c>
      <c r="V207">
        <v>13</v>
      </c>
      <c r="W207">
        <v>0</v>
      </c>
      <c r="X207">
        <v>0</v>
      </c>
    </row>
    <row r="208" spans="1:24" x14ac:dyDescent="0.2">
      <c r="A208">
        <v>2120700</v>
      </c>
      <c r="B208" t="s">
        <v>207</v>
      </c>
      <c r="C208">
        <v>700</v>
      </c>
      <c r="D208">
        <v>700</v>
      </c>
      <c r="E208">
        <v>10000</v>
      </c>
      <c r="F208">
        <v>103</v>
      </c>
      <c r="G208">
        <v>0</v>
      </c>
      <c r="H208">
        <v>103</v>
      </c>
      <c r="I208">
        <v>0</v>
      </c>
      <c r="J208">
        <v>0</v>
      </c>
      <c r="K208">
        <v>0</v>
      </c>
      <c r="L208">
        <v>0</v>
      </c>
      <c r="M208">
        <v>4</v>
      </c>
      <c r="N208">
        <v>0</v>
      </c>
      <c r="O208">
        <v>0</v>
      </c>
      <c r="P208">
        <v>15</v>
      </c>
      <c r="Q208">
        <v>58</v>
      </c>
      <c r="R208">
        <v>73</v>
      </c>
      <c r="S208">
        <v>73</v>
      </c>
      <c r="T208">
        <v>21</v>
      </c>
      <c r="U208">
        <v>10</v>
      </c>
      <c r="V208">
        <v>13</v>
      </c>
      <c r="W208">
        <v>0</v>
      </c>
      <c r="X208">
        <v>0</v>
      </c>
    </row>
    <row r="209" spans="1:24" x14ac:dyDescent="0.2">
      <c r="A209">
        <v>2120800</v>
      </c>
      <c r="B209" t="s">
        <v>208</v>
      </c>
      <c r="C209">
        <v>800</v>
      </c>
      <c r="D209">
        <v>800</v>
      </c>
      <c r="E209">
        <v>10000</v>
      </c>
      <c r="F209">
        <v>103</v>
      </c>
      <c r="G209">
        <v>0</v>
      </c>
      <c r="H209">
        <v>0</v>
      </c>
      <c r="I209">
        <v>103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15</v>
      </c>
      <c r="Q209">
        <v>58</v>
      </c>
      <c r="R209">
        <v>0</v>
      </c>
      <c r="S209">
        <v>73</v>
      </c>
      <c r="T209">
        <v>21</v>
      </c>
      <c r="U209">
        <v>10</v>
      </c>
      <c r="V209">
        <v>13</v>
      </c>
      <c r="W209">
        <v>0</v>
      </c>
      <c r="X209">
        <v>0</v>
      </c>
    </row>
    <row r="210" spans="1:24" x14ac:dyDescent="0.2">
      <c r="A210">
        <v>2120900</v>
      </c>
      <c r="B210" t="s">
        <v>209</v>
      </c>
      <c r="C210">
        <v>900</v>
      </c>
      <c r="D210">
        <v>900</v>
      </c>
      <c r="E210">
        <v>10000</v>
      </c>
      <c r="F210">
        <v>103</v>
      </c>
      <c r="G210">
        <v>0</v>
      </c>
      <c r="H210">
        <v>0</v>
      </c>
      <c r="I210">
        <v>0</v>
      </c>
      <c r="J210">
        <v>103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15</v>
      </c>
      <c r="Q210">
        <v>58</v>
      </c>
      <c r="R210">
        <v>0</v>
      </c>
      <c r="S210">
        <v>0</v>
      </c>
      <c r="T210">
        <v>21</v>
      </c>
      <c r="U210">
        <v>10</v>
      </c>
      <c r="V210">
        <v>13</v>
      </c>
      <c r="W210">
        <v>0</v>
      </c>
      <c r="X210">
        <v>0</v>
      </c>
    </row>
    <row r="211" spans="1:24" x14ac:dyDescent="0.2">
      <c r="A211">
        <v>2121000</v>
      </c>
      <c r="B211" t="s">
        <v>210</v>
      </c>
      <c r="C211">
        <v>1000</v>
      </c>
      <c r="D211">
        <v>1000</v>
      </c>
      <c r="E211">
        <v>10000</v>
      </c>
      <c r="F211">
        <v>103</v>
      </c>
      <c r="G211">
        <v>0</v>
      </c>
      <c r="H211">
        <v>0</v>
      </c>
      <c r="I211">
        <v>0</v>
      </c>
      <c r="J211">
        <v>103</v>
      </c>
      <c r="K211">
        <v>0</v>
      </c>
      <c r="L211">
        <v>0</v>
      </c>
      <c r="M211">
        <v>0</v>
      </c>
      <c r="N211">
        <v>0</v>
      </c>
      <c r="O211">
        <v>4</v>
      </c>
      <c r="P211">
        <v>15</v>
      </c>
      <c r="Q211">
        <v>58</v>
      </c>
      <c r="R211">
        <v>73</v>
      </c>
      <c r="S211">
        <v>73</v>
      </c>
      <c r="T211">
        <v>21</v>
      </c>
      <c r="U211">
        <v>10</v>
      </c>
      <c r="V211">
        <v>13</v>
      </c>
      <c r="W211">
        <v>0</v>
      </c>
      <c r="X211">
        <v>0</v>
      </c>
    </row>
    <row r="212" spans="1:24" x14ac:dyDescent="0.2">
      <c r="A212">
        <v>2121100</v>
      </c>
      <c r="B212" t="s">
        <v>211</v>
      </c>
      <c r="C212">
        <v>1100</v>
      </c>
      <c r="D212">
        <v>1100</v>
      </c>
      <c r="E212">
        <v>10000</v>
      </c>
      <c r="F212">
        <v>103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15</v>
      </c>
      <c r="Q212">
        <v>58</v>
      </c>
      <c r="R212">
        <v>0</v>
      </c>
      <c r="S212">
        <v>0</v>
      </c>
      <c r="T212">
        <v>21</v>
      </c>
      <c r="U212">
        <v>10</v>
      </c>
      <c r="V212">
        <v>13</v>
      </c>
      <c r="W212">
        <v>0</v>
      </c>
      <c r="X212">
        <v>0</v>
      </c>
    </row>
    <row r="213" spans="1:24" x14ac:dyDescent="0.2">
      <c r="A213">
        <v>2121200</v>
      </c>
      <c r="B213" t="s">
        <v>212</v>
      </c>
      <c r="C213">
        <v>1200</v>
      </c>
      <c r="D213">
        <v>1200</v>
      </c>
      <c r="E213">
        <v>10000</v>
      </c>
      <c r="F213">
        <v>103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15</v>
      </c>
      <c r="Q213">
        <v>58</v>
      </c>
      <c r="R213">
        <v>0</v>
      </c>
      <c r="S213">
        <v>0</v>
      </c>
      <c r="T213">
        <v>21</v>
      </c>
      <c r="U213">
        <v>10</v>
      </c>
      <c r="V213">
        <v>13</v>
      </c>
      <c r="W213">
        <v>0</v>
      </c>
      <c r="X213">
        <v>0</v>
      </c>
    </row>
    <row r="214" spans="1:24" x14ac:dyDescent="0.2">
      <c r="A214">
        <v>2121300</v>
      </c>
      <c r="B214" t="s">
        <v>213</v>
      </c>
      <c r="C214">
        <v>1300</v>
      </c>
      <c r="D214">
        <v>1300</v>
      </c>
      <c r="E214">
        <v>10000</v>
      </c>
      <c r="F214">
        <v>113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15</v>
      </c>
      <c r="Q214">
        <v>58</v>
      </c>
      <c r="R214">
        <v>0</v>
      </c>
      <c r="S214">
        <v>0</v>
      </c>
      <c r="T214">
        <v>21</v>
      </c>
      <c r="U214">
        <v>10</v>
      </c>
      <c r="V214">
        <v>13</v>
      </c>
      <c r="W214">
        <v>0</v>
      </c>
      <c r="X214">
        <v>0</v>
      </c>
    </row>
    <row r="215" spans="1:24" x14ac:dyDescent="0.2">
      <c r="A215">
        <v>2121400</v>
      </c>
      <c r="B215" t="s">
        <v>214</v>
      </c>
      <c r="C215">
        <v>1400</v>
      </c>
      <c r="D215">
        <v>1400</v>
      </c>
      <c r="E215">
        <v>10014</v>
      </c>
      <c r="F215">
        <v>103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15</v>
      </c>
      <c r="Q215">
        <v>58</v>
      </c>
      <c r="R215">
        <v>0</v>
      </c>
      <c r="S215">
        <v>73</v>
      </c>
      <c r="T215">
        <v>21</v>
      </c>
      <c r="U215">
        <v>10</v>
      </c>
      <c r="V215">
        <v>13</v>
      </c>
      <c r="W215">
        <v>0</v>
      </c>
      <c r="X215">
        <v>0</v>
      </c>
    </row>
    <row r="216" spans="1:24" x14ac:dyDescent="0.2">
      <c r="A216">
        <v>2121500</v>
      </c>
      <c r="B216" t="s">
        <v>215</v>
      </c>
      <c r="C216">
        <v>1500</v>
      </c>
      <c r="D216">
        <v>1500</v>
      </c>
      <c r="E216">
        <v>10015</v>
      </c>
      <c r="F216">
        <v>103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15</v>
      </c>
      <c r="Q216">
        <v>58</v>
      </c>
      <c r="R216">
        <v>0</v>
      </c>
      <c r="S216">
        <v>0</v>
      </c>
      <c r="T216">
        <v>21</v>
      </c>
      <c r="U216">
        <v>10</v>
      </c>
      <c r="V216">
        <v>13</v>
      </c>
      <c r="W216">
        <v>0</v>
      </c>
      <c r="X216">
        <v>0</v>
      </c>
    </row>
    <row r="217" spans="1:24" x14ac:dyDescent="0.2">
      <c r="A217">
        <v>2140000</v>
      </c>
      <c r="B217" t="s">
        <v>216</v>
      </c>
      <c r="C217">
        <v>2200</v>
      </c>
      <c r="D217">
        <v>2200</v>
      </c>
      <c r="E217">
        <v>10000</v>
      </c>
      <c r="F217">
        <v>108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46</v>
      </c>
      <c r="Q217">
        <v>30</v>
      </c>
      <c r="R217">
        <v>0</v>
      </c>
      <c r="S217">
        <v>0</v>
      </c>
      <c r="T217">
        <v>23</v>
      </c>
      <c r="U217">
        <v>12</v>
      </c>
      <c r="V217">
        <v>14</v>
      </c>
      <c r="W217">
        <v>0</v>
      </c>
      <c r="X217">
        <v>0</v>
      </c>
    </row>
    <row r="218" spans="1:24" x14ac:dyDescent="0.2">
      <c r="A218">
        <v>2160000</v>
      </c>
      <c r="B218" t="s">
        <v>217</v>
      </c>
      <c r="C218">
        <v>0</v>
      </c>
      <c r="D218">
        <v>2700</v>
      </c>
      <c r="E218">
        <v>10000</v>
      </c>
      <c r="F218">
        <v>64</v>
      </c>
      <c r="G218">
        <v>70</v>
      </c>
      <c r="H218">
        <v>0</v>
      </c>
      <c r="I218">
        <v>0</v>
      </c>
      <c r="J218">
        <v>0</v>
      </c>
      <c r="K218">
        <v>0</v>
      </c>
      <c r="L218">
        <v>16</v>
      </c>
      <c r="M218">
        <v>16</v>
      </c>
      <c r="N218">
        <v>16</v>
      </c>
      <c r="O218">
        <v>16</v>
      </c>
      <c r="P218">
        <v>25</v>
      </c>
      <c r="Q218">
        <v>21</v>
      </c>
      <c r="R218">
        <v>80</v>
      </c>
      <c r="S218">
        <v>0</v>
      </c>
      <c r="T218">
        <v>0</v>
      </c>
      <c r="U218">
        <v>8</v>
      </c>
      <c r="V218">
        <v>12</v>
      </c>
      <c r="W218">
        <v>0</v>
      </c>
      <c r="X218">
        <v>12</v>
      </c>
    </row>
    <row r="219" spans="1:24" x14ac:dyDescent="0.2">
      <c r="A219">
        <v>2180000</v>
      </c>
      <c r="B219" t="s">
        <v>218</v>
      </c>
      <c r="C219">
        <v>2200</v>
      </c>
      <c r="D219">
        <v>2200</v>
      </c>
      <c r="E219">
        <v>10000</v>
      </c>
      <c r="F219">
        <v>114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46</v>
      </c>
      <c r="Q219">
        <v>25</v>
      </c>
      <c r="R219">
        <v>0</v>
      </c>
      <c r="S219">
        <v>0</v>
      </c>
      <c r="T219">
        <v>22</v>
      </c>
      <c r="U219">
        <v>12</v>
      </c>
      <c r="V219">
        <v>17</v>
      </c>
      <c r="W219">
        <v>0</v>
      </c>
      <c r="X219">
        <v>0</v>
      </c>
    </row>
    <row r="220" spans="1:24" x14ac:dyDescent="0.2">
      <c r="A220">
        <v>2200000</v>
      </c>
      <c r="B220" t="s">
        <v>219</v>
      </c>
      <c r="C220">
        <v>0</v>
      </c>
      <c r="D220">
        <v>0</v>
      </c>
      <c r="E220">
        <v>10000</v>
      </c>
      <c r="F220">
        <v>129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26</v>
      </c>
      <c r="Q220">
        <v>20</v>
      </c>
      <c r="R220">
        <v>0</v>
      </c>
      <c r="S220">
        <v>0</v>
      </c>
      <c r="T220">
        <v>14</v>
      </c>
      <c r="U220">
        <v>10</v>
      </c>
      <c r="V220">
        <v>10</v>
      </c>
      <c r="W220">
        <v>0</v>
      </c>
      <c r="X220">
        <v>12</v>
      </c>
    </row>
    <row r="221" spans="1:24" x14ac:dyDescent="0.2">
      <c r="A221">
        <v>2200100</v>
      </c>
      <c r="B221" t="s">
        <v>220</v>
      </c>
      <c r="C221">
        <v>200</v>
      </c>
      <c r="D221">
        <v>100</v>
      </c>
      <c r="E221">
        <v>10000</v>
      </c>
      <c r="F221">
        <v>129</v>
      </c>
      <c r="G221">
        <v>0</v>
      </c>
      <c r="H221">
        <v>0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21</v>
      </c>
      <c r="Q221">
        <v>0</v>
      </c>
      <c r="R221">
        <v>0</v>
      </c>
      <c r="S221">
        <v>0</v>
      </c>
      <c r="T221">
        <v>14</v>
      </c>
      <c r="U221">
        <v>10</v>
      </c>
      <c r="V221">
        <v>10</v>
      </c>
      <c r="W221">
        <v>0</v>
      </c>
      <c r="X221">
        <v>12</v>
      </c>
    </row>
    <row r="222" spans="1:24" x14ac:dyDescent="0.2">
      <c r="A222">
        <v>2200200</v>
      </c>
      <c r="B222" t="s">
        <v>221</v>
      </c>
      <c r="C222">
        <v>100</v>
      </c>
      <c r="D222">
        <v>200</v>
      </c>
      <c r="E222">
        <v>10000</v>
      </c>
      <c r="F222">
        <v>129</v>
      </c>
      <c r="G222">
        <v>0</v>
      </c>
      <c r="H222">
        <v>0</v>
      </c>
      <c r="I222">
        <v>0</v>
      </c>
      <c r="J222">
        <v>0</v>
      </c>
      <c r="K222">
        <v>2</v>
      </c>
      <c r="L222">
        <v>0</v>
      </c>
      <c r="M222">
        <v>0</v>
      </c>
      <c r="N222">
        <v>0</v>
      </c>
      <c r="O222">
        <v>0</v>
      </c>
      <c r="P222">
        <v>5</v>
      </c>
      <c r="Q222">
        <v>24</v>
      </c>
      <c r="R222">
        <v>0</v>
      </c>
      <c r="S222">
        <v>0</v>
      </c>
      <c r="T222">
        <v>14</v>
      </c>
      <c r="U222">
        <v>10</v>
      </c>
      <c r="V222">
        <v>10</v>
      </c>
      <c r="W222">
        <v>0</v>
      </c>
      <c r="X222">
        <v>12</v>
      </c>
    </row>
    <row r="223" spans="1:24" x14ac:dyDescent="0.2">
      <c r="A223">
        <v>2200300</v>
      </c>
      <c r="B223" t="s">
        <v>222</v>
      </c>
      <c r="C223">
        <v>300</v>
      </c>
      <c r="D223">
        <v>300</v>
      </c>
      <c r="E223">
        <v>10000</v>
      </c>
      <c r="F223">
        <v>129</v>
      </c>
      <c r="G223">
        <v>0</v>
      </c>
      <c r="H223">
        <v>0</v>
      </c>
      <c r="I223">
        <v>0</v>
      </c>
      <c r="J223">
        <v>0</v>
      </c>
      <c r="K223">
        <v>8</v>
      </c>
      <c r="L223">
        <v>0</v>
      </c>
      <c r="M223">
        <v>0</v>
      </c>
      <c r="N223">
        <v>0</v>
      </c>
      <c r="O223">
        <v>0</v>
      </c>
      <c r="P223">
        <v>28</v>
      </c>
      <c r="Q223">
        <v>28</v>
      </c>
      <c r="R223">
        <v>0</v>
      </c>
      <c r="S223">
        <v>0</v>
      </c>
      <c r="T223">
        <v>14</v>
      </c>
      <c r="U223">
        <v>10</v>
      </c>
      <c r="V223">
        <v>10</v>
      </c>
      <c r="W223">
        <v>0</v>
      </c>
      <c r="X223">
        <v>12</v>
      </c>
    </row>
    <row r="224" spans="1:24" x14ac:dyDescent="0.2">
      <c r="A224">
        <v>2200400</v>
      </c>
      <c r="B224" t="s">
        <v>223</v>
      </c>
      <c r="C224">
        <v>500</v>
      </c>
      <c r="D224">
        <v>500</v>
      </c>
      <c r="E224">
        <v>10000</v>
      </c>
      <c r="F224">
        <v>121</v>
      </c>
      <c r="G224">
        <v>121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26</v>
      </c>
      <c r="Q224">
        <v>20</v>
      </c>
      <c r="R224">
        <v>46</v>
      </c>
      <c r="S224">
        <v>0</v>
      </c>
      <c r="T224">
        <v>14</v>
      </c>
      <c r="U224">
        <v>10</v>
      </c>
      <c r="V224">
        <v>10</v>
      </c>
      <c r="W224">
        <v>0</v>
      </c>
      <c r="X224">
        <v>12</v>
      </c>
    </row>
    <row r="225" spans="1:24" x14ac:dyDescent="0.2">
      <c r="A225">
        <v>2200500</v>
      </c>
      <c r="B225" t="s">
        <v>224</v>
      </c>
      <c r="C225">
        <v>400</v>
      </c>
      <c r="D225">
        <v>400</v>
      </c>
      <c r="E225">
        <v>10000</v>
      </c>
      <c r="F225">
        <v>121</v>
      </c>
      <c r="G225">
        <v>121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26</v>
      </c>
      <c r="Q225">
        <v>20</v>
      </c>
      <c r="R225">
        <v>46</v>
      </c>
      <c r="S225">
        <v>0</v>
      </c>
      <c r="T225">
        <v>14</v>
      </c>
      <c r="U225">
        <v>10</v>
      </c>
      <c r="V225">
        <v>10</v>
      </c>
      <c r="W225">
        <v>0</v>
      </c>
      <c r="X225">
        <v>12</v>
      </c>
    </row>
    <row r="226" spans="1:24" x14ac:dyDescent="0.2">
      <c r="A226">
        <v>2200600</v>
      </c>
      <c r="B226" t="s">
        <v>225</v>
      </c>
      <c r="C226">
        <v>600</v>
      </c>
      <c r="D226">
        <v>600</v>
      </c>
      <c r="E226">
        <v>10000</v>
      </c>
      <c r="F226">
        <v>104</v>
      </c>
      <c r="G226">
        <v>0</v>
      </c>
      <c r="H226">
        <v>104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26</v>
      </c>
      <c r="Q226">
        <v>20</v>
      </c>
      <c r="R226">
        <v>0</v>
      </c>
      <c r="S226">
        <v>0</v>
      </c>
      <c r="T226">
        <v>14</v>
      </c>
      <c r="U226">
        <v>10</v>
      </c>
      <c r="V226">
        <v>10</v>
      </c>
      <c r="W226">
        <v>0</v>
      </c>
      <c r="X226">
        <v>12</v>
      </c>
    </row>
    <row r="227" spans="1:24" x14ac:dyDescent="0.2">
      <c r="A227">
        <v>2200700</v>
      </c>
      <c r="B227" t="s">
        <v>226</v>
      </c>
      <c r="C227">
        <v>700</v>
      </c>
      <c r="D227">
        <v>700</v>
      </c>
      <c r="E227">
        <v>10000</v>
      </c>
      <c r="F227">
        <v>121</v>
      </c>
      <c r="G227">
        <v>0</v>
      </c>
      <c r="H227">
        <v>121</v>
      </c>
      <c r="I227">
        <v>0</v>
      </c>
      <c r="J227">
        <v>0</v>
      </c>
      <c r="K227">
        <v>0</v>
      </c>
      <c r="L227">
        <v>0</v>
      </c>
      <c r="M227">
        <v>4</v>
      </c>
      <c r="N227">
        <v>0</v>
      </c>
      <c r="O227">
        <v>0</v>
      </c>
      <c r="P227">
        <v>26</v>
      </c>
      <c r="Q227">
        <v>20</v>
      </c>
      <c r="R227">
        <v>46</v>
      </c>
      <c r="S227">
        <v>46</v>
      </c>
      <c r="T227">
        <v>14</v>
      </c>
      <c r="U227">
        <v>10</v>
      </c>
      <c r="V227">
        <v>10</v>
      </c>
      <c r="W227">
        <v>0</v>
      </c>
      <c r="X227">
        <v>12</v>
      </c>
    </row>
    <row r="228" spans="1:24" x14ac:dyDescent="0.2">
      <c r="A228">
        <v>2200800</v>
      </c>
      <c r="B228" t="s">
        <v>227</v>
      </c>
      <c r="C228">
        <v>800</v>
      </c>
      <c r="D228">
        <v>800</v>
      </c>
      <c r="E228">
        <v>10000</v>
      </c>
      <c r="F228">
        <v>121</v>
      </c>
      <c r="G228">
        <v>0</v>
      </c>
      <c r="H228">
        <v>0</v>
      </c>
      <c r="I228">
        <v>121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26</v>
      </c>
      <c r="Q228">
        <v>20</v>
      </c>
      <c r="R228">
        <v>0</v>
      </c>
      <c r="S228">
        <v>46</v>
      </c>
      <c r="T228">
        <v>14</v>
      </c>
      <c r="U228">
        <v>10</v>
      </c>
      <c r="V228">
        <v>10</v>
      </c>
      <c r="W228">
        <v>0</v>
      </c>
      <c r="X228">
        <v>12</v>
      </c>
    </row>
    <row r="229" spans="1:24" x14ac:dyDescent="0.2">
      <c r="A229">
        <v>2200900</v>
      </c>
      <c r="B229" t="s">
        <v>228</v>
      </c>
      <c r="C229">
        <v>900</v>
      </c>
      <c r="D229">
        <v>900</v>
      </c>
      <c r="E229">
        <v>10000</v>
      </c>
      <c r="F229">
        <v>104</v>
      </c>
      <c r="G229">
        <v>0</v>
      </c>
      <c r="H229">
        <v>0</v>
      </c>
      <c r="I229">
        <v>0</v>
      </c>
      <c r="J229">
        <v>104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26</v>
      </c>
      <c r="Q229">
        <v>20</v>
      </c>
      <c r="R229">
        <v>0</v>
      </c>
      <c r="S229">
        <v>0</v>
      </c>
      <c r="T229">
        <v>14</v>
      </c>
      <c r="U229">
        <v>10</v>
      </c>
      <c r="V229">
        <v>10</v>
      </c>
      <c r="W229">
        <v>0</v>
      </c>
      <c r="X229">
        <v>12</v>
      </c>
    </row>
    <row r="230" spans="1:24" x14ac:dyDescent="0.2">
      <c r="A230">
        <v>2201000</v>
      </c>
      <c r="B230" t="s">
        <v>229</v>
      </c>
      <c r="C230">
        <v>1000</v>
      </c>
      <c r="D230">
        <v>1000</v>
      </c>
      <c r="E230">
        <v>10000</v>
      </c>
      <c r="F230">
        <v>121</v>
      </c>
      <c r="G230">
        <v>0</v>
      </c>
      <c r="H230">
        <v>0</v>
      </c>
      <c r="I230">
        <v>0</v>
      </c>
      <c r="J230">
        <v>121</v>
      </c>
      <c r="K230">
        <v>0</v>
      </c>
      <c r="L230">
        <v>0</v>
      </c>
      <c r="M230">
        <v>0</v>
      </c>
      <c r="N230">
        <v>0</v>
      </c>
      <c r="O230">
        <v>4</v>
      </c>
      <c r="P230">
        <v>26</v>
      </c>
      <c r="Q230">
        <v>20</v>
      </c>
      <c r="R230">
        <v>46</v>
      </c>
      <c r="S230">
        <v>46</v>
      </c>
      <c r="T230">
        <v>14</v>
      </c>
      <c r="U230">
        <v>10</v>
      </c>
      <c r="V230">
        <v>10</v>
      </c>
      <c r="W230">
        <v>0</v>
      </c>
      <c r="X230">
        <v>12</v>
      </c>
    </row>
    <row r="231" spans="1:24" x14ac:dyDescent="0.2">
      <c r="A231">
        <v>2201100</v>
      </c>
      <c r="B231" t="s">
        <v>230</v>
      </c>
      <c r="C231">
        <v>1100</v>
      </c>
      <c r="D231">
        <v>1100</v>
      </c>
      <c r="E231">
        <v>10000</v>
      </c>
      <c r="F231">
        <v>129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26</v>
      </c>
      <c r="Q231">
        <v>20</v>
      </c>
      <c r="R231">
        <v>0</v>
      </c>
      <c r="S231">
        <v>0</v>
      </c>
      <c r="T231">
        <v>33</v>
      </c>
      <c r="U231">
        <v>10</v>
      </c>
      <c r="V231">
        <v>10</v>
      </c>
      <c r="W231">
        <v>0</v>
      </c>
      <c r="X231">
        <v>12</v>
      </c>
    </row>
    <row r="232" spans="1:24" x14ac:dyDescent="0.2">
      <c r="A232">
        <v>2201200</v>
      </c>
      <c r="B232" t="s">
        <v>231</v>
      </c>
      <c r="C232">
        <v>1200</v>
      </c>
      <c r="D232">
        <v>1200</v>
      </c>
      <c r="E232">
        <v>10000</v>
      </c>
      <c r="F232">
        <v>129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26</v>
      </c>
      <c r="Q232">
        <v>20</v>
      </c>
      <c r="R232">
        <v>0</v>
      </c>
      <c r="S232">
        <v>0</v>
      </c>
      <c r="T232">
        <v>33</v>
      </c>
      <c r="U232">
        <v>10</v>
      </c>
      <c r="V232">
        <v>10</v>
      </c>
      <c r="W232">
        <v>0</v>
      </c>
      <c r="X232">
        <v>12</v>
      </c>
    </row>
    <row r="233" spans="1:24" x14ac:dyDescent="0.2">
      <c r="A233">
        <v>2201300</v>
      </c>
      <c r="B233" t="s">
        <v>232</v>
      </c>
      <c r="C233">
        <v>1300</v>
      </c>
      <c r="D233">
        <v>1300</v>
      </c>
      <c r="E233">
        <v>10000</v>
      </c>
      <c r="F233">
        <v>116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26</v>
      </c>
      <c r="Q233">
        <v>20</v>
      </c>
      <c r="R233">
        <v>0</v>
      </c>
      <c r="S233">
        <v>0</v>
      </c>
      <c r="T233">
        <v>14</v>
      </c>
      <c r="U233">
        <v>10</v>
      </c>
      <c r="V233">
        <v>10</v>
      </c>
      <c r="W233">
        <v>0</v>
      </c>
      <c r="X233">
        <v>12</v>
      </c>
    </row>
    <row r="234" spans="1:24" x14ac:dyDescent="0.2">
      <c r="A234">
        <v>2201400</v>
      </c>
      <c r="B234" t="s">
        <v>233</v>
      </c>
      <c r="C234">
        <v>1400</v>
      </c>
      <c r="D234">
        <v>1400</v>
      </c>
      <c r="E234">
        <v>10014</v>
      </c>
      <c r="F234">
        <v>121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26</v>
      </c>
      <c r="Q234">
        <v>20</v>
      </c>
      <c r="R234">
        <v>0</v>
      </c>
      <c r="S234">
        <v>46</v>
      </c>
      <c r="T234">
        <v>14</v>
      </c>
      <c r="U234">
        <v>10</v>
      </c>
      <c r="V234">
        <v>10</v>
      </c>
      <c r="W234">
        <v>0</v>
      </c>
      <c r="X234">
        <v>12</v>
      </c>
    </row>
    <row r="235" spans="1:24" x14ac:dyDescent="0.2">
      <c r="A235">
        <v>2201500</v>
      </c>
      <c r="B235" t="s">
        <v>234</v>
      </c>
      <c r="C235">
        <v>1500</v>
      </c>
      <c r="D235">
        <v>1500</v>
      </c>
      <c r="E235">
        <v>10015</v>
      </c>
      <c r="F235">
        <v>129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26</v>
      </c>
      <c r="Q235">
        <v>20</v>
      </c>
      <c r="R235">
        <v>0</v>
      </c>
      <c r="S235">
        <v>0</v>
      </c>
      <c r="T235">
        <v>33</v>
      </c>
      <c r="U235">
        <v>10</v>
      </c>
      <c r="V235">
        <v>10</v>
      </c>
      <c r="W235">
        <v>0</v>
      </c>
      <c r="X235">
        <v>12</v>
      </c>
    </row>
    <row r="236" spans="1:24" x14ac:dyDescent="0.2">
      <c r="A236">
        <v>2210000</v>
      </c>
      <c r="B236" t="s">
        <v>235</v>
      </c>
      <c r="C236">
        <v>0</v>
      </c>
      <c r="D236">
        <v>0</v>
      </c>
      <c r="E236">
        <v>10000</v>
      </c>
      <c r="F236">
        <v>111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45</v>
      </c>
      <c r="Q236">
        <v>31</v>
      </c>
      <c r="R236">
        <v>0</v>
      </c>
      <c r="S236">
        <v>0</v>
      </c>
      <c r="T236">
        <v>22</v>
      </c>
      <c r="U236">
        <v>11</v>
      </c>
      <c r="V236">
        <v>11</v>
      </c>
      <c r="W236">
        <v>0</v>
      </c>
      <c r="X236">
        <v>0</v>
      </c>
    </row>
    <row r="237" spans="1:24" x14ac:dyDescent="0.2">
      <c r="A237">
        <v>2210100</v>
      </c>
      <c r="B237" t="s">
        <v>236</v>
      </c>
      <c r="C237">
        <v>200</v>
      </c>
      <c r="D237">
        <v>100</v>
      </c>
      <c r="E237">
        <v>10000</v>
      </c>
      <c r="F237">
        <v>111</v>
      </c>
      <c r="G237">
        <v>0</v>
      </c>
      <c r="H237">
        <v>0</v>
      </c>
      <c r="I237">
        <v>0</v>
      </c>
      <c r="J237">
        <v>0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37</v>
      </c>
      <c r="Q237">
        <v>0</v>
      </c>
      <c r="R237">
        <v>0</v>
      </c>
      <c r="S237">
        <v>0</v>
      </c>
      <c r="T237">
        <v>22</v>
      </c>
      <c r="U237">
        <v>11</v>
      </c>
      <c r="V237">
        <v>11</v>
      </c>
      <c r="W237">
        <v>0</v>
      </c>
      <c r="X237">
        <v>0</v>
      </c>
    </row>
    <row r="238" spans="1:24" x14ac:dyDescent="0.2">
      <c r="A238">
        <v>2210200</v>
      </c>
      <c r="B238" t="s">
        <v>237</v>
      </c>
      <c r="C238">
        <v>100</v>
      </c>
      <c r="D238">
        <v>200</v>
      </c>
      <c r="E238">
        <v>10000</v>
      </c>
      <c r="F238">
        <v>111</v>
      </c>
      <c r="G238">
        <v>0</v>
      </c>
      <c r="H238">
        <v>0</v>
      </c>
      <c r="I238">
        <v>0</v>
      </c>
      <c r="J238">
        <v>0</v>
      </c>
      <c r="K238">
        <v>2</v>
      </c>
      <c r="L238">
        <v>0</v>
      </c>
      <c r="M238">
        <v>0</v>
      </c>
      <c r="N238">
        <v>0</v>
      </c>
      <c r="O238">
        <v>0</v>
      </c>
      <c r="P238">
        <v>15</v>
      </c>
      <c r="Q238">
        <v>41</v>
      </c>
      <c r="R238">
        <v>0</v>
      </c>
      <c r="S238">
        <v>0</v>
      </c>
      <c r="T238">
        <v>22</v>
      </c>
      <c r="U238">
        <v>11</v>
      </c>
      <c r="V238">
        <v>11</v>
      </c>
      <c r="W238">
        <v>0</v>
      </c>
      <c r="X238">
        <v>0</v>
      </c>
    </row>
    <row r="239" spans="1:24" x14ac:dyDescent="0.2">
      <c r="A239">
        <v>2210300</v>
      </c>
      <c r="B239" t="s">
        <v>238</v>
      </c>
      <c r="C239">
        <v>300</v>
      </c>
      <c r="D239">
        <v>300</v>
      </c>
      <c r="E239">
        <v>10000</v>
      </c>
      <c r="F239">
        <v>111</v>
      </c>
      <c r="G239">
        <v>0</v>
      </c>
      <c r="H239">
        <v>0</v>
      </c>
      <c r="I239">
        <v>0</v>
      </c>
      <c r="J239">
        <v>0</v>
      </c>
      <c r="K239">
        <v>8</v>
      </c>
      <c r="L239">
        <v>0</v>
      </c>
      <c r="M239">
        <v>0</v>
      </c>
      <c r="N239">
        <v>0</v>
      </c>
      <c r="O239">
        <v>0</v>
      </c>
      <c r="P239">
        <v>48</v>
      </c>
      <c r="Q239">
        <v>48</v>
      </c>
      <c r="R239">
        <v>0</v>
      </c>
      <c r="S239">
        <v>0</v>
      </c>
      <c r="T239">
        <v>22</v>
      </c>
      <c r="U239">
        <v>11</v>
      </c>
      <c r="V239">
        <v>11</v>
      </c>
      <c r="W239">
        <v>0</v>
      </c>
      <c r="X239">
        <v>0</v>
      </c>
    </row>
    <row r="240" spans="1:24" x14ac:dyDescent="0.2">
      <c r="A240">
        <v>2210400</v>
      </c>
      <c r="B240" t="s">
        <v>239</v>
      </c>
      <c r="C240">
        <v>500</v>
      </c>
      <c r="D240">
        <v>500</v>
      </c>
      <c r="E240">
        <v>10000</v>
      </c>
      <c r="F240">
        <v>104</v>
      </c>
      <c r="G240">
        <v>104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45</v>
      </c>
      <c r="Q240">
        <v>31</v>
      </c>
      <c r="R240">
        <v>76</v>
      </c>
      <c r="S240">
        <v>0</v>
      </c>
      <c r="T240">
        <v>22</v>
      </c>
      <c r="U240">
        <v>11</v>
      </c>
      <c r="V240">
        <v>11</v>
      </c>
      <c r="W240">
        <v>0</v>
      </c>
      <c r="X240">
        <v>0</v>
      </c>
    </row>
    <row r="241" spans="1:24" x14ac:dyDescent="0.2">
      <c r="A241">
        <v>2210500</v>
      </c>
      <c r="B241" t="s">
        <v>240</v>
      </c>
      <c r="C241">
        <v>400</v>
      </c>
      <c r="D241">
        <v>400</v>
      </c>
      <c r="E241">
        <v>10000</v>
      </c>
      <c r="F241">
        <v>104</v>
      </c>
      <c r="G241">
        <v>104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45</v>
      </c>
      <c r="Q241">
        <v>31</v>
      </c>
      <c r="R241">
        <v>76</v>
      </c>
      <c r="S241">
        <v>0</v>
      </c>
      <c r="T241">
        <v>22</v>
      </c>
      <c r="U241">
        <v>11</v>
      </c>
      <c r="V241">
        <v>11</v>
      </c>
      <c r="W241">
        <v>0</v>
      </c>
      <c r="X241">
        <v>0</v>
      </c>
    </row>
    <row r="242" spans="1:24" x14ac:dyDescent="0.2">
      <c r="A242">
        <v>2210600</v>
      </c>
      <c r="B242" t="s">
        <v>241</v>
      </c>
      <c r="C242">
        <v>600</v>
      </c>
      <c r="D242">
        <v>600</v>
      </c>
      <c r="E242">
        <v>10000</v>
      </c>
      <c r="F242">
        <v>105</v>
      </c>
      <c r="G242">
        <v>0</v>
      </c>
      <c r="H242">
        <v>105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45</v>
      </c>
      <c r="Q242">
        <v>31</v>
      </c>
      <c r="R242">
        <v>0</v>
      </c>
      <c r="S242">
        <v>0</v>
      </c>
      <c r="T242">
        <v>22</v>
      </c>
      <c r="U242">
        <v>11</v>
      </c>
      <c r="V242">
        <v>11</v>
      </c>
      <c r="W242">
        <v>0</v>
      </c>
      <c r="X242">
        <v>0</v>
      </c>
    </row>
    <row r="243" spans="1:24" x14ac:dyDescent="0.2">
      <c r="A243">
        <v>2210700</v>
      </c>
      <c r="B243" t="s">
        <v>242</v>
      </c>
      <c r="C243">
        <v>700</v>
      </c>
      <c r="D243">
        <v>700</v>
      </c>
      <c r="E243">
        <v>10000</v>
      </c>
      <c r="F243">
        <v>104</v>
      </c>
      <c r="G243">
        <v>0</v>
      </c>
      <c r="H243">
        <v>104</v>
      </c>
      <c r="I243">
        <v>0</v>
      </c>
      <c r="J243">
        <v>0</v>
      </c>
      <c r="K243">
        <v>0</v>
      </c>
      <c r="L243">
        <v>0</v>
      </c>
      <c r="M243">
        <v>4</v>
      </c>
      <c r="N243">
        <v>0</v>
      </c>
      <c r="O243">
        <v>0</v>
      </c>
      <c r="P243">
        <v>45</v>
      </c>
      <c r="Q243">
        <v>31</v>
      </c>
      <c r="R243">
        <v>76</v>
      </c>
      <c r="S243">
        <v>76</v>
      </c>
      <c r="T243">
        <v>22</v>
      </c>
      <c r="U243">
        <v>11</v>
      </c>
      <c r="V243">
        <v>11</v>
      </c>
      <c r="W243">
        <v>0</v>
      </c>
      <c r="X243">
        <v>0</v>
      </c>
    </row>
    <row r="244" spans="1:24" x14ac:dyDescent="0.2">
      <c r="A244">
        <v>2210800</v>
      </c>
      <c r="B244" t="s">
        <v>243</v>
      </c>
      <c r="C244">
        <v>800</v>
      </c>
      <c r="D244">
        <v>800</v>
      </c>
      <c r="E244">
        <v>10000</v>
      </c>
      <c r="F244">
        <v>104</v>
      </c>
      <c r="G244">
        <v>0</v>
      </c>
      <c r="H244">
        <v>0</v>
      </c>
      <c r="I244">
        <v>104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45</v>
      </c>
      <c r="Q244">
        <v>31</v>
      </c>
      <c r="R244">
        <v>0</v>
      </c>
      <c r="S244">
        <v>76</v>
      </c>
      <c r="T244">
        <v>22</v>
      </c>
      <c r="U244">
        <v>11</v>
      </c>
      <c r="V244">
        <v>11</v>
      </c>
      <c r="W244">
        <v>0</v>
      </c>
      <c r="X244">
        <v>0</v>
      </c>
    </row>
    <row r="245" spans="1:24" x14ac:dyDescent="0.2">
      <c r="A245">
        <v>2210900</v>
      </c>
      <c r="B245" t="s">
        <v>244</v>
      </c>
      <c r="C245">
        <v>900</v>
      </c>
      <c r="D245">
        <v>900</v>
      </c>
      <c r="E245">
        <v>10000</v>
      </c>
      <c r="F245">
        <v>105</v>
      </c>
      <c r="G245">
        <v>0</v>
      </c>
      <c r="H245">
        <v>0</v>
      </c>
      <c r="I245">
        <v>0</v>
      </c>
      <c r="J245">
        <v>105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45</v>
      </c>
      <c r="Q245">
        <v>31</v>
      </c>
      <c r="R245">
        <v>0</v>
      </c>
      <c r="S245">
        <v>0</v>
      </c>
      <c r="T245">
        <v>22</v>
      </c>
      <c r="U245">
        <v>11</v>
      </c>
      <c r="V245">
        <v>11</v>
      </c>
      <c r="W245">
        <v>0</v>
      </c>
      <c r="X245">
        <v>0</v>
      </c>
    </row>
    <row r="246" spans="1:24" x14ac:dyDescent="0.2">
      <c r="A246">
        <v>2211000</v>
      </c>
      <c r="B246" t="s">
        <v>245</v>
      </c>
      <c r="C246">
        <v>1000</v>
      </c>
      <c r="D246">
        <v>1000</v>
      </c>
      <c r="E246">
        <v>10000</v>
      </c>
      <c r="F246">
        <v>104</v>
      </c>
      <c r="G246">
        <v>0</v>
      </c>
      <c r="H246">
        <v>0</v>
      </c>
      <c r="I246">
        <v>0</v>
      </c>
      <c r="J246">
        <v>104</v>
      </c>
      <c r="K246">
        <v>0</v>
      </c>
      <c r="L246">
        <v>0</v>
      </c>
      <c r="M246">
        <v>0</v>
      </c>
      <c r="N246">
        <v>0</v>
      </c>
      <c r="O246">
        <v>4</v>
      </c>
      <c r="P246">
        <v>45</v>
      </c>
      <c r="Q246">
        <v>31</v>
      </c>
      <c r="R246">
        <v>76</v>
      </c>
      <c r="S246">
        <v>76</v>
      </c>
      <c r="T246">
        <v>22</v>
      </c>
      <c r="U246">
        <v>11</v>
      </c>
      <c r="V246">
        <v>11</v>
      </c>
      <c r="W246">
        <v>0</v>
      </c>
      <c r="X246">
        <v>0</v>
      </c>
    </row>
    <row r="247" spans="1:24" x14ac:dyDescent="0.2">
      <c r="A247">
        <v>2211100</v>
      </c>
      <c r="B247" t="s">
        <v>246</v>
      </c>
      <c r="C247">
        <v>1100</v>
      </c>
      <c r="D247">
        <v>1100</v>
      </c>
      <c r="E247">
        <v>10000</v>
      </c>
      <c r="F247">
        <v>111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45</v>
      </c>
      <c r="Q247">
        <v>31</v>
      </c>
      <c r="R247">
        <v>0</v>
      </c>
      <c r="S247">
        <v>0</v>
      </c>
      <c r="T247">
        <v>22</v>
      </c>
      <c r="U247">
        <v>11</v>
      </c>
      <c r="V247">
        <v>11</v>
      </c>
      <c r="W247">
        <v>0</v>
      </c>
      <c r="X247">
        <v>0</v>
      </c>
    </row>
    <row r="248" spans="1:24" x14ac:dyDescent="0.2">
      <c r="A248">
        <v>2211200</v>
      </c>
      <c r="B248" t="s">
        <v>247</v>
      </c>
      <c r="C248">
        <v>1200</v>
      </c>
      <c r="D248">
        <v>1200</v>
      </c>
      <c r="E248">
        <v>10000</v>
      </c>
      <c r="F248">
        <v>111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45</v>
      </c>
      <c r="Q248">
        <v>31</v>
      </c>
      <c r="R248">
        <v>0</v>
      </c>
      <c r="S248">
        <v>0</v>
      </c>
      <c r="T248">
        <v>22</v>
      </c>
      <c r="U248">
        <v>11</v>
      </c>
      <c r="V248">
        <v>11</v>
      </c>
      <c r="W248">
        <v>0</v>
      </c>
      <c r="X248">
        <v>0</v>
      </c>
    </row>
    <row r="249" spans="1:24" x14ac:dyDescent="0.2">
      <c r="A249">
        <v>2211300</v>
      </c>
      <c r="B249" t="s">
        <v>248</v>
      </c>
      <c r="C249">
        <v>1300</v>
      </c>
      <c r="D249">
        <v>1300</v>
      </c>
      <c r="E249">
        <v>10000</v>
      </c>
      <c r="F249">
        <v>110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45</v>
      </c>
      <c r="Q249">
        <v>31</v>
      </c>
      <c r="R249">
        <v>0</v>
      </c>
      <c r="S249">
        <v>0</v>
      </c>
      <c r="T249">
        <v>22</v>
      </c>
      <c r="U249">
        <v>11</v>
      </c>
      <c r="V249">
        <v>11</v>
      </c>
      <c r="W249">
        <v>0</v>
      </c>
      <c r="X249">
        <v>0</v>
      </c>
    </row>
    <row r="250" spans="1:24" x14ac:dyDescent="0.2">
      <c r="A250">
        <v>2211400</v>
      </c>
      <c r="B250" t="s">
        <v>249</v>
      </c>
      <c r="C250">
        <v>1400</v>
      </c>
      <c r="D250">
        <v>1400</v>
      </c>
      <c r="E250">
        <v>10014</v>
      </c>
      <c r="F250">
        <v>104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45</v>
      </c>
      <c r="Q250">
        <v>31</v>
      </c>
      <c r="R250">
        <v>0</v>
      </c>
      <c r="S250">
        <v>76</v>
      </c>
      <c r="T250">
        <v>22</v>
      </c>
      <c r="U250">
        <v>11</v>
      </c>
      <c r="V250">
        <v>11</v>
      </c>
      <c r="W250">
        <v>0</v>
      </c>
      <c r="X250">
        <v>0</v>
      </c>
    </row>
    <row r="251" spans="1:24" x14ac:dyDescent="0.2">
      <c r="A251">
        <v>2211500</v>
      </c>
      <c r="B251" t="s">
        <v>250</v>
      </c>
      <c r="C251">
        <v>1500</v>
      </c>
      <c r="D251">
        <v>1500</v>
      </c>
      <c r="E251">
        <v>10015</v>
      </c>
      <c r="F251">
        <v>111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45</v>
      </c>
      <c r="Q251">
        <v>31</v>
      </c>
      <c r="R251">
        <v>0</v>
      </c>
      <c r="S251">
        <v>0</v>
      </c>
      <c r="T251">
        <v>22</v>
      </c>
      <c r="U251">
        <v>11</v>
      </c>
      <c r="V251">
        <v>11</v>
      </c>
      <c r="W251">
        <v>0</v>
      </c>
      <c r="X251">
        <v>0</v>
      </c>
    </row>
    <row r="252" spans="1:24" x14ac:dyDescent="0.2">
      <c r="A252">
        <v>2220000</v>
      </c>
      <c r="B252" t="s">
        <v>251</v>
      </c>
      <c r="C252">
        <v>0</v>
      </c>
      <c r="D252">
        <v>0</v>
      </c>
      <c r="E252">
        <v>10000</v>
      </c>
      <c r="F252">
        <v>134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61</v>
      </c>
      <c r="Q252">
        <v>20</v>
      </c>
      <c r="R252">
        <v>0</v>
      </c>
      <c r="S252">
        <v>0</v>
      </c>
      <c r="T252">
        <v>20</v>
      </c>
      <c r="U252">
        <v>19</v>
      </c>
      <c r="V252">
        <v>13</v>
      </c>
      <c r="W252">
        <v>0</v>
      </c>
      <c r="X252">
        <v>0</v>
      </c>
    </row>
    <row r="253" spans="1:24" x14ac:dyDescent="0.2">
      <c r="A253">
        <v>2230000</v>
      </c>
      <c r="B253" t="s">
        <v>252</v>
      </c>
      <c r="C253">
        <v>2200</v>
      </c>
      <c r="D253">
        <v>2200</v>
      </c>
      <c r="E253">
        <v>15000</v>
      </c>
      <c r="F253">
        <v>102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15</v>
      </c>
      <c r="Q253">
        <v>14</v>
      </c>
      <c r="R253">
        <v>0</v>
      </c>
      <c r="S253">
        <v>8</v>
      </c>
      <c r="T253">
        <v>79</v>
      </c>
      <c r="U253">
        <v>10</v>
      </c>
      <c r="V253">
        <v>10</v>
      </c>
      <c r="W253">
        <v>0</v>
      </c>
      <c r="X253">
        <v>0</v>
      </c>
    </row>
    <row r="254" spans="1:24" x14ac:dyDescent="0.2">
      <c r="A254">
        <v>2240000</v>
      </c>
      <c r="B254" t="s">
        <v>253</v>
      </c>
      <c r="C254">
        <v>2200</v>
      </c>
      <c r="D254">
        <v>2200</v>
      </c>
      <c r="E254">
        <v>10000</v>
      </c>
      <c r="F254">
        <v>70</v>
      </c>
      <c r="G254">
        <v>0</v>
      </c>
      <c r="H254">
        <v>0</v>
      </c>
      <c r="I254">
        <v>0</v>
      </c>
      <c r="J254">
        <v>100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20</v>
      </c>
      <c r="Q254">
        <v>20</v>
      </c>
      <c r="R254">
        <v>40</v>
      </c>
      <c r="S254">
        <v>40</v>
      </c>
      <c r="T254">
        <v>11</v>
      </c>
      <c r="U254">
        <v>14</v>
      </c>
      <c r="V254">
        <v>12</v>
      </c>
      <c r="W254">
        <v>15</v>
      </c>
      <c r="X254">
        <v>15</v>
      </c>
    </row>
    <row r="255" spans="1:24" x14ac:dyDescent="0.2">
      <c r="A255">
        <v>2250000</v>
      </c>
      <c r="B255" t="s">
        <v>254</v>
      </c>
      <c r="C255">
        <v>2200</v>
      </c>
      <c r="D255">
        <v>4600</v>
      </c>
      <c r="E255">
        <v>10000</v>
      </c>
      <c r="F255">
        <v>105</v>
      </c>
      <c r="G255">
        <v>0</v>
      </c>
      <c r="H255">
        <v>10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60</v>
      </c>
      <c r="Q255">
        <v>25</v>
      </c>
      <c r="R255">
        <v>10</v>
      </c>
      <c r="S255">
        <v>10</v>
      </c>
      <c r="T255">
        <v>25</v>
      </c>
      <c r="U255">
        <v>17</v>
      </c>
      <c r="V255">
        <v>15</v>
      </c>
      <c r="W255">
        <v>0</v>
      </c>
      <c r="X255">
        <v>0</v>
      </c>
    </row>
    <row r="256" spans="1:24" x14ac:dyDescent="0.2">
      <c r="A256">
        <v>2260000</v>
      </c>
      <c r="B256" t="s">
        <v>255</v>
      </c>
      <c r="C256">
        <v>2000</v>
      </c>
      <c r="D256">
        <v>2100</v>
      </c>
      <c r="E256">
        <v>10000</v>
      </c>
      <c r="F256">
        <v>134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56</v>
      </c>
      <c r="Q256">
        <v>28</v>
      </c>
      <c r="R256">
        <v>0</v>
      </c>
      <c r="S256">
        <v>0</v>
      </c>
      <c r="T256">
        <v>21</v>
      </c>
      <c r="U256">
        <v>19</v>
      </c>
      <c r="V256">
        <v>13</v>
      </c>
      <c r="W256">
        <v>0</v>
      </c>
      <c r="X256">
        <v>0</v>
      </c>
    </row>
    <row r="257" spans="1:24" x14ac:dyDescent="0.2">
      <c r="A257">
        <v>3000000</v>
      </c>
      <c r="B257" t="s">
        <v>256</v>
      </c>
      <c r="C257">
        <v>0</v>
      </c>
      <c r="D257">
        <v>0</v>
      </c>
      <c r="E257">
        <v>10000</v>
      </c>
      <c r="F257">
        <v>105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25</v>
      </c>
      <c r="Q257">
        <v>50</v>
      </c>
      <c r="R257">
        <v>0</v>
      </c>
      <c r="S257">
        <v>0</v>
      </c>
      <c r="T257">
        <v>22</v>
      </c>
      <c r="U257">
        <v>10</v>
      </c>
      <c r="V257">
        <v>12</v>
      </c>
      <c r="W257">
        <v>0</v>
      </c>
      <c r="X257">
        <v>0</v>
      </c>
    </row>
    <row r="258" spans="1:24" x14ac:dyDescent="0.2">
      <c r="A258">
        <v>3000100</v>
      </c>
      <c r="B258" t="s">
        <v>257</v>
      </c>
      <c r="C258">
        <v>200</v>
      </c>
      <c r="D258">
        <v>100</v>
      </c>
      <c r="E258">
        <v>10000</v>
      </c>
      <c r="F258">
        <v>105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37</v>
      </c>
      <c r="Q258">
        <v>0</v>
      </c>
      <c r="R258">
        <v>0</v>
      </c>
      <c r="S258">
        <v>0</v>
      </c>
      <c r="T258">
        <v>22</v>
      </c>
      <c r="U258">
        <v>10</v>
      </c>
      <c r="V258">
        <v>12</v>
      </c>
      <c r="W258">
        <v>0</v>
      </c>
      <c r="X258">
        <v>0</v>
      </c>
    </row>
    <row r="259" spans="1:24" x14ac:dyDescent="0.2">
      <c r="A259">
        <v>3000200</v>
      </c>
      <c r="B259" t="s">
        <v>258</v>
      </c>
      <c r="C259">
        <v>100</v>
      </c>
      <c r="D259">
        <v>5000</v>
      </c>
      <c r="E259">
        <v>10000</v>
      </c>
      <c r="F259">
        <v>105</v>
      </c>
      <c r="G259">
        <v>0</v>
      </c>
      <c r="H259">
        <v>0</v>
      </c>
      <c r="I259">
        <v>0</v>
      </c>
      <c r="J259">
        <v>0</v>
      </c>
      <c r="K259">
        <v>2</v>
      </c>
      <c r="L259">
        <v>0</v>
      </c>
      <c r="M259">
        <v>0</v>
      </c>
      <c r="N259">
        <v>0</v>
      </c>
      <c r="O259">
        <v>0</v>
      </c>
      <c r="P259">
        <v>16</v>
      </c>
      <c r="Q259">
        <v>52</v>
      </c>
      <c r="R259">
        <v>0</v>
      </c>
      <c r="S259">
        <v>0</v>
      </c>
      <c r="T259">
        <v>22</v>
      </c>
      <c r="U259">
        <v>10</v>
      </c>
      <c r="V259">
        <v>12</v>
      </c>
      <c r="W259">
        <v>0</v>
      </c>
      <c r="X259">
        <v>0</v>
      </c>
    </row>
    <row r="260" spans="1:24" x14ac:dyDescent="0.2">
      <c r="A260">
        <v>3000300</v>
      </c>
      <c r="B260" t="s">
        <v>259</v>
      </c>
      <c r="C260">
        <v>300</v>
      </c>
      <c r="D260">
        <v>300</v>
      </c>
      <c r="E260">
        <v>10000</v>
      </c>
      <c r="F260">
        <v>105</v>
      </c>
      <c r="G260">
        <v>0</v>
      </c>
      <c r="H260">
        <v>0</v>
      </c>
      <c r="I260">
        <v>0</v>
      </c>
      <c r="J260">
        <v>0</v>
      </c>
      <c r="K260">
        <v>8</v>
      </c>
      <c r="L260">
        <v>0</v>
      </c>
      <c r="M260">
        <v>0</v>
      </c>
      <c r="N260">
        <v>0</v>
      </c>
      <c r="O260">
        <v>0</v>
      </c>
      <c r="P260">
        <v>42</v>
      </c>
      <c r="Q260">
        <v>47</v>
      </c>
      <c r="R260">
        <v>0</v>
      </c>
      <c r="S260">
        <v>0</v>
      </c>
      <c r="T260">
        <v>22</v>
      </c>
      <c r="U260">
        <v>10</v>
      </c>
      <c r="V260">
        <v>12</v>
      </c>
      <c r="W260">
        <v>0</v>
      </c>
      <c r="X260">
        <v>0</v>
      </c>
    </row>
    <row r="261" spans="1:24" x14ac:dyDescent="0.2">
      <c r="A261">
        <v>3000400</v>
      </c>
      <c r="B261" t="s">
        <v>260</v>
      </c>
      <c r="C261">
        <v>500</v>
      </c>
      <c r="D261">
        <v>500</v>
      </c>
      <c r="E261">
        <v>10000</v>
      </c>
      <c r="F261">
        <v>97</v>
      </c>
      <c r="G261">
        <v>97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25</v>
      </c>
      <c r="Q261">
        <v>50</v>
      </c>
      <c r="R261">
        <v>75</v>
      </c>
      <c r="S261">
        <v>0</v>
      </c>
      <c r="T261">
        <v>22</v>
      </c>
      <c r="U261">
        <v>10</v>
      </c>
      <c r="V261">
        <v>12</v>
      </c>
      <c r="W261">
        <v>0</v>
      </c>
      <c r="X261">
        <v>0</v>
      </c>
    </row>
    <row r="262" spans="1:24" x14ac:dyDescent="0.2">
      <c r="A262">
        <v>3000500</v>
      </c>
      <c r="B262" t="s">
        <v>261</v>
      </c>
      <c r="C262">
        <v>400</v>
      </c>
      <c r="D262">
        <v>400</v>
      </c>
      <c r="E262">
        <v>10000</v>
      </c>
      <c r="F262">
        <v>97</v>
      </c>
      <c r="G262">
        <v>97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25</v>
      </c>
      <c r="Q262">
        <v>50</v>
      </c>
      <c r="R262">
        <v>75</v>
      </c>
      <c r="S262">
        <v>0</v>
      </c>
      <c r="T262">
        <v>22</v>
      </c>
      <c r="U262">
        <v>10</v>
      </c>
      <c r="V262">
        <v>12</v>
      </c>
      <c r="W262">
        <v>0</v>
      </c>
      <c r="X262">
        <v>0</v>
      </c>
    </row>
    <row r="263" spans="1:24" x14ac:dyDescent="0.2">
      <c r="A263">
        <v>3000600</v>
      </c>
      <c r="B263" t="s">
        <v>262</v>
      </c>
      <c r="C263">
        <v>600</v>
      </c>
      <c r="D263">
        <v>600</v>
      </c>
      <c r="E263">
        <v>10000</v>
      </c>
      <c r="F263">
        <v>99</v>
      </c>
      <c r="G263">
        <v>0</v>
      </c>
      <c r="H263">
        <v>99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25</v>
      </c>
      <c r="Q263">
        <v>50</v>
      </c>
      <c r="R263">
        <v>0</v>
      </c>
      <c r="S263">
        <v>0</v>
      </c>
      <c r="T263">
        <v>22</v>
      </c>
      <c r="U263">
        <v>10</v>
      </c>
      <c r="V263">
        <v>12</v>
      </c>
      <c r="W263">
        <v>0</v>
      </c>
      <c r="X263">
        <v>0</v>
      </c>
    </row>
    <row r="264" spans="1:24" x14ac:dyDescent="0.2">
      <c r="A264">
        <v>3000700</v>
      </c>
      <c r="B264" t="s">
        <v>263</v>
      </c>
      <c r="C264">
        <v>700</v>
      </c>
      <c r="D264">
        <v>700</v>
      </c>
      <c r="E264">
        <v>10000</v>
      </c>
      <c r="F264">
        <v>97</v>
      </c>
      <c r="G264">
        <v>0</v>
      </c>
      <c r="H264">
        <v>97</v>
      </c>
      <c r="I264">
        <v>0</v>
      </c>
      <c r="J264">
        <v>0</v>
      </c>
      <c r="K264">
        <v>0</v>
      </c>
      <c r="L264">
        <v>0</v>
      </c>
      <c r="M264">
        <v>4</v>
      </c>
      <c r="N264">
        <v>0</v>
      </c>
      <c r="O264">
        <v>0</v>
      </c>
      <c r="P264">
        <v>25</v>
      </c>
      <c r="Q264">
        <v>50</v>
      </c>
      <c r="R264">
        <v>75</v>
      </c>
      <c r="S264">
        <v>75</v>
      </c>
      <c r="T264">
        <v>22</v>
      </c>
      <c r="U264">
        <v>10</v>
      </c>
      <c r="V264">
        <v>12</v>
      </c>
      <c r="W264">
        <v>0</v>
      </c>
      <c r="X264">
        <v>0</v>
      </c>
    </row>
    <row r="265" spans="1:24" x14ac:dyDescent="0.2">
      <c r="A265">
        <v>3000800</v>
      </c>
      <c r="B265" t="s">
        <v>264</v>
      </c>
      <c r="C265">
        <v>800</v>
      </c>
      <c r="D265">
        <v>800</v>
      </c>
      <c r="E265">
        <v>10000</v>
      </c>
      <c r="F265">
        <v>97</v>
      </c>
      <c r="G265">
        <v>0</v>
      </c>
      <c r="H265">
        <v>0</v>
      </c>
      <c r="I265">
        <v>97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25</v>
      </c>
      <c r="Q265">
        <v>50</v>
      </c>
      <c r="R265">
        <v>0</v>
      </c>
      <c r="S265">
        <v>75</v>
      </c>
      <c r="T265">
        <v>22</v>
      </c>
      <c r="U265">
        <v>10</v>
      </c>
      <c r="V265">
        <v>12</v>
      </c>
      <c r="W265">
        <v>0</v>
      </c>
      <c r="X265">
        <v>0</v>
      </c>
    </row>
    <row r="266" spans="1:24" x14ac:dyDescent="0.2">
      <c r="A266">
        <v>3000900</v>
      </c>
      <c r="B266" t="s">
        <v>265</v>
      </c>
      <c r="C266">
        <v>900</v>
      </c>
      <c r="D266">
        <v>900</v>
      </c>
      <c r="E266">
        <v>10000</v>
      </c>
      <c r="F266">
        <v>99</v>
      </c>
      <c r="G266">
        <v>0</v>
      </c>
      <c r="H266">
        <v>0</v>
      </c>
      <c r="I266">
        <v>0</v>
      </c>
      <c r="J266">
        <v>99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25</v>
      </c>
      <c r="Q266">
        <v>50</v>
      </c>
      <c r="R266">
        <v>0</v>
      </c>
      <c r="S266">
        <v>0</v>
      </c>
      <c r="T266">
        <v>22</v>
      </c>
      <c r="U266">
        <v>10</v>
      </c>
      <c r="V266">
        <v>12</v>
      </c>
      <c r="W266">
        <v>0</v>
      </c>
      <c r="X266">
        <v>0</v>
      </c>
    </row>
    <row r="267" spans="1:24" x14ac:dyDescent="0.2">
      <c r="A267">
        <v>3001000</v>
      </c>
      <c r="B267" t="s">
        <v>266</v>
      </c>
      <c r="C267">
        <v>1000</v>
      </c>
      <c r="D267">
        <v>1000</v>
      </c>
      <c r="E267">
        <v>10000</v>
      </c>
      <c r="F267">
        <v>97</v>
      </c>
      <c r="G267">
        <v>0</v>
      </c>
      <c r="H267">
        <v>0</v>
      </c>
      <c r="I267">
        <v>0</v>
      </c>
      <c r="J267">
        <v>97</v>
      </c>
      <c r="K267">
        <v>0</v>
      </c>
      <c r="L267">
        <v>0</v>
      </c>
      <c r="M267">
        <v>0</v>
      </c>
      <c r="N267">
        <v>0</v>
      </c>
      <c r="O267">
        <v>4</v>
      </c>
      <c r="P267">
        <v>25</v>
      </c>
      <c r="Q267">
        <v>50</v>
      </c>
      <c r="R267">
        <v>75</v>
      </c>
      <c r="S267">
        <v>75</v>
      </c>
      <c r="T267">
        <v>22</v>
      </c>
      <c r="U267">
        <v>10</v>
      </c>
      <c r="V267">
        <v>12</v>
      </c>
      <c r="W267">
        <v>0</v>
      </c>
      <c r="X267">
        <v>0</v>
      </c>
    </row>
    <row r="268" spans="1:24" x14ac:dyDescent="0.2">
      <c r="A268">
        <v>3001100</v>
      </c>
      <c r="B268" t="s">
        <v>267</v>
      </c>
      <c r="C268">
        <v>1100</v>
      </c>
      <c r="D268">
        <v>1100</v>
      </c>
      <c r="E268">
        <v>10000</v>
      </c>
      <c r="F268">
        <v>105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25</v>
      </c>
      <c r="Q268">
        <v>50</v>
      </c>
      <c r="R268">
        <v>0</v>
      </c>
      <c r="S268">
        <v>0</v>
      </c>
      <c r="T268">
        <v>22</v>
      </c>
      <c r="U268">
        <v>10</v>
      </c>
      <c r="V268">
        <v>12</v>
      </c>
      <c r="W268">
        <v>0</v>
      </c>
      <c r="X268">
        <v>0</v>
      </c>
    </row>
    <row r="269" spans="1:24" x14ac:dyDescent="0.2">
      <c r="A269">
        <v>3001200</v>
      </c>
      <c r="B269" t="s">
        <v>268</v>
      </c>
      <c r="C269">
        <v>1200</v>
      </c>
      <c r="D269">
        <v>1200</v>
      </c>
      <c r="E269">
        <v>10000</v>
      </c>
      <c r="F269">
        <v>105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25</v>
      </c>
      <c r="Q269">
        <v>50</v>
      </c>
      <c r="R269">
        <v>0</v>
      </c>
      <c r="S269">
        <v>0</v>
      </c>
      <c r="T269">
        <v>22</v>
      </c>
      <c r="U269">
        <v>10</v>
      </c>
      <c r="V269">
        <v>12</v>
      </c>
      <c r="W269">
        <v>0</v>
      </c>
      <c r="X269">
        <v>0</v>
      </c>
    </row>
    <row r="270" spans="1:24" x14ac:dyDescent="0.2">
      <c r="A270">
        <v>3001300</v>
      </c>
      <c r="B270" t="s">
        <v>269</v>
      </c>
      <c r="C270">
        <v>1300</v>
      </c>
      <c r="D270">
        <v>1300</v>
      </c>
      <c r="E270">
        <v>10000</v>
      </c>
      <c r="F270">
        <v>104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25</v>
      </c>
      <c r="Q270">
        <v>50</v>
      </c>
      <c r="R270">
        <v>0</v>
      </c>
      <c r="S270">
        <v>0</v>
      </c>
      <c r="T270">
        <v>22</v>
      </c>
      <c r="U270">
        <v>10</v>
      </c>
      <c r="V270">
        <v>12</v>
      </c>
      <c r="W270">
        <v>0</v>
      </c>
      <c r="X270">
        <v>0</v>
      </c>
    </row>
    <row r="271" spans="1:24" x14ac:dyDescent="0.2">
      <c r="A271">
        <v>3001400</v>
      </c>
      <c r="B271" t="s">
        <v>270</v>
      </c>
      <c r="C271">
        <v>1400</v>
      </c>
      <c r="D271">
        <v>1400</v>
      </c>
      <c r="E271">
        <v>10014</v>
      </c>
      <c r="F271">
        <v>97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25</v>
      </c>
      <c r="Q271">
        <v>50</v>
      </c>
      <c r="R271">
        <v>0</v>
      </c>
      <c r="S271">
        <v>75</v>
      </c>
      <c r="T271">
        <v>22</v>
      </c>
      <c r="U271">
        <v>10</v>
      </c>
      <c r="V271">
        <v>12</v>
      </c>
      <c r="W271">
        <v>0</v>
      </c>
      <c r="X271">
        <v>0</v>
      </c>
    </row>
    <row r="272" spans="1:24" x14ac:dyDescent="0.2">
      <c r="A272">
        <v>3001500</v>
      </c>
      <c r="B272" t="s">
        <v>271</v>
      </c>
      <c r="C272">
        <v>1500</v>
      </c>
      <c r="D272">
        <v>1500</v>
      </c>
      <c r="E272">
        <v>10015</v>
      </c>
      <c r="F272">
        <v>105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25</v>
      </c>
      <c r="Q272">
        <v>50</v>
      </c>
      <c r="R272">
        <v>0</v>
      </c>
      <c r="S272">
        <v>0</v>
      </c>
      <c r="T272">
        <v>22</v>
      </c>
      <c r="U272">
        <v>10</v>
      </c>
      <c r="V272">
        <v>12</v>
      </c>
      <c r="W272">
        <v>0</v>
      </c>
      <c r="X272">
        <v>0</v>
      </c>
    </row>
    <row r="273" spans="1:24" x14ac:dyDescent="0.2">
      <c r="A273">
        <v>3010000</v>
      </c>
      <c r="B273" t="s">
        <v>272</v>
      </c>
      <c r="C273">
        <v>0</v>
      </c>
      <c r="D273">
        <v>0</v>
      </c>
      <c r="E273">
        <v>10000</v>
      </c>
      <c r="F273">
        <v>89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10</v>
      </c>
      <c r="Q273">
        <v>25</v>
      </c>
      <c r="R273">
        <v>0</v>
      </c>
      <c r="S273">
        <v>0</v>
      </c>
      <c r="T273">
        <v>10</v>
      </c>
      <c r="U273">
        <v>7</v>
      </c>
      <c r="V273">
        <v>12</v>
      </c>
      <c r="W273">
        <v>0</v>
      </c>
      <c r="X273">
        <v>0</v>
      </c>
    </row>
    <row r="274" spans="1:24" x14ac:dyDescent="0.2">
      <c r="A274">
        <v>3010100</v>
      </c>
      <c r="B274" t="s">
        <v>273</v>
      </c>
      <c r="C274">
        <v>200</v>
      </c>
      <c r="D274">
        <v>100</v>
      </c>
      <c r="E274">
        <v>10000</v>
      </c>
      <c r="F274">
        <v>89</v>
      </c>
      <c r="G274">
        <v>0</v>
      </c>
      <c r="H274">
        <v>0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</v>
      </c>
      <c r="P274">
        <v>17</v>
      </c>
      <c r="Q274">
        <v>0</v>
      </c>
      <c r="R274">
        <v>0</v>
      </c>
      <c r="S274">
        <v>0</v>
      </c>
      <c r="T274">
        <v>10</v>
      </c>
      <c r="U274">
        <v>7</v>
      </c>
      <c r="V274">
        <v>12</v>
      </c>
      <c r="W274">
        <v>0</v>
      </c>
      <c r="X274">
        <v>0</v>
      </c>
    </row>
    <row r="275" spans="1:24" x14ac:dyDescent="0.2">
      <c r="A275">
        <v>3010200</v>
      </c>
      <c r="B275" t="s">
        <v>274</v>
      </c>
      <c r="C275">
        <v>100</v>
      </c>
      <c r="D275">
        <v>5000</v>
      </c>
      <c r="E275">
        <v>10000</v>
      </c>
      <c r="F275">
        <v>89</v>
      </c>
      <c r="G275">
        <v>0</v>
      </c>
      <c r="H275">
        <v>0</v>
      </c>
      <c r="I275">
        <v>0</v>
      </c>
      <c r="J275">
        <v>0</v>
      </c>
      <c r="K275">
        <v>2</v>
      </c>
      <c r="L275">
        <v>0</v>
      </c>
      <c r="M275">
        <v>0</v>
      </c>
      <c r="N275">
        <v>0</v>
      </c>
      <c r="O275">
        <v>0</v>
      </c>
      <c r="P275">
        <v>5</v>
      </c>
      <c r="Q275">
        <v>30</v>
      </c>
      <c r="R275">
        <v>0</v>
      </c>
      <c r="S275">
        <v>0</v>
      </c>
      <c r="T275">
        <v>10</v>
      </c>
      <c r="U275">
        <v>7</v>
      </c>
      <c r="V275">
        <v>12</v>
      </c>
      <c r="W275">
        <v>0</v>
      </c>
      <c r="X275">
        <v>0</v>
      </c>
    </row>
    <row r="276" spans="1:24" x14ac:dyDescent="0.2">
      <c r="A276">
        <v>3010300</v>
      </c>
      <c r="B276" t="s">
        <v>275</v>
      </c>
      <c r="C276">
        <v>300</v>
      </c>
      <c r="D276">
        <v>300</v>
      </c>
      <c r="E276">
        <v>10000</v>
      </c>
      <c r="F276">
        <v>89</v>
      </c>
      <c r="G276">
        <v>0</v>
      </c>
      <c r="H276">
        <v>0</v>
      </c>
      <c r="I276">
        <v>0</v>
      </c>
      <c r="J276">
        <v>0</v>
      </c>
      <c r="K276">
        <v>8</v>
      </c>
      <c r="L276">
        <v>0</v>
      </c>
      <c r="M276">
        <v>0</v>
      </c>
      <c r="N276">
        <v>0</v>
      </c>
      <c r="O276">
        <v>0</v>
      </c>
      <c r="P276">
        <v>22</v>
      </c>
      <c r="Q276">
        <v>22</v>
      </c>
      <c r="R276">
        <v>0</v>
      </c>
      <c r="S276">
        <v>0</v>
      </c>
      <c r="T276">
        <v>10</v>
      </c>
      <c r="U276">
        <v>7</v>
      </c>
      <c r="V276">
        <v>12</v>
      </c>
      <c r="W276">
        <v>0</v>
      </c>
      <c r="X276">
        <v>0</v>
      </c>
    </row>
    <row r="277" spans="1:24" x14ac:dyDescent="0.2">
      <c r="A277">
        <v>3010400</v>
      </c>
      <c r="B277" t="s">
        <v>276</v>
      </c>
      <c r="C277">
        <v>500</v>
      </c>
      <c r="D277">
        <v>500</v>
      </c>
      <c r="E277">
        <v>10000</v>
      </c>
      <c r="F277">
        <v>97</v>
      </c>
      <c r="G277">
        <v>97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10</v>
      </c>
      <c r="Q277">
        <v>25</v>
      </c>
      <c r="R277">
        <v>35</v>
      </c>
      <c r="S277">
        <v>0</v>
      </c>
      <c r="T277">
        <v>10</v>
      </c>
      <c r="U277">
        <v>7</v>
      </c>
      <c r="V277">
        <v>12</v>
      </c>
      <c r="W277">
        <v>0</v>
      </c>
      <c r="X277">
        <v>0</v>
      </c>
    </row>
    <row r="278" spans="1:24" x14ac:dyDescent="0.2">
      <c r="A278">
        <v>3010500</v>
      </c>
      <c r="B278" t="s">
        <v>277</v>
      </c>
      <c r="C278">
        <v>400</v>
      </c>
      <c r="D278">
        <v>400</v>
      </c>
      <c r="E278">
        <v>10000</v>
      </c>
      <c r="F278">
        <v>97</v>
      </c>
      <c r="G278">
        <v>97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10</v>
      </c>
      <c r="Q278">
        <v>25</v>
      </c>
      <c r="R278">
        <v>35</v>
      </c>
      <c r="S278">
        <v>0</v>
      </c>
      <c r="T278">
        <v>10</v>
      </c>
      <c r="U278">
        <v>7</v>
      </c>
      <c r="V278">
        <v>12</v>
      </c>
      <c r="W278">
        <v>0</v>
      </c>
      <c r="X278">
        <v>0</v>
      </c>
    </row>
    <row r="279" spans="1:24" x14ac:dyDescent="0.2">
      <c r="A279">
        <v>3010600</v>
      </c>
      <c r="B279" t="s">
        <v>278</v>
      </c>
      <c r="C279">
        <v>600</v>
      </c>
      <c r="D279">
        <v>600</v>
      </c>
      <c r="E279">
        <v>10000</v>
      </c>
      <c r="F279">
        <v>77</v>
      </c>
      <c r="G279">
        <v>0</v>
      </c>
      <c r="H279">
        <v>77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10</v>
      </c>
      <c r="Q279">
        <v>25</v>
      </c>
      <c r="R279">
        <v>0</v>
      </c>
      <c r="S279">
        <v>0</v>
      </c>
      <c r="T279">
        <v>10</v>
      </c>
      <c r="U279">
        <v>7</v>
      </c>
      <c r="V279">
        <v>12</v>
      </c>
      <c r="W279">
        <v>0</v>
      </c>
      <c r="X279">
        <v>0</v>
      </c>
    </row>
    <row r="280" spans="1:24" x14ac:dyDescent="0.2">
      <c r="A280">
        <v>3010700</v>
      </c>
      <c r="B280" t="s">
        <v>279</v>
      </c>
      <c r="C280">
        <v>700</v>
      </c>
      <c r="D280">
        <v>700</v>
      </c>
      <c r="E280">
        <v>10000</v>
      </c>
      <c r="F280">
        <v>97</v>
      </c>
      <c r="G280">
        <v>0</v>
      </c>
      <c r="H280">
        <v>97</v>
      </c>
      <c r="I280">
        <v>0</v>
      </c>
      <c r="J280">
        <v>0</v>
      </c>
      <c r="K280">
        <v>0</v>
      </c>
      <c r="L280">
        <v>0</v>
      </c>
      <c r="M280">
        <v>4</v>
      </c>
      <c r="N280">
        <v>0</v>
      </c>
      <c r="O280">
        <v>0</v>
      </c>
      <c r="P280">
        <v>10</v>
      </c>
      <c r="Q280">
        <v>25</v>
      </c>
      <c r="R280">
        <v>35</v>
      </c>
      <c r="S280">
        <v>35</v>
      </c>
      <c r="T280">
        <v>10</v>
      </c>
      <c r="U280">
        <v>7</v>
      </c>
      <c r="V280">
        <v>12</v>
      </c>
      <c r="W280">
        <v>0</v>
      </c>
      <c r="X280">
        <v>0</v>
      </c>
    </row>
    <row r="281" spans="1:24" x14ac:dyDescent="0.2">
      <c r="A281">
        <v>3010800</v>
      </c>
      <c r="B281" t="s">
        <v>280</v>
      </c>
      <c r="C281">
        <v>800</v>
      </c>
      <c r="D281">
        <v>800</v>
      </c>
      <c r="E281">
        <v>10000</v>
      </c>
      <c r="F281">
        <v>97</v>
      </c>
      <c r="G281">
        <v>0</v>
      </c>
      <c r="H281">
        <v>0</v>
      </c>
      <c r="I281">
        <v>97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10</v>
      </c>
      <c r="Q281">
        <v>25</v>
      </c>
      <c r="R281">
        <v>0</v>
      </c>
      <c r="S281">
        <v>35</v>
      </c>
      <c r="T281">
        <v>10</v>
      </c>
      <c r="U281">
        <v>7</v>
      </c>
      <c r="V281">
        <v>12</v>
      </c>
      <c r="W281">
        <v>0</v>
      </c>
      <c r="X281">
        <v>0</v>
      </c>
    </row>
    <row r="282" spans="1:24" x14ac:dyDescent="0.2">
      <c r="A282">
        <v>3010900</v>
      </c>
      <c r="B282" t="s">
        <v>281</v>
      </c>
      <c r="C282">
        <v>900</v>
      </c>
      <c r="D282">
        <v>900</v>
      </c>
      <c r="E282">
        <v>10000</v>
      </c>
      <c r="F282">
        <v>77</v>
      </c>
      <c r="G282">
        <v>0</v>
      </c>
      <c r="H282">
        <v>0</v>
      </c>
      <c r="I282">
        <v>0</v>
      </c>
      <c r="J282">
        <v>77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10</v>
      </c>
      <c r="Q282">
        <v>25</v>
      </c>
      <c r="R282">
        <v>0</v>
      </c>
      <c r="S282">
        <v>0</v>
      </c>
      <c r="T282">
        <v>10</v>
      </c>
      <c r="U282">
        <v>7</v>
      </c>
      <c r="V282">
        <v>12</v>
      </c>
      <c r="W282">
        <v>0</v>
      </c>
      <c r="X282">
        <v>0</v>
      </c>
    </row>
    <row r="283" spans="1:24" x14ac:dyDescent="0.2">
      <c r="A283">
        <v>3011000</v>
      </c>
      <c r="B283" t="s">
        <v>282</v>
      </c>
      <c r="C283">
        <v>1000</v>
      </c>
      <c r="D283">
        <v>1000</v>
      </c>
      <c r="E283">
        <v>10000</v>
      </c>
      <c r="F283">
        <v>97</v>
      </c>
      <c r="G283">
        <v>0</v>
      </c>
      <c r="H283">
        <v>0</v>
      </c>
      <c r="I283">
        <v>0</v>
      </c>
      <c r="J283">
        <v>97</v>
      </c>
      <c r="K283">
        <v>0</v>
      </c>
      <c r="L283">
        <v>0</v>
      </c>
      <c r="M283">
        <v>0</v>
      </c>
      <c r="N283">
        <v>0</v>
      </c>
      <c r="O283">
        <v>4</v>
      </c>
      <c r="P283">
        <v>10</v>
      </c>
      <c r="Q283">
        <v>25</v>
      </c>
      <c r="R283">
        <v>35</v>
      </c>
      <c r="S283">
        <v>35</v>
      </c>
      <c r="T283">
        <v>10</v>
      </c>
      <c r="U283">
        <v>7</v>
      </c>
      <c r="V283">
        <v>12</v>
      </c>
      <c r="W283">
        <v>0</v>
      </c>
      <c r="X283">
        <v>0</v>
      </c>
    </row>
    <row r="284" spans="1:24" x14ac:dyDescent="0.2">
      <c r="A284">
        <v>3011100</v>
      </c>
      <c r="B284" t="s">
        <v>283</v>
      </c>
      <c r="C284">
        <v>1100</v>
      </c>
      <c r="D284">
        <v>1100</v>
      </c>
      <c r="E284">
        <v>10000</v>
      </c>
      <c r="F284">
        <v>89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10</v>
      </c>
      <c r="Q284">
        <v>25</v>
      </c>
      <c r="R284">
        <v>0</v>
      </c>
      <c r="S284">
        <v>0</v>
      </c>
      <c r="T284">
        <v>10</v>
      </c>
      <c r="U284">
        <v>7</v>
      </c>
      <c r="V284">
        <v>12</v>
      </c>
      <c r="W284">
        <v>0</v>
      </c>
      <c r="X284">
        <v>0</v>
      </c>
    </row>
    <row r="285" spans="1:24" x14ac:dyDescent="0.2">
      <c r="A285">
        <v>3011200</v>
      </c>
      <c r="B285" t="s">
        <v>284</v>
      </c>
      <c r="C285">
        <v>1200</v>
      </c>
      <c r="D285">
        <v>1200</v>
      </c>
      <c r="E285">
        <v>10000</v>
      </c>
      <c r="F285">
        <v>89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10</v>
      </c>
      <c r="Q285">
        <v>25</v>
      </c>
      <c r="R285">
        <v>0</v>
      </c>
      <c r="S285">
        <v>0</v>
      </c>
      <c r="T285">
        <v>10</v>
      </c>
      <c r="U285">
        <v>7</v>
      </c>
      <c r="V285">
        <v>12</v>
      </c>
      <c r="W285">
        <v>0</v>
      </c>
      <c r="X285">
        <v>0</v>
      </c>
    </row>
    <row r="286" spans="1:24" x14ac:dyDescent="0.2">
      <c r="A286">
        <v>3011300</v>
      </c>
      <c r="B286" t="s">
        <v>285</v>
      </c>
      <c r="C286">
        <v>1300</v>
      </c>
      <c r="D286">
        <v>1300</v>
      </c>
      <c r="E286">
        <v>10000</v>
      </c>
      <c r="F286">
        <v>77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10</v>
      </c>
      <c r="Q286">
        <v>25</v>
      </c>
      <c r="R286">
        <v>0</v>
      </c>
      <c r="S286">
        <v>0</v>
      </c>
      <c r="T286">
        <v>10</v>
      </c>
      <c r="U286">
        <v>7</v>
      </c>
      <c r="V286">
        <v>12</v>
      </c>
      <c r="W286">
        <v>0</v>
      </c>
      <c r="X286">
        <v>0</v>
      </c>
    </row>
    <row r="287" spans="1:24" x14ac:dyDescent="0.2">
      <c r="A287">
        <v>3011400</v>
      </c>
      <c r="B287" t="s">
        <v>286</v>
      </c>
      <c r="C287">
        <v>1400</v>
      </c>
      <c r="D287">
        <v>1400</v>
      </c>
      <c r="E287">
        <v>10014</v>
      </c>
      <c r="F287">
        <v>97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10</v>
      </c>
      <c r="Q287">
        <v>25</v>
      </c>
      <c r="R287">
        <v>0</v>
      </c>
      <c r="S287">
        <v>35</v>
      </c>
      <c r="T287">
        <v>10</v>
      </c>
      <c r="U287">
        <v>7</v>
      </c>
      <c r="V287">
        <v>12</v>
      </c>
      <c r="W287">
        <v>0</v>
      </c>
      <c r="X287">
        <v>0</v>
      </c>
    </row>
    <row r="288" spans="1:24" x14ac:dyDescent="0.2">
      <c r="A288">
        <v>3011500</v>
      </c>
      <c r="B288" t="s">
        <v>287</v>
      </c>
      <c r="C288">
        <v>1500</v>
      </c>
      <c r="D288">
        <v>1500</v>
      </c>
      <c r="E288">
        <v>10015</v>
      </c>
      <c r="F288">
        <v>89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10</v>
      </c>
      <c r="Q288">
        <v>25</v>
      </c>
      <c r="R288">
        <v>0</v>
      </c>
      <c r="S288">
        <v>0</v>
      </c>
      <c r="T288">
        <v>10</v>
      </c>
      <c r="U288">
        <v>7</v>
      </c>
      <c r="V288">
        <v>12</v>
      </c>
      <c r="W288">
        <v>0</v>
      </c>
      <c r="X288">
        <v>0</v>
      </c>
    </row>
    <row r="289" spans="1:24" x14ac:dyDescent="0.2">
      <c r="A289">
        <v>3020000</v>
      </c>
      <c r="B289" t="s">
        <v>288</v>
      </c>
      <c r="C289">
        <v>0</v>
      </c>
      <c r="D289">
        <v>0</v>
      </c>
      <c r="E289">
        <v>10000</v>
      </c>
      <c r="F289">
        <v>95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20</v>
      </c>
      <c r="Q289">
        <v>60</v>
      </c>
      <c r="R289">
        <v>0</v>
      </c>
      <c r="S289">
        <v>0</v>
      </c>
      <c r="T289">
        <v>24</v>
      </c>
      <c r="U289">
        <v>7</v>
      </c>
      <c r="V289">
        <v>12</v>
      </c>
      <c r="W289">
        <v>0</v>
      </c>
      <c r="X289">
        <v>0</v>
      </c>
    </row>
    <row r="290" spans="1:24" x14ac:dyDescent="0.2">
      <c r="A290">
        <v>3020100</v>
      </c>
      <c r="B290" t="s">
        <v>289</v>
      </c>
      <c r="C290">
        <v>200</v>
      </c>
      <c r="D290">
        <v>100</v>
      </c>
      <c r="E290">
        <v>10000</v>
      </c>
      <c r="F290">
        <v>95</v>
      </c>
      <c r="G290">
        <v>0</v>
      </c>
      <c r="H290">
        <v>0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40</v>
      </c>
      <c r="Q290">
        <v>0</v>
      </c>
      <c r="R290">
        <v>0</v>
      </c>
      <c r="S290">
        <v>0</v>
      </c>
      <c r="T290">
        <v>24</v>
      </c>
      <c r="U290">
        <v>7</v>
      </c>
      <c r="V290">
        <v>12</v>
      </c>
      <c r="W290">
        <v>0</v>
      </c>
      <c r="X290">
        <v>0</v>
      </c>
    </row>
    <row r="291" spans="1:24" x14ac:dyDescent="0.2">
      <c r="A291">
        <v>3020200</v>
      </c>
      <c r="B291" t="s">
        <v>290</v>
      </c>
      <c r="C291">
        <v>100</v>
      </c>
      <c r="D291">
        <v>5000</v>
      </c>
      <c r="E291">
        <v>10000</v>
      </c>
      <c r="F291">
        <v>95</v>
      </c>
      <c r="G291">
        <v>0</v>
      </c>
      <c r="H291">
        <v>0</v>
      </c>
      <c r="I291">
        <v>0</v>
      </c>
      <c r="J291">
        <v>0</v>
      </c>
      <c r="K291">
        <v>2</v>
      </c>
      <c r="L291">
        <v>0</v>
      </c>
      <c r="M291">
        <v>0</v>
      </c>
      <c r="N291">
        <v>0</v>
      </c>
      <c r="O291">
        <v>0</v>
      </c>
      <c r="P291">
        <v>13</v>
      </c>
      <c r="Q291">
        <v>57</v>
      </c>
      <c r="R291">
        <v>0</v>
      </c>
      <c r="S291">
        <v>0</v>
      </c>
      <c r="T291">
        <v>24</v>
      </c>
      <c r="U291">
        <v>7</v>
      </c>
      <c r="V291">
        <v>12</v>
      </c>
      <c r="W291">
        <v>0</v>
      </c>
      <c r="X291">
        <v>0</v>
      </c>
    </row>
    <row r="292" spans="1:24" x14ac:dyDescent="0.2">
      <c r="A292">
        <v>3020300</v>
      </c>
      <c r="B292" t="s">
        <v>291</v>
      </c>
      <c r="C292">
        <v>300</v>
      </c>
      <c r="D292">
        <v>300</v>
      </c>
      <c r="E292">
        <v>10000</v>
      </c>
      <c r="F292">
        <v>95</v>
      </c>
      <c r="G292">
        <v>0</v>
      </c>
      <c r="H292">
        <v>0</v>
      </c>
      <c r="I292">
        <v>0</v>
      </c>
      <c r="J292">
        <v>0</v>
      </c>
      <c r="K292">
        <v>8</v>
      </c>
      <c r="L292">
        <v>0</v>
      </c>
      <c r="M292">
        <v>0</v>
      </c>
      <c r="N292">
        <v>0</v>
      </c>
      <c r="O292">
        <v>0</v>
      </c>
      <c r="P292">
        <v>45</v>
      </c>
      <c r="Q292">
        <v>50</v>
      </c>
      <c r="R292">
        <v>0</v>
      </c>
      <c r="S292">
        <v>0</v>
      </c>
      <c r="T292">
        <v>24</v>
      </c>
      <c r="U292">
        <v>7</v>
      </c>
      <c r="V292">
        <v>12</v>
      </c>
      <c r="W292">
        <v>0</v>
      </c>
      <c r="X292">
        <v>0</v>
      </c>
    </row>
    <row r="293" spans="1:24" x14ac:dyDescent="0.2">
      <c r="A293">
        <v>3020400</v>
      </c>
      <c r="B293" t="s">
        <v>292</v>
      </c>
      <c r="C293">
        <v>500</v>
      </c>
      <c r="D293">
        <v>500</v>
      </c>
      <c r="E293">
        <v>10000</v>
      </c>
      <c r="F293">
        <v>93</v>
      </c>
      <c r="G293">
        <v>93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20</v>
      </c>
      <c r="Q293">
        <v>60</v>
      </c>
      <c r="R293">
        <v>80</v>
      </c>
      <c r="S293">
        <v>0</v>
      </c>
      <c r="T293">
        <v>24</v>
      </c>
      <c r="U293">
        <v>7</v>
      </c>
      <c r="V293">
        <v>12</v>
      </c>
      <c r="W293">
        <v>0</v>
      </c>
      <c r="X293">
        <v>0</v>
      </c>
    </row>
    <row r="294" spans="1:24" x14ac:dyDescent="0.2">
      <c r="A294">
        <v>3020500</v>
      </c>
      <c r="B294" t="s">
        <v>293</v>
      </c>
      <c r="C294">
        <v>400</v>
      </c>
      <c r="D294">
        <v>400</v>
      </c>
      <c r="E294">
        <v>10000</v>
      </c>
      <c r="F294">
        <v>93</v>
      </c>
      <c r="G294">
        <v>93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20</v>
      </c>
      <c r="Q294">
        <v>60</v>
      </c>
      <c r="R294">
        <v>80</v>
      </c>
      <c r="S294">
        <v>0</v>
      </c>
      <c r="T294">
        <v>24</v>
      </c>
      <c r="U294">
        <v>7</v>
      </c>
      <c r="V294">
        <v>12</v>
      </c>
      <c r="W294">
        <v>0</v>
      </c>
      <c r="X294">
        <v>0</v>
      </c>
    </row>
    <row r="295" spans="1:24" x14ac:dyDescent="0.2">
      <c r="A295">
        <v>3020600</v>
      </c>
      <c r="B295" t="s">
        <v>294</v>
      </c>
      <c r="C295">
        <v>600</v>
      </c>
      <c r="D295">
        <v>600</v>
      </c>
      <c r="E295">
        <v>10000</v>
      </c>
      <c r="F295">
        <v>100</v>
      </c>
      <c r="G295">
        <v>0</v>
      </c>
      <c r="H295">
        <v>100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20</v>
      </c>
      <c r="Q295">
        <v>60</v>
      </c>
      <c r="R295">
        <v>0</v>
      </c>
      <c r="S295">
        <v>0</v>
      </c>
      <c r="T295">
        <v>24</v>
      </c>
      <c r="U295">
        <v>7</v>
      </c>
      <c r="V295">
        <v>12</v>
      </c>
      <c r="W295">
        <v>0</v>
      </c>
      <c r="X295">
        <v>0</v>
      </c>
    </row>
    <row r="296" spans="1:24" x14ac:dyDescent="0.2">
      <c r="A296">
        <v>3020700</v>
      </c>
      <c r="B296" t="s">
        <v>295</v>
      </c>
      <c r="C296">
        <v>700</v>
      </c>
      <c r="D296">
        <v>700</v>
      </c>
      <c r="E296">
        <v>10000</v>
      </c>
      <c r="F296">
        <v>93</v>
      </c>
      <c r="G296">
        <v>0</v>
      </c>
      <c r="H296">
        <v>93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>
        <v>0</v>
      </c>
      <c r="P296">
        <v>20</v>
      </c>
      <c r="Q296">
        <v>60</v>
      </c>
      <c r="R296">
        <v>80</v>
      </c>
      <c r="S296">
        <v>80</v>
      </c>
      <c r="T296">
        <v>24</v>
      </c>
      <c r="U296">
        <v>7</v>
      </c>
      <c r="V296">
        <v>12</v>
      </c>
      <c r="W296">
        <v>0</v>
      </c>
      <c r="X296">
        <v>0</v>
      </c>
    </row>
    <row r="297" spans="1:24" x14ac:dyDescent="0.2">
      <c r="A297">
        <v>3020800</v>
      </c>
      <c r="B297" t="s">
        <v>296</v>
      </c>
      <c r="C297">
        <v>800</v>
      </c>
      <c r="D297">
        <v>800</v>
      </c>
      <c r="E297">
        <v>10000</v>
      </c>
      <c r="F297">
        <v>93</v>
      </c>
      <c r="G297">
        <v>0</v>
      </c>
      <c r="H297">
        <v>0</v>
      </c>
      <c r="I297">
        <v>93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20</v>
      </c>
      <c r="Q297">
        <v>60</v>
      </c>
      <c r="R297">
        <v>0</v>
      </c>
      <c r="S297">
        <v>80</v>
      </c>
      <c r="T297">
        <v>24</v>
      </c>
      <c r="U297">
        <v>7</v>
      </c>
      <c r="V297">
        <v>12</v>
      </c>
      <c r="W297">
        <v>0</v>
      </c>
      <c r="X297">
        <v>0</v>
      </c>
    </row>
    <row r="298" spans="1:24" x14ac:dyDescent="0.2">
      <c r="A298">
        <v>3020900</v>
      </c>
      <c r="B298" t="s">
        <v>297</v>
      </c>
      <c r="C298">
        <v>900</v>
      </c>
      <c r="D298">
        <v>900</v>
      </c>
      <c r="E298">
        <v>10000</v>
      </c>
      <c r="F298">
        <v>100</v>
      </c>
      <c r="G298">
        <v>0</v>
      </c>
      <c r="H298">
        <v>0</v>
      </c>
      <c r="I298">
        <v>0</v>
      </c>
      <c r="J298">
        <v>100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20</v>
      </c>
      <c r="Q298">
        <v>60</v>
      </c>
      <c r="R298">
        <v>0</v>
      </c>
      <c r="S298">
        <v>0</v>
      </c>
      <c r="T298">
        <v>24</v>
      </c>
      <c r="U298">
        <v>7</v>
      </c>
      <c r="V298">
        <v>12</v>
      </c>
      <c r="W298">
        <v>0</v>
      </c>
      <c r="X298">
        <v>0</v>
      </c>
    </row>
    <row r="299" spans="1:24" x14ac:dyDescent="0.2">
      <c r="A299">
        <v>3021000</v>
      </c>
      <c r="B299" t="s">
        <v>298</v>
      </c>
      <c r="C299">
        <v>1000</v>
      </c>
      <c r="D299">
        <v>1000</v>
      </c>
      <c r="E299">
        <v>10000</v>
      </c>
      <c r="F299">
        <v>93</v>
      </c>
      <c r="G299">
        <v>0</v>
      </c>
      <c r="H299">
        <v>0</v>
      </c>
      <c r="I299">
        <v>0</v>
      </c>
      <c r="J299">
        <v>93</v>
      </c>
      <c r="K299">
        <v>0</v>
      </c>
      <c r="L299">
        <v>0</v>
      </c>
      <c r="M299">
        <v>0</v>
      </c>
      <c r="N299">
        <v>0</v>
      </c>
      <c r="O299">
        <v>4</v>
      </c>
      <c r="P299">
        <v>20</v>
      </c>
      <c r="Q299">
        <v>60</v>
      </c>
      <c r="R299">
        <v>80</v>
      </c>
      <c r="S299">
        <v>80</v>
      </c>
      <c r="T299">
        <v>24</v>
      </c>
      <c r="U299">
        <v>7</v>
      </c>
      <c r="V299">
        <v>12</v>
      </c>
      <c r="W299">
        <v>0</v>
      </c>
      <c r="X299">
        <v>0</v>
      </c>
    </row>
    <row r="300" spans="1:24" x14ac:dyDescent="0.2">
      <c r="A300">
        <v>3021100</v>
      </c>
      <c r="B300" t="s">
        <v>299</v>
      </c>
      <c r="C300">
        <v>1100</v>
      </c>
      <c r="D300">
        <v>1100</v>
      </c>
      <c r="E300">
        <v>10000</v>
      </c>
      <c r="F300">
        <v>95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20</v>
      </c>
      <c r="Q300">
        <v>60</v>
      </c>
      <c r="R300">
        <v>0</v>
      </c>
      <c r="S300">
        <v>0</v>
      </c>
      <c r="T300">
        <v>24</v>
      </c>
      <c r="U300">
        <v>7</v>
      </c>
      <c r="V300">
        <v>12</v>
      </c>
      <c r="W300">
        <v>0</v>
      </c>
      <c r="X300">
        <v>0</v>
      </c>
    </row>
    <row r="301" spans="1:24" x14ac:dyDescent="0.2">
      <c r="A301">
        <v>3021200</v>
      </c>
      <c r="B301" t="s">
        <v>300</v>
      </c>
      <c r="C301">
        <v>1200</v>
      </c>
      <c r="D301">
        <v>1200</v>
      </c>
      <c r="E301">
        <v>10000</v>
      </c>
      <c r="F301">
        <v>95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20</v>
      </c>
      <c r="Q301">
        <v>60</v>
      </c>
      <c r="R301">
        <v>0</v>
      </c>
      <c r="S301">
        <v>0</v>
      </c>
      <c r="T301">
        <v>24</v>
      </c>
      <c r="U301">
        <v>7</v>
      </c>
      <c r="V301">
        <v>12</v>
      </c>
      <c r="W301">
        <v>0</v>
      </c>
      <c r="X301">
        <v>0</v>
      </c>
    </row>
    <row r="302" spans="1:24" x14ac:dyDescent="0.2">
      <c r="A302">
        <v>3021300</v>
      </c>
      <c r="B302" t="s">
        <v>301</v>
      </c>
      <c r="C302">
        <v>1300</v>
      </c>
      <c r="D302">
        <v>1300</v>
      </c>
      <c r="E302">
        <v>10000</v>
      </c>
      <c r="F302">
        <v>105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20</v>
      </c>
      <c r="Q302">
        <v>60</v>
      </c>
      <c r="R302">
        <v>0</v>
      </c>
      <c r="S302">
        <v>0</v>
      </c>
      <c r="T302">
        <v>24</v>
      </c>
      <c r="U302">
        <v>7</v>
      </c>
      <c r="V302">
        <v>12</v>
      </c>
      <c r="W302">
        <v>0</v>
      </c>
      <c r="X302">
        <v>0</v>
      </c>
    </row>
    <row r="303" spans="1:24" x14ac:dyDescent="0.2">
      <c r="A303">
        <v>3021400</v>
      </c>
      <c r="B303" t="s">
        <v>302</v>
      </c>
      <c r="C303">
        <v>1400</v>
      </c>
      <c r="D303">
        <v>1400</v>
      </c>
      <c r="E303">
        <v>10014</v>
      </c>
      <c r="F303">
        <v>93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20</v>
      </c>
      <c r="Q303">
        <v>60</v>
      </c>
      <c r="R303">
        <v>0</v>
      </c>
      <c r="S303">
        <v>80</v>
      </c>
      <c r="T303">
        <v>24</v>
      </c>
      <c r="U303">
        <v>7</v>
      </c>
      <c r="V303">
        <v>12</v>
      </c>
      <c r="W303">
        <v>0</v>
      </c>
      <c r="X303">
        <v>0</v>
      </c>
    </row>
    <row r="304" spans="1:24" x14ac:dyDescent="0.2">
      <c r="A304">
        <v>3021500</v>
      </c>
      <c r="B304" t="s">
        <v>303</v>
      </c>
      <c r="C304">
        <v>1500</v>
      </c>
      <c r="D304">
        <v>1500</v>
      </c>
      <c r="E304">
        <v>10015</v>
      </c>
      <c r="F304">
        <v>95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20</v>
      </c>
      <c r="Q304">
        <v>60</v>
      </c>
      <c r="R304">
        <v>0</v>
      </c>
      <c r="S304">
        <v>0</v>
      </c>
      <c r="T304">
        <v>24</v>
      </c>
      <c r="U304">
        <v>7</v>
      </c>
      <c r="V304">
        <v>12</v>
      </c>
      <c r="W304">
        <v>0</v>
      </c>
      <c r="X304">
        <v>0</v>
      </c>
    </row>
    <row r="305" spans="1:24" x14ac:dyDescent="0.2">
      <c r="A305">
        <v>3030000</v>
      </c>
      <c r="B305" t="s">
        <v>304</v>
      </c>
      <c r="C305">
        <v>0</v>
      </c>
      <c r="D305">
        <v>0</v>
      </c>
      <c r="E305">
        <v>10000</v>
      </c>
      <c r="F305">
        <v>97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21</v>
      </c>
      <c r="Q305">
        <v>60</v>
      </c>
      <c r="R305">
        <v>0</v>
      </c>
      <c r="S305">
        <v>0</v>
      </c>
      <c r="T305">
        <v>25</v>
      </c>
      <c r="U305">
        <v>8</v>
      </c>
      <c r="V305">
        <v>20</v>
      </c>
      <c r="W305">
        <v>0</v>
      </c>
      <c r="X305">
        <v>0</v>
      </c>
    </row>
    <row r="306" spans="1:24" x14ac:dyDescent="0.2">
      <c r="A306">
        <v>3030100</v>
      </c>
      <c r="B306" t="s">
        <v>305</v>
      </c>
      <c r="C306">
        <v>200</v>
      </c>
      <c r="D306">
        <v>100</v>
      </c>
      <c r="E306">
        <v>10000</v>
      </c>
      <c r="F306">
        <v>97</v>
      </c>
      <c r="G306">
        <v>0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40</v>
      </c>
      <c r="Q306">
        <v>0</v>
      </c>
      <c r="R306">
        <v>0</v>
      </c>
      <c r="S306">
        <v>0</v>
      </c>
      <c r="T306">
        <v>25</v>
      </c>
      <c r="U306">
        <v>8</v>
      </c>
      <c r="V306">
        <v>20</v>
      </c>
      <c r="W306">
        <v>0</v>
      </c>
      <c r="X306">
        <v>0</v>
      </c>
    </row>
    <row r="307" spans="1:24" x14ac:dyDescent="0.2">
      <c r="A307">
        <v>3030200</v>
      </c>
      <c r="B307" t="s">
        <v>306</v>
      </c>
      <c r="C307">
        <v>100</v>
      </c>
      <c r="D307">
        <v>5000</v>
      </c>
      <c r="E307">
        <v>10000</v>
      </c>
      <c r="F307">
        <v>97</v>
      </c>
      <c r="G307">
        <v>0</v>
      </c>
      <c r="H307">
        <v>0</v>
      </c>
      <c r="I307">
        <v>0</v>
      </c>
      <c r="J307">
        <v>0</v>
      </c>
      <c r="K307">
        <v>2</v>
      </c>
      <c r="L307">
        <v>0</v>
      </c>
      <c r="M307">
        <v>0</v>
      </c>
      <c r="N307">
        <v>0</v>
      </c>
      <c r="O307">
        <v>0</v>
      </c>
      <c r="P307">
        <v>13</v>
      </c>
      <c r="Q307">
        <v>57</v>
      </c>
      <c r="R307">
        <v>0</v>
      </c>
      <c r="S307">
        <v>0</v>
      </c>
      <c r="T307">
        <v>25</v>
      </c>
      <c r="U307">
        <v>8</v>
      </c>
      <c r="V307">
        <v>20</v>
      </c>
      <c r="W307">
        <v>0</v>
      </c>
      <c r="X307">
        <v>0</v>
      </c>
    </row>
    <row r="308" spans="1:24" x14ac:dyDescent="0.2">
      <c r="A308">
        <v>3030300</v>
      </c>
      <c r="B308" t="s">
        <v>307</v>
      </c>
      <c r="C308">
        <v>300</v>
      </c>
      <c r="D308">
        <v>300</v>
      </c>
      <c r="E308">
        <v>10000</v>
      </c>
      <c r="F308">
        <v>97</v>
      </c>
      <c r="G308">
        <v>0</v>
      </c>
      <c r="H308">
        <v>0</v>
      </c>
      <c r="I308">
        <v>0</v>
      </c>
      <c r="J308">
        <v>0</v>
      </c>
      <c r="K308">
        <v>8</v>
      </c>
      <c r="L308">
        <v>0</v>
      </c>
      <c r="M308">
        <v>0</v>
      </c>
      <c r="N308">
        <v>0</v>
      </c>
      <c r="O308">
        <v>0</v>
      </c>
      <c r="P308">
        <v>45</v>
      </c>
      <c r="Q308">
        <v>50</v>
      </c>
      <c r="R308">
        <v>0</v>
      </c>
      <c r="S308">
        <v>0</v>
      </c>
      <c r="T308">
        <v>25</v>
      </c>
      <c r="U308">
        <v>8</v>
      </c>
      <c r="V308">
        <v>20</v>
      </c>
      <c r="W308">
        <v>0</v>
      </c>
      <c r="X308">
        <v>0</v>
      </c>
    </row>
    <row r="309" spans="1:24" x14ac:dyDescent="0.2">
      <c r="A309">
        <v>3030400</v>
      </c>
      <c r="B309" t="s">
        <v>308</v>
      </c>
      <c r="C309">
        <v>500</v>
      </c>
      <c r="D309">
        <v>500</v>
      </c>
      <c r="E309">
        <v>10000</v>
      </c>
      <c r="F309">
        <v>95</v>
      </c>
      <c r="G309">
        <v>95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21</v>
      </c>
      <c r="Q309">
        <v>60</v>
      </c>
      <c r="R309">
        <v>81</v>
      </c>
      <c r="S309">
        <v>0</v>
      </c>
      <c r="T309">
        <v>25</v>
      </c>
      <c r="U309">
        <v>8</v>
      </c>
      <c r="V309">
        <v>20</v>
      </c>
      <c r="W309">
        <v>0</v>
      </c>
      <c r="X309">
        <v>0</v>
      </c>
    </row>
    <row r="310" spans="1:24" x14ac:dyDescent="0.2">
      <c r="A310">
        <v>3030500</v>
      </c>
      <c r="B310" t="s">
        <v>309</v>
      </c>
      <c r="C310">
        <v>400</v>
      </c>
      <c r="D310">
        <v>400</v>
      </c>
      <c r="E310">
        <v>10000</v>
      </c>
      <c r="F310">
        <v>95</v>
      </c>
      <c r="G310">
        <v>95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21</v>
      </c>
      <c r="Q310">
        <v>60</v>
      </c>
      <c r="R310">
        <v>81</v>
      </c>
      <c r="S310">
        <v>0</v>
      </c>
      <c r="T310">
        <v>25</v>
      </c>
      <c r="U310">
        <v>8</v>
      </c>
      <c r="V310">
        <v>20</v>
      </c>
      <c r="W310">
        <v>0</v>
      </c>
      <c r="X310">
        <v>0</v>
      </c>
    </row>
    <row r="311" spans="1:24" x14ac:dyDescent="0.2">
      <c r="A311">
        <v>3030600</v>
      </c>
      <c r="B311" t="s">
        <v>310</v>
      </c>
      <c r="C311">
        <v>600</v>
      </c>
      <c r="D311">
        <v>600</v>
      </c>
      <c r="E311">
        <v>10000</v>
      </c>
      <c r="F311">
        <v>102</v>
      </c>
      <c r="G311">
        <v>0</v>
      </c>
      <c r="H311">
        <v>102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21</v>
      </c>
      <c r="Q311">
        <v>60</v>
      </c>
      <c r="R311">
        <v>0</v>
      </c>
      <c r="S311">
        <v>0</v>
      </c>
      <c r="T311">
        <v>25</v>
      </c>
      <c r="U311">
        <v>8</v>
      </c>
      <c r="V311">
        <v>20</v>
      </c>
      <c r="W311">
        <v>0</v>
      </c>
      <c r="X311">
        <v>0</v>
      </c>
    </row>
    <row r="312" spans="1:24" x14ac:dyDescent="0.2">
      <c r="A312">
        <v>3030700</v>
      </c>
      <c r="B312" t="s">
        <v>311</v>
      </c>
      <c r="C312">
        <v>700</v>
      </c>
      <c r="D312">
        <v>700</v>
      </c>
      <c r="E312">
        <v>10000</v>
      </c>
      <c r="F312">
        <v>95</v>
      </c>
      <c r="G312">
        <v>0</v>
      </c>
      <c r="H312">
        <v>95</v>
      </c>
      <c r="I312">
        <v>0</v>
      </c>
      <c r="J312">
        <v>0</v>
      </c>
      <c r="K312">
        <v>0</v>
      </c>
      <c r="L312">
        <v>0</v>
      </c>
      <c r="M312">
        <v>4</v>
      </c>
      <c r="N312">
        <v>0</v>
      </c>
      <c r="O312">
        <v>0</v>
      </c>
      <c r="P312">
        <v>21</v>
      </c>
      <c r="Q312">
        <v>60</v>
      </c>
      <c r="R312">
        <v>81</v>
      </c>
      <c r="S312">
        <v>81</v>
      </c>
      <c r="T312">
        <v>25</v>
      </c>
      <c r="U312">
        <v>8</v>
      </c>
      <c r="V312">
        <v>20</v>
      </c>
      <c r="W312">
        <v>0</v>
      </c>
      <c r="X312">
        <v>0</v>
      </c>
    </row>
    <row r="313" spans="1:24" x14ac:dyDescent="0.2">
      <c r="A313">
        <v>3030800</v>
      </c>
      <c r="B313" t="s">
        <v>312</v>
      </c>
      <c r="C313">
        <v>800</v>
      </c>
      <c r="D313">
        <v>800</v>
      </c>
      <c r="E313">
        <v>10000</v>
      </c>
      <c r="F313">
        <v>95</v>
      </c>
      <c r="G313">
        <v>0</v>
      </c>
      <c r="H313">
        <v>0</v>
      </c>
      <c r="I313">
        <v>95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21</v>
      </c>
      <c r="Q313">
        <v>60</v>
      </c>
      <c r="R313">
        <v>0</v>
      </c>
      <c r="S313">
        <v>81</v>
      </c>
      <c r="T313">
        <v>25</v>
      </c>
      <c r="U313">
        <v>8</v>
      </c>
      <c r="V313">
        <v>20</v>
      </c>
      <c r="W313">
        <v>0</v>
      </c>
      <c r="X313">
        <v>0</v>
      </c>
    </row>
    <row r="314" spans="1:24" x14ac:dyDescent="0.2">
      <c r="A314">
        <v>3030900</v>
      </c>
      <c r="B314" t="s">
        <v>313</v>
      </c>
      <c r="C314">
        <v>900</v>
      </c>
      <c r="D314">
        <v>900</v>
      </c>
      <c r="E314">
        <v>10000</v>
      </c>
      <c r="F314">
        <v>102</v>
      </c>
      <c r="G314">
        <v>0</v>
      </c>
      <c r="H314">
        <v>0</v>
      </c>
      <c r="I314">
        <v>0</v>
      </c>
      <c r="J314">
        <v>102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21</v>
      </c>
      <c r="Q314">
        <v>60</v>
      </c>
      <c r="R314">
        <v>0</v>
      </c>
      <c r="S314">
        <v>0</v>
      </c>
      <c r="T314">
        <v>25</v>
      </c>
      <c r="U314">
        <v>8</v>
      </c>
      <c r="V314">
        <v>20</v>
      </c>
      <c r="W314">
        <v>0</v>
      </c>
      <c r="X314">
        <v>0</v>
      </c>
    </row>
    <row r="315" spans="1:24" x14ac:dyDescent="0.2">
      <c r="A315">
        <v>3031000</v>
      </c>
      <c r="B315" t="s">
        <v>314</v>
      </c>
      <c r="C315">
        <v>1000</v>
      </c>
      <c r="D315">
        <v>1000</v>
      </c>
      <c r="E315">
        <v>10000</v>
      </c>
      <c r="F315">
        <v>95</v>
      </c>
      <c r="G315">
        <v>0</v>
      </c>
      <c r="H315">
        <v>0</v>
      </c>
      <c r="I315">
        <v>0</v>
      </c>
      <c r="J315">
        <v>95</v>
      </c>
      <c r="K315">
        <v>0</v>
      </c>
      <c r="L315">
        <v>0</v>
      </c>
      <c r="M315">
        <v>0</v>
      </c>
      <c r="N315">
        <v>0</v>
      </c>
      <c r="O315">
        <v>4</v>
      </c>
      <c r="P315">
        <v>21</v>
      </c>
      <c r="Q315">
        <v>60</v>
      </c>
      <c r="R315">
        <v>81</v>
      </c>
      <c r="S315">
        <v>81</v>
      </c>
      <c r="T315">
        <v>25</v>
      </c>
      <c r="U315">
        <v>8</v>
      </c>
      <c r="V315">
        <v>20</v>
      </c>
      <c r="W315">
        <v>0</v>
      </c>
      <c r="X315">
        <v>0</v>
      </c>
    </row>
    <row r="316" spans="1:24" x14ac:dyDescent="0.2">
      <c r="A316">
        <v>3031100</v>
      </c>
      <c r="B316" t="s">
        <v>315</v>
      </c>
      <c r="C316">
        <v>1100</v>
      </c>
      <c r="D316">
        <v>1100</v>
      </c>
      <c r="E316">
        <v>10000</v>
      </c>
      <c r="F316">
        <v>97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21</v>
      </c>
      <c r="Q316">
        <v>60</v>
      </c>
      <c r="R316">
        <v>0</v>
      </c>
      <c r="S316">
        <v>0</v>
      </c>
      <c r="T316">
        <v>25</v>
      </c>
      <c r="U316">
        <v>8</v>
      </c>
      <c r="V316">
        <v>20</v>
      </c>
      <c r="W316">
        <v>0</v>
      </c>
      <c r="X316">
        <v>0</v>
      </c>
    </row>
    <row r="317" spans="1:24" x14ac:dyDescent="0.2">
      <c r="A317">
        <v>3031200</v>
      </c>
      <c r="B317" t="s">
        <v>316</v>
      </c>
      <c r="C317">
        <v>1200</v>
      </c>
      <c r="D317">
        <v>1200</v>
      </c>
      <c r="E317">
        <v>10000</v>
      </c>
      <c r="F317">
        <v>97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21</v>
      </c>
      <c r="Q317">
        <v>60</v>
      </c>
      <c r="R317">
        <v>0</v>
      </c>
      <c r="S317">
        <v>0</v>
      </c>
      <c r="T317">
        <v>25</v>
      </c>
      <c r="U317">
        <v>8</v>
      </c>
      <c r="V317">
        <v>20</v>
      </c>
      <c r="W317">
        <v>0</v>
      </c>
      <c r="X317">
        <v>0</v>
      </c>
    </row>
    <row r="318" spans="1:24" x14ac:dyDescent="0.2">
      <c r="A318">
        <v>3031300</v>
      </c>
      <c r="B318" t="s">
        <v>317</v>
      </c>
      <c r="C318">
        <v>1300</v>
      </c>
      <c r="D318">
        <v>1300</v>
      </c>
      <c r="E318">
        <v>10000</v>
      </c>
      <c r="F318">
        <v>107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21</v>
      </c>
      <c r="Q318">
        <v>60</v>
      </c>
      <c r="R318">
        <v>0</v>
      </c>
      <c r="S318">
        <v>0</v>
      </c>
      <c r="T318">
        <v>25</v>
      </c>
      <c r="U318">
        <v>8</v>
      </c>
      <c r="V318">
        <v>20</v>
      </c>
      <c r="W318">
        <v>0</v>
      </c>
      <c r="X318">
        <v>0</v>
      </c>
    </row>
    <row r="319" spans="1:24" x14ac:dyDescent="0.2">
      <c r="A319">
        <v>3031400</v>
      </c>
      <c r="B319" t="s">
        <v>318</v>
      </c>
      <c r="C319">
        <v>1400</v>
      </c>
      <c r="D319">
        <v>1400</v>
      </c>
      <c r="E319">
        <v>10014</v>
      </c>
      <c r="F319">
        <v>95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21</v>
      </c>
      <c r="Q319">
        <v>60</v>
      </c>
      <c r="R319">
        <v>0</v>
      </c>
      <c r="S319">
        <v>81</v>
      </c>
      <c r="T319">
        <v>25</v>
      </c>
      <c r="U319">
        <v>8</v>
      </c>
      <c r="V319">
        <v>20</v>
      </c>
      <c r="W319">
        <v>0</v>
      </c>
      <c r="X319">
        <v>0</v>
      </c>
    </row>
    <row r="320" spans="1:24" x14ac:dyDescent="0.2">
      <c r="A320">
        <v>3031500</v>
      </c>
      <c r="B320" t="s">
        <v>319</v>
      </c>
      <c r="C320">
        <v>1500</v>
      </c>
      <c r="D320">
        <v>1500</v>
      </c>
      <c r="E320">
        <v>10015</v>
      </c>
      <c r="F320">
        <v>97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21</v>
      </c>
      <c r="Q320">
        <v>60</v>
      </c>
      <c r="R320">
        <v>0</v>
      </c>
      <c r="S320">
        <v>0</v>
      </c>
      <c r="T320">
        <v>25</v>
      </c>
      <c r="U320">
        <v>8</v>
      </c>
      <c r="V320">
        <v>20</v>
      </c>
      <c r="W320">
        <v>0</v>
      </c>
      <c r="X320">
        <v>0</v>
      </c>
    </row>
    <row r="321" spans="1:24" x14ac:dyDescent="0.2">
      <c r="A321">
        <v>3040000</v>
      </c>
      <c r="B321" t="s">
        <v>320</v>
      </c>
      <c r="C321">
        <v>2000</v>
      </c>
      <c r="D321">
        <v>2100</v>
      </c>
      <c r="E321">
        <v>10000</v>
      </c>
      <c r="F321">
        <v>50</v>
      </c>
      <c r="G321">
        <v>75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15</v>
      </c>
      <c r="Q321">
        <v>20</v>
      </c>
      <c r="R321">
        <v>75</v>
      </c>
      <c r="S321">
        <v>0</v>
      </c>
      <c r="T321">
        <v>10</v>
      </c>
      <c r="U321">
        <v>13</v>
      </c>
      <c r="V321">
        <v>18</v>
      </c>
      <c r="W321">
        <v>0</v>
      </c>
      <c r="X321">
        <v>0</v>
      </c>
    </row>
    <row r="322" spans="1:24" x14ac:dyDescent="0.2">
      <c r="A322">
        <v>3050000</v>
      </c>
      <c r="B322" t="s">
        <v>321</v>
      </c>
      <c r="C322">
        <v>2200</v>
      </c>
      <c r="D322">
        <v>2200</v>
      </c>
      <c r="E322">
        <v>10000</v>
      </c>
      <c r="F322">
        <v>101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41</v>
      </c>
      <c r="Q322">
        <v>50</v>
      </c>
      <c r="R322">
        <v>0</v>
      </c>
      <c r="S322">
        <v>0</v>
      </c>
      <c r="T322">
        <v>28</v>
      </c>
      <c r="U322">
        <v>10</v>
      </c>
      <c r="V322">
        <v>16</v>
      </c>
      <c r="W322">
        <v>0</v>
      </c>
      <c r="X322">
        <v>0</v>
      </c>
    </row>
    <row r="323" spans="1:24" x14ac:dyDescent="0.2">
      <c r="A323">
        <v>4010000</v>
      </c>
      <c r="B323" t="s">
        <v>322</v>
      </c>
      <c r="C323">
        <v>0</v>
      </c>
      <c r="D323">
        <v>0</v>
      </c>
      <c r="E323">
        <v>10000</v>
      </c>
      <c r="F323">
        <v>104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15</v>
      </c>
      <c r="Q323">
        <v>58</v>
      </c>
      <c r="R323">
        <v>0</v>
      </c>
      <c r="S323">
        <v>0</v>
      </c>
      <c r="T323">
        <v>21</v>
      </c>
      <c r="U323">
        <v>9</v>
      </c>
      <c r="V323">
        <v>14</v>
      </c>
      <c r="W323">
        <v>0</v>
      </c>
      <c r="X323">
        <v>0</v>
      </c>
    </row>
    <row r="324" spans="1:24" x14ac:dyDescent="0.2">
      <c r="A324">
        <v>4010100</v>
      </c>
      <c r="B324" t="s">
        <v>323</v>
      </c>
      <c r="C324">
        <v>200</v>
      </c>
      <c r="D324">
        <v>100</v>
      </c>
      <c r="E324">
        <v>10000</v>
      </c>
      <c r="F324">
        <v>104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0</v>
      </c>
      <c r="O324">
        <v>0</v>
      </c>
      <c r="P324">
        <v>34</v>
      </c>
      <c r="Q324">
        <v>0</v>
      </c>
      <c r="R324">
        <v>0</v>
      </c>
      <c r="S324">
        <v>0</v>
      </c>
      <c r="T324">
        <v>21</v>
      </c>
      <c r="U324">
        <v>9</v>
      </c>
      <c r="V324">
        <v>14</v>
      </c>
      <c r="W324">
        <v>0</v>
      </c>
      <c r="X324">
        <v>0</v>
      </c>
    </row>
    <row r="325" spans="1:24" x14ac:dyDescent="0.2">
      <c r="A325">
        <v>4010200</v>
      </c>
      <c r="B325" t="s">
        <v>324</v>
      </c>
      <c r="C325">
        <v>100</v>
      </c>
      <c r="D325">
        <v>5000</v>
      </c>
      <c r="E325">
        <v>10000</v>
      </c>
      <c r="F325">
        <v>104</v>
      </c>
      <c r="G325">
        <v>0</v>
      </c>
      <c r="H325">
        <v>0</v>
      </c>
      <c r="I325">
        <v>0</v>
      </c>
      <c r="J325">
        <v>0</v>
      </c>
      <c r="K325">
        <v>2</v>
      </c>
      <c r="L325">
        <v>0</v>
      </c>
      <c r="M325">
        <v>0</v>
      </c>
      <c r="N325">
        <v>0</v>
      </c>
      <c r="O325">
        <v>0</v>
      </c>
      <c r="P325">
        <v>9</v>
      </c>
      <c r="Q325">
        <v>52</v>
      </c>
      <c r="R325">
        <v>0</v>
      </c>
      <c r="S325">
        <v>0</v>
      </c>
      <c r="T325">
        <v>21</v>
      </c>
      <c r="U325">
        <v>9</v>
      </c>
      <c r="V325">
        <v>14</v>
      </c>
      <c r="W325">
        <v>0</v>
      </c>
      <c r="X325">
        <v>0</v>
      </c>
    </row>
    <row r="326" spans="1:24" x14ac:dyDescent="0.2">
      <c r="A326">
        <v>4010300</v>
      </c>
      <c r="B326" t="s">
        <v>325</v>
      </c>
      <c r="C326">
        <v>300</v>
      </c>
      <c r="D326">
        <v>300</v>
      </c>
      <c r="E326">
        <v>10000</v>
      </c>
      <c r="F326">
        <v>104</v>
      </c>
      <c r="G326">
        <v>0</v>
      </c>
      <c r="H326">
        <v>0</v>
      </c>
      <c r="I326">
        <v>0</v>
      </c>
      <c r="J326">
        <v>0</v>
      </c>
      <c r="K326">
        <v>8</v>
      </c>
      <c r="L326">
        <v>0</v>
      </c>
      <c r="M326">
        <v>0</v>
      </c>
      <c r="N326">
        <v>0</v>
      </c>
      <c r="O326">
        <v>0</v>
      </c>
      <c r="P326">
        <v>41</v>
      </c>
      <c r="Q326">
        <v>46</v>
      </c>
      <c r="R326">
        <v>0</v>
      </c>
      <c r="S326">
        <v>0</v>
      </c>
      <c r="T326">
        <v>21</v>
      </c>
      <c r="U326">
        <v>9</v>
      </c>
      <c r="V326">
        <v>14</v>
      </c>
      <c r="W326">
        <v>0</v>
      </c>
      <c r="X326">
        <v>0</v>
      </c>
    </row>
    <row r="327" spans="1:24" x14ac:dyDescent="0.2">
      <c r="A327">
        <v>4010400</v>
      </c>
      <c r="B327" t="s">
        <v>326</v>
      </c>
      <c r="C327">
        <v>500</v>
      </c>
      <c r="D327">
        <v>500</v>
      </c>
      <c r="E327">
        <v>10000</v>
      </c>
      <c r="F327">
        <v>99</v>
      </c>
      <c r="G327">
        <v>99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15</v>
      </c>
      <c r="Q327">
        <v>58</v>
      </c>
      <c r="R327">
        <v>73</v>
      </c>
      <c r="S327">
        <v>0</v>
      </c>
      <c r="T327">
        <v>21</v>
      </c>
      <c r="U327">
        <v>9</v>
      </c>
      <c r="V327">
        <v>14</v>
      </c>
      <c r="W327">
        <v>0</v>
      </c>
      <c r="X327">
        <v>0</v>
      </c>
    </row>
    <row r="328" spans="1:24" x14ac:dyDescent="0.2">
      <c r="A328">
        <v>4010500</v>
      </c>
      <c r="B328" t="s">
        <v>327</v>
      </c>
      <c r="C328">
        <v>400</v>
      </c>
      <c r="D328">
        <v>400</v>
      </c>
      <c r="E328">
        <v>10000</v>
      </c>
      <c r="F328">
        <v>104</v>
      </c>
      <c r="G328">
        <v>104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15</v>
      </c>
      <c r="Q328">
        <v>58</v>
      </c>
      <c r="R328">
        <v>73</v>
      </c>
      <c r="S328">
        <v>0</v>
      </c>
      <c r="T328">
        <v>21</v>
      </c>
      <c r="U328">
        <v>9</v>
      </c>
      <c r="V328">
        <v>14</v>
      </c>
      <c r="W328">
        <v>0</v>
      </c>
      <c r="X328">
        <v>0</v>
      </c>
    </row>
    <row r="329" spans="1:24" x14ac:dyDescent="0.2">
      <c r="A329">
        <v>4010600</v>
      </c>
      <c r="B329" t="s">
        <v>328</v>
      </c>
      <c r="C329">
        <v>600</v>
      </c>
      <c r="D329">
        <v>600</v>
      </c>
      <c r="E329">
        <v>10000</v>
      </c>
      <c r="F329">
        <v>99</v>
      </c>
      <c r="G329">
        <v>0</v>
      </c>
      <c r="H329">
        <v>99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15</v>
      </c>
      <c r="Q329">
        <v>58</v>
      </c>
      <c r="R329">
        <v>0</v>
      </c>
      <c r="S329">
        <v>0</v>
      </c>
      <c r="T329">
        <v>21</v>
      </c>
      <c r="U329">
        <v>9</v>
      </c>
      <c r="V329">
        <v>14</v>
      </c>
      <c r="W329">
        <v>0</v>
      </c>
      <c r="X329">
        <v>0</v>
      </c>
    </row>
    <row r="330" spans="1:24" x14ac:dyDescent="0.2">
      <c r="A330">
        <v>4010700</v>
      </c>
      <c r="B330" t="s">
        <v>329</v>
      </c>
      <c r="C330">
        <v>700</v>
      </c>
      <c r="D330">
        <v>700</v>
      </c>
      <c r="E330">
        <v>10000</v>
      </c>
      <c r="F330">
        <v>104</v>
      </c>
      <c r="G330">
        <v>0</v>
      </c>
      <c r="H330">
        <v>104</v>
      </c>
      <c r="I330">
        <v>0</v>
      </c>
      <c r="J330">
        <v>0</v>
      </c>
      <c r="K330">
        <v>0</v>
      </c>
      <c r="L330">
        <v>0</v>
      </c>
      <c r="M330">
        <v>4</v>
      </c>
      <c r="N330">
        <v>0</v>
      </c>
      <c r="O330">
        <v>0</v>
      </c>
      <c r="P330">
        <v>15</v>
      </c>
      <c r="Q330">
        <v>58</v>
      </c>
      <c r="R330">
        <v>73</v>
      </c>
      <c r="S330">
        <v>73</v>
      </c>
      <c r="T330">
        <v>21</v>
      </c>
      <c r="U330">
        <v>9</v>
      </c>
      <c r="V330">
        <v>14</v>
      </c>
      <c r="W330">
        <v>0</v>
      </c>
      <c r="X330">
        <v>0</v>
      </c>
    </row>
    <row r="331" spans="1:24" x14ac:dyDescent="0.2">
      <c r="A331">
        <v>4010800</v>
      </c>
      <c r="B331" t="s">
        <v>330</v>
      </c>
      <c r="C331">
        <v>800</v>
      </c>
      <c r="D331">
        <v>800</v>
      </c>
      <c r="E331">
        <v>10000</v>
      </c>
      <c r="F331">
        <v>104</v>
      </c>
      <c r="G331">
        <v>0</v>
      </c>
      <c r="H331">
        <v>0</v>
      </c>
      <c r="I331">
        <v>104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15</v>
      </c>
      <c r="Q331">
        <v>58</v>
      </c>
      <c r="R331">
        <v>0</v>
      </c>
      <c r="S331">
        <v>73</v>
      </c>
      <c r="T331">
        <v>21</v>
      </c>
      <c r="U331">
        <v>9</v>
      </c>
      <c r="V331">
        <v>14</v>
      </c>
      <c r="W331">
        <v>0</v>
      </c>
      <c r="X331">
        <v>0</v>
      </c>
    </row>
    <row r="332" spans="1:24" x14ac:dyDescent="0.2">
      <c r="A332">
        <v>4010900</v>
      </c>
      <c r="B332" t="s">
        <v>331</v>
      </c>
      <c r="C332">
        <v>900</v>
      </c>
      <c r="D332">
        <v>900</v>
      </c>
      <c r="E332">
        <v>10000</v>
      </c>
      <c r="F332">
        <v>99</v>
      </c>
      <c r="G332">
        <v>0</v>
      </c>
      <c r="H332">
        <v>0</v>
      </c>
      <c r="I332">
        <v>0</v>
      </c>
      <c r="J332">
        <v>99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15</v>
      </c>
      <c r="Q332">
        <v>58</v>
      </c>
      <c r="R332">
        <v>0</v>
      </c>
      <c r="S332">
        <v>0</v>
      </c>
      <c r="T332">
        <v>21</v>
      </c>
      <c r="U332">
        <v>9</v>
      </c>
      <c r="V332">
        <v>14</v>
      </c>
      <c r="W332">
        <v>0</v>
      </c>
      <c r="X332">
        <v>0</v>
      </c>
    </row>
    <row r="333" spans="1:24" x14ac:dyDescent="0.2">
      <c r="A333">
        <v>4011000</v>
      </c>
      <c r="B333" t="s">
        <v>332</v>
      </c>
      <c r="C333">
        <v>1000</v>
      </c>
      <c r="D333">
        <v>1000</v>
      </c>
      <c r="E333">
        <v>10000</v>
      </c>
      <c r="F333">
        <v>104</v>
      </c>
      <c r="G333">
        <v>0</v>
      </c>
      <c r="H333">
        <v>0</v>
      </c>
      <c r="I333">
        <v>0</v>
      </c>
      <c r="J333">
        <v>104</v>
      </c>
      <c r="K333">
        <v>0</v>
      </c>
      <c r="L333">
        <v>0</v>
      </c>
      <c r="M333">
        <v>0</v>
      </c>
      <c r="N333">
        <v>0</v>
      </c>
      <c r="O333">
        <v>4</v>
      </c>
      <c r="P333">
        <v>15</v>
      </c>
      <c r="Q333">
        <v>58</v>
      </c>
      <c r="R333">
        <v>73</v>
      </c>
      <c r="S333">
        <v>73</v>
      </c>
      <c r="T333">
        <v>21</v>
      </c>
      <c r="U333">
        <v>9</v>
      </c>
      <c r="V333">
        <v>14</v>
      </c>
      <c r="W333">
        <v>0</v>
      </c>
      <c r="X333">
        <v>0</v>
      </c>
    </row>
    <row r="334" spans="1:24" x14ac:dyDescent="0.2">
      <c r="A334">
        <v>4011100</v>
      </c>
      <c r="B334" t="s">
        <v>333</v>
      </c>
      <c r="C334">
        <v>1100</v>
      </c>
      <c r="D334">
        <v>1100</v>
      </c>
      <c r="E334">
        <v>10000</v>
      </c>
      <c r="F334">
        <v>104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15</v>
      </c>
      <c r="Q334">
        <v>58</v>
      </c>
      <c r="R334">
        <v>0</v>
      </c>
      <c r="S334">
        <v>0</v>
      </c>
      <c r="T334">
        <v>21</v>
      </c>
      <c r="U334">
        <v>9</v>
      </c>
      <c r="V334">
        <v>14</v>
      </c>
      <c r="W334">
        <v>0</v>
      </c>
      <c r="X334">
        <v>0</v>
      </c>
    </row>
    <row r="335" spans="1:24" x14ac:dyDescent="0.2">
      <c r="A335">
        <v>4011200</v>
      </c>
      <c r="B335" t="s">
        <v>334</v>
      </c>
      <c r="C335">
        <v>1200</v>
      </c>
      <c r="D335">
        <v>1200</v>
      </c>
      <c r="E335">
        <v>10000</v>
      </c>
      <c r="F335">
        <v>104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15</v>
      </c>
      <c r="Q335">
        <v>58</v>
      </c>
      <c r="R335">
        <v>0</v>
      </c>
      <c r="S335">
        <v>0</v>
      </c>
      <c r="T335">
        <v>21</v>
      </c>
      <c r="U335">
        <v>9</v>
      </c>
      <c r="V335">
        <v>14</v>
      </c>
      <c r="W335">
        <v>0</v>
      </c>
      <c r="X335">
        <v>0</v>
      </c>
    </row>
    <row r="336" spans="1:24" x14ac:dyDescent="0.2">
      <c r="A336">
        <v>4011300</v>
      </c>
      <c r="B336" t="s">
        <v>335</v>
      </c>
      <c r="C336">
        <v>1300</v>
      </c>
      <c r="D336">
        <v>1300</v>
      </c>
      <c r="E336">
        <v>10000</v>
      </c>
      <c r="F336">
        <v>109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15</v>
      </c>
      <c r="Q336">
        <v>58</v>
      </c>
      <c r="R336">
        <v>0</v>
      </c>
      <c r="S336">
        <v>0</v>
      </c>
      <c r="T336">
        <v>21</v>
      </c>
      <c r="U336">
        <v>9</v>
      </c>
      <c r="V336">
        <v>14</v>
      </c>
      <c r="W336">
        <v>0</v>
      </c>
      <c r="X336">
        <v>0</v>
      </c>
    </row>
    <row r="337" spans="1:24" x14ac:dyDescent="0.2">
      <c r="A337">
        <v>4011400</v>
      </c>
      <c r="B337" t="s">
        <v>336</v>
      </c>
      <c r="C337">
        <v>1400</v>
      </c>
      <c r="D337">
        <v>1400</v>
      </c>
      <c r="E337">
        <v>10014</v>
      </c>
      <c r="F337">
        <v>99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15</v>
      </c>
      <c r="Q337">
        <v>58</v>
      </c>
      <c r="R337">
        <v>0</v>
      </c>
      <c r="S337">
        <v>73</v>
      </c>
      <c r="T337">
        <v>21</v>
      </c>
      <c r="U337">
        <v>9</v>
      </c>
      <c r="V337">
        <v>14</v>
      </c>
      <c r="W337">
        <v>0</v>
      </c>
      <c r="X337">
        <v>0</v>
      </c>
    </row>
    <row r="338" spans="1:24" x14ac:dyDescent="0.2">
      <c r="A338">
        <v>4011500</v>
      </c>
      <c r="B338" t="s">
        <v>337</v>
      </c>
      <c r="C338">
        <v>1500</v>
      </c>
      <c r="D338">
        <v>1500</v>
      </c>
      <c r="E338">
        <v>10015</v>
      </c>
      <c r="F338">
        <v>104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15</v>
      </c>
      <c r="Q338">
        <v>58</v>
      </c>
      <c r="R338">
        <v>0</v>
      </c>
      <c r="S338">
        <v>0</v>
      </c>
      <c r="T338">
        <v>21</v>
      </c>
      <c r="U338">
        <v>9</v>
      </c>
      <c r="V338">
        <v>14</v>
      </c>
      <c r="W338">
        <v>0</v>
      </c>
      <c r="X338">
        <v>0</v>
      </c>
    </row>
    <row r="339" spans="1:24" x14ac:dyDescent="0.2">
      <c r="A339">
        <v>4030000</v>
      </c>
      <c r="B339" t="s">
        <v>338</v>
      </c>
      <c r="C339">
        <v>0</v>
      </c>
      <c r="D339">
        <v>0</v>
      </c>
      <c r="E339">
        <v>10000</v>
      </c>
      <c r="F339">
        <v>90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7</v>
      </c>
      <c r="Q339">
        <v>85</v>
      </c>
      <c r="R339">
        <v>0</v>
      </c>
      <c r="S339">
        <v>0</v>
      </c>
      <c r="T339">
        <v>27</v>
      </c>
      <c r="U339">
        <v>7</v>
      </c>
      <c r="V339">
        <v>13</v>
      </c>
      <c r="W339">
        <v>0</v>
      </c>
      <c r="X339">
        <v>0</v>
      </c>
    </row>
    <row r="340" spans="1:24" x14ac:dyDescent="0.2">
      <c r="A340">
        <v>4030100</v>
      </c>
      <c r="B340" t="s">
        <v>339</v>
      </c>
      <c r="C340">
        <v>200</v>
      </c>
      <c r="D340">
        <v>100</v>
      </c>
      <c r="E340">
        <v>10000</v>
      </c>
      <c r="F340">
        <v>90</v>
      </c>
      <c r="G340">
        <v>0</v>
      </c>
      <c r="H340">
        <v>0</v>
      </c>
      <c r="I340">
        <v>0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46</v>
      </c>
      <c r="Q340">
        <v>0</v>
      </c>
      <c r="R340">
        <v>0</v>
      </c>
      <c r="S340">
        <v>0</v>
      </c>
      <c r="T340">
        <v>27</v>
      </c>
      <c r="U340">
        <v>7</v>
      </c>
      <c r="V340">
        <v>13</v>
      </c>
      <c r="W340">
        <v>0</v>
      </c>
      <c r="X340">
        <v>0</v>
      </c>
    </row>
    <row r="341" spans="1:24" x14ac:dyDescent="0.2">
      <c r="A341">
        <v>4030200</v>
      </c>
      <c r="B341" t="s">
        <v>340</v>
      </c>
      <c r="C341">
        <v>100</v>
      </c>
      <c r="D341">
        <v>5000</v>
      </c>
      <c r="E341">
        <v>10000</v>
      </c>
      <c r="F341">
        <v>90</v>
      </c>
      <c r="G341">
        <v>0</v>
      </c>
      <c r="H341">
        <v>0</v>
      </c>
      <c r="I341">
        <v>0</v>
      </c>
      <c r="J341">
        <v>0</v>
      </c>
      <c r="K341">
        <v>2</v>
      </c>
      <c r="L341">
        <v>0</v>
      </c>
      <c r="M341">
        <v>0</v>
      </c>
      <c r="N341">
        <v>0</v>
      </c>
      <c r="O341">
        <v>0</v>
      </c>
      <c r="P341">
        <v>3</v>
      </c>
      <c r="Q341">
        <v>72</v>
      </c>
      <c r="R341">
        <v>0</v>
      </c>
      <c r="S341">
        <v>0</v>
      </c>
      <c r="T341">
        <v>27</v>
      </c>
      <c r="U341">
        <v>7</v>
      </c>
      <c r="V341">
        <v>13</v>
      </c>
      <c r="W341">
        <v>0</v>
      </c>
      <c r="X341">
        <v>0</v>
      </c>
    </row>
    <row r="342" spans="1:24" x14ac:dyDescent="0.2">
      <c r="A342">
        <v>4030300</v>
      </c>
      <c r="B342" t="s">
        <v>341</v>
      </c>
      <c r="C342">
        <v>300</v>
      </c>
      <c r="D342">
        <v>300</v>
      </c>
      <c r="E342">
        <v>10000</v>
      </c>
      <c r="F342">
        <v>90</v>
      </c>
      <c r="G342">
        <v>0</v>
      </c>
      <c r="H342">
        <v>0</v>
      </c>
      <c r="I342">
        <v>0</v>
      </c>
      <c r="J342">
        <v>0</v>
      </c>
      <c r="K342">
        <v>8</v>
      </c>
      <c r="L342">
        <v>0</v>
      </c>
      <c r="M342">
        <v>0</v>
      </c>
      <c r="N342">
        <v>0</v>
      </c>
      <c r="O342">
        <v>0</v>
      </c>
      <c r="P342">
        <v>56</v>
      </c>
      <c r="Q342">
        <v>56</v>
      </c>
      <c r="R342">
        <v>0</v>
      </c>
      <c r="S342">
        <v>0</v>
      </c>
      <c r="T342">
        <v>27</v>
      </c>
      <c r="U342">
        <v>7</v>
      </c>
      <c r="V342">
        <v>13</v>
      </c>
      <c r="W342">
        <v>0</v>
      </c>
      <c r="X342">
        <v>0</v>
      </c>
    </row>
    <row r="343" spans="1:24" x14ac:dyDescent="0.2">
      <c r="A343">
        <v>4030400</v>
      </c>
      <c r="B343" t="s">
        <v>342</v>
      </c>
      <c r="C343">
        <v>500</v>
      </c>
      <c r="D343">
        <v>500</v>
      </c>
      <c r="E343">
        <v>10000</v>
      </c>
      <c r="F343">
        <v>92</v>
      </c>
      <c r="G343">
        <v>92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7</v>
      </c>
      <c r="Q343">
        <v>85</v>
      </c>
      <c r="R343">
        <v>92</v>
      </c>
      <c r="S343">
        <v>0</v>
      </c>
      <c r="T343">
        <v>27</v>
      </c>
      <c r="U343">
        <v>7</v>
      </c>
      <c r="V343">
        <v>13</v>
      </c>
      <c r="W343">
        <v>0</v>
      </c>
      <c r="X343">
        <v>0</v>
      </c>
    </row>
    <row r="344" spans="1:24" x14ac:dyDescent="0.2">
      <c r="A344">
        <v>4030500</v>
      </c>
      <c r="B344" t="s">
        <v>343</v>
      </c>
      <c r="C344">
        <v>400</v>
      </c>
      <c r="D344">
        <v>400</v>
      </c>
      <c r="E344">
        <v>10000</v>
      </c>
      <c r="F344">
        <v>92</v>
      </c>
      <c r="G344">
        <v>92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7</v>
      </c>
      <c r="Q344">
        <v>85</v>
      </c>
      <c r="R344">
        <v>92</v>
      </c>
      <c r="S344">
        <v>0</v>
      </c>
      <c r="T344">
        <v>27</v>
      </c>
      <c r="U344">
        <v>7</v>
      </c>
      <c r="V344">
        <v>13</v>
      </c>
      <c r="W344">
        <v>0</v>
      </c>
      <c r="X344">
        <v>0</v>
      </c>
    </row>
    <row r="345" spans="1:24" x14ac:dyDescent="0.2">
      <c r="A345">
        <v>4030600</v>
      </c>
      <c r="B345" t="s">
        <v>344</v>
      </c>
      <c r="C345">
        <v>600</v>
      </c>
      <c r="D345">
        <v>600</v>
      </c>
      <c r="E345">
        <v>10000</v>
      </c>
      <c r="F345">
        <v>105</v>
      </c>
      <c r="G345">
        <v>0</v>
      </c>
      <c r="H345">
        <v>105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7</v>
      </c>
      <c r="Q345">
        <v>85</v>
      </c>
      <c r="R345">
        <v>0</v>
      </c>
      <c r="S345">
        <v>0</v>
      </c>
      <c r="T345">
        <v>27</v>
      </c>
      <c r="U345">
        <v>7</v>
      </c>
      <c r="V345">
        <v>13</v>
      </c>
      <c r="W345">
        <v>0</v>
      </c>
      <c r="X345">
        <v>0</v>
      </c>
    </row>
    <row r="346" spans="1:24" x14ac:dyDescent="0.2">
      <c r="A346">
        <v>4030700</v>
      </c>
      <c r="B346" t="s">
        <v>345</v>
      </c>
      <c r="C346">
        <v>700</v>
      </c>
      <c r="D346">
        <v>700</v>
      </c>
      <c r="E346">
        <v>10000</v>
      </c>
      <c r="F346">
        <v>89</v>
      </c>
      <c r="G346">
        <v>0</v>
      </c>
      <c r="H346">
        <v>89</v>
      </c>
      <c r="I346">
        <v>0</v>
      </c>
      <c r="J346">
        <v>0</v>
      </c>
      <c r="K346">
        <v>0</v>
      </c>
      <c r="L346">
        <v>0</v>
      </c>
      <c r="M346">
        <v>4</v>
      </c>
      <c r="N346">
        <v>0</v>
      </c>
      <c r="O346">
        <v>0</v>
      </c>
      <c r="P346">
        <v>7</v>
      </c>
      <c r="Q346">
        <v>85</v>
      </c>
      <c r="R346">
        <v>92</v>
      </c>
      <c r="S346">
        <v>92</v>
      </c>
      <c r="T346">
        <v>27</v>
      </c>
      <c r="U346">
        <v>7</v>
      </c>
      <c r="V346">
        <v>13</v>
      </c>
      <c r="W346">
        <v>0</v>
      </c>
      <c r="X346">
        <v>0</v>
      </c>
    </row>
    <row r="347" spans="1:24" x14ac:dyDescent="0.2">
      <c r="A347">
        <v>4030800</v>
      </c>
      <c r="B347" t="s">
        <v>346</v>
      </c>
      <c r="C347">
        <v>800</v>
      </c>
      <c r="D347">
        <v>800</v>
      </c>
      <c r="E347">
        <v>10000</v>
      </c>
      <c r="F347">
        <v>92</v>
      </c>
      <c r="G347">
        <v>0</v>
      </c>
      <c r="H347">
        <v>0</v>
      </c>
      <c r="I347">
        <v>92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7</v>
      </c>
      <c r="Q347">
        <v>85</v>
      </c>
      <c r="R347">
        <v>0</v>
      </c>
      <c r="S347">
        <v>92</v>
      </c>
      <c r="T347">
        <v>27</v>
      </c>
      <c r="U347">
        <v>7</v>
      </c>
      <c r="V347">
        <v>13</v>
      </c>
      <c r="W347">
        <v>0</v>
      </c>
      <c r="X347">
        <v>0</v>
      </c>
    </row>
    <row r="348" spans="1:24" x14ac:dyDescent="0.2">
      <c r="A348">
        <v>4030900</v>
      </c>
      <c r="B348" t="s">
        <v>347</v>
      </c>
      <c r="C348">
        <v>900</v>
      </c>
      <c r="D348">
        <v>900</v>
      </c>
      <c r="E348">
        <v>10000</v>
      </c>
      <c r="F348">
        <v>105</v>
      </c>
      <c r="G348">
        <v>0</v>
      </c>
      <c r="H348">
        <v>0</v>
      </c>
      <c r="I348">
        <v>0</v>
      </c>
      <c r="J348">
        <v>105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7</v>
      </c>
      <c r="Q348">
        <v>85</v>
      </c>
      <c r="R348">
        <v>0</v>
      </c>
      <c r="S348">
        <v>0</v>
      </c>
      <c r="T348">
        <v>27</v>
      </c>
      <c r="U348">
        <v>7</v>
      </c>
      <c r="V348">
        <v>13</v>
      </c>
      <c r="W348">
        <v>0</v>
      </c>
      <c r="X348">
        <v>0</v>
      </c>
    </row>
    <row r="349" spans="1:24" x14ac:dyDescent="0.2">
      <c r="A349">
        <v>4031000</v>
      </c>
      <c r="B349" t="s">
        <v>348</v>
      </c>
      <c r="C349">
        <v>1000</v>
      </c>
      <c r="D349">
        <v>1000</v>
      </c>
      <c r="E349">
        <v>10000</v>
      </c>
      <c r="F349">
        <v>89</v>
      </c>
      <c r="G349">
        <v>0</v>
      </c>
      <c r="H349">
        <v>0</v>
      </c>
      <c r="I349">
        <v>0</v>
      </c>
      <c r="J349">
        <v>89</v>
      </c>
      <c r="K349">
        <v>0</v>
      </c>
      <c r="L349">
        <v>0</v>
      </c>
      <c r="M349">
        <v>0</v>
      </c>
      <c r="N349">
        <v>0</v>
      </c>
      <c r="O349">
        <v>4</v>
      </c>
      <c r="P349">
        <v>7</v>
      </c>
      <c r="Q349">
        <v>85</v>
      </c>
      <c r="R349">
        <v>92</v>
      </c>
      <c r="S349">
        <v>92</v>
      </c>
      <c r="T349">
        <v>27</v>
      </c>
      <c r="U349">
        <v>7</v>
      </c>
      <c r="V349">
        <v>13</v>
      </c>
      <c r="W349">
        <v>0</v>
      </c>
      <c r="X349">
        <v>0</v>
      </c>
    </row>
    <row r="350" spans="1:24" x14ac:dyDescent="0.2">
      <c r="A350">
        <v>4031100</v>
      </c>
      <c r="B350" t="s">
        <v>349</v>
      </c>
      <c r="C350">
        <v>1100</v>
      </c>
      <c r="D350">
        <v>1100</v>
      </c>
      <c r="E350">
        <v>10000</v>
      </c>
      <c r="F350">
        <v>90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7</v>
      </c>
      <c r="Q350">
        <v>85</v>
      </c>
      <c r="R350">
        <v>0</v>
      </c>
      <c r="S350">
        <v>0</v>
      </c>
      <c r="T350">
        <v>27</v>
      </c>
      <c r="U350">
        <v>7</v>
      </c>
      <c r="V350">
        <v>13</v>
      </c>
      <c r="W350">
        <v>0</v>
      </c>
      <c r="X350">
        <v>0</v>
      </c>
    </row>
    <row r="351" spans="1:24" x14ac:dyDescent="0.2">
      <c r="A351">
        <v>4031200</v>
      </c>
      <c r="B351" t="s">
        <v>350</v>
      </c>
      <c r="C351">
        <v>1200</v>
      </c>
      <c r="D351">
        <v>1200</v>
      </c>
      <c r="E351">
        <v>10000</v>
      </c>
      <c r="F351">
        <v>90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7</v>
      </c>
      <c r="Q351">
        <v>85</v>
      </c>
      <c r="R351">
        <v>0</v>
      </c>
      <c r="S351">
        <v>0</v>
      </c>
      <c r="T351">
        <v>27</v>
      </c>
      <c r="U351">
        <v>7</v>
      </c>
      <c r="V351">
        <v>13</v>
      </c>
      <c r="W351">
        <v>0</v>
      </c>
      <c r="X351">
        <v>0</v>
      </c>
    </row>
    <row r="352" spans="1:24" x14ac:dyDescent="0.2">
      <c r="A352">
        <v>4031300</v>
      </c>
      <c r="B352" t="s">
        <v>351</v>
      </c>
      <c r="C352">
        <v>1300</v>
      </c>
      <c r="D352">
        <v>1300</v>
      </c>
      <c r="E352">
        <v>10000</v>
      </c>
      <c r="F352">
        <v>115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7</v>
      </c>
      <c r="Q352">
        <v>85</v>
      </c>
      <c r="R352">
        <v>0</v>
      </c>
      <c r="S352">
        <v>0</v>
      </c>
      <c r="T352">
        <v>27</v>
      </c>
      <c r="U352">
        <v>7</v>
      </c>
      <c r="V352">
        <v>13</v>
      </c>
      <c r="W352">
        <v>0</v>
      </c>
      <c r="X352">
        <v>0</v>
      </c>
    </row>
    <row r="353" spans="1:24" x14ac:dyDescent="0.2">
      <c r="A353">
        <v>4031400</v>
      </c>
      <c r="B353" t="s">
        <v>352</v>
      </c>
      <c r="C353">
        <v>1400</v>
      </c>
      <c r="D353">
        <v>1400</v>
      </c>
      <c r="E353">
        <v>10014</v>
      </c>
      <c r="F353">
        <v>92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7</v>
      </c>
      <c r="Q353">
        <v>85</v>
      </c>
      <c r="R353">
        <v>0</v>
      </c>
      <c r="S353">
        <v>92</v>
      </c>
      <c r="T353">
        <v>27</v>
      </c>
      <c r="U353">
        <v>7</v>
      </c>
      <c r="V353">
        <v>13</v>
      </c>
      <c r="W353">
        <v>0</v>
      </c>
      <c r="X353">
        <v>0</v>
      </c>
    </row>
    <row r="354" spans="1:24" x14ac:dyDescent="0.2">
      <c r="A354">
        <v>4031500</v>
      </c>
      <c r="B354" t="s">
        <v>353</v>
      </c>
      <c r="C354">
        <v>1500</v>
      </c>
      <c r="D354">
        <v>1500</v>
      </c>
      <c r="E354">
        <v>10015</v>
      </c>
      <c r="F354">
        <v>90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7</v>
      </c>
      <c r="Q354">
        <v>85</v>
      </c>
      <c r="R354">
        <v>0</v>
      </c>
      <c r="S354">
        <v>0</v>
      </c>
      <c r="T354">
        <v>27</v>
      </c>
      <c r="U354">
        <v>7</v>
      </c>
      <c r="V354">
        <v>13</v>
      </c>
      <c r="W354">
        <v>0</v>
      </c>
      <c r="X354">
        <v>0</v>
      </c>
    </row>
    <row r="355" spans="1:24" x14ac:dyDescent="0.2">
      <c r="A355">
        <v>4040000</v>
      </c>
      <c r="B355" t="s">
        <v>354</v>
      </c>
      <c r="C355">
        <v>0</v>
      </c>
      <c r="D355">
        <v>0</v>
      </c>
      <c r="E355">
        <v>10000</v>
      </c>
      <c r="F355">
        <v>117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25</v>
      </c>
      <c r="Q355">
        <v>45</v>
      </c>
      <c r="R355">
        <v>0</v>
      </c>
      <c r="S355">
        <v>0</v>
      </c>
      <c r="T355">
        <v>21</v>
      </c>
      <c r="U355">
        <v>9</v>
      </c>
      <c r="V355">
        <v>13</v>
      </c>
      <c r="W355">
        <v>0</v>
      </c>
      <c r="X355">
        <v>0</v>
      </c>
    </row>
    <row r="356" spans="1:24" x14ac:dyDescent="0.2">
      <c r="A356">
        <v>4040100</v>
      </c>
      <c r="B356" t="s">
        <v>355</v>
      </c>
      <c r="C356">
        <v>200</v>
      </c>
      <c r="D356">
        <v>100</v>
      </c>
      <c r="E356">
        <v>10000</v>
      </c>
      <c r="F356">
        <v>117</v>
      </c>
      <c r="G356">
        <v>0</v>
      </c>
      <c r="H356">
        <v>0</v>
      </c>
      <c r="I356">
        <v>0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38</v>
      </c>
      <c r="Q356">
        <v>0</v>
      </c>
      <c r="R356">
        <v>0</v>
      </c>
      <c r="S356">
        <v>0</v>
      </c>
      <c r="T356">
        <v>21</v>
      </c>
      <c r="U356">
        <v>9</v>
      </c>
      <c r="V356">
        <v>13</v>
      </c>
      <c r="W356">
        <v>0</v>
      </c>
      <c r="X356">
        <v>0</v>
      </c>
    </row>
    <row r="357" spans="1:24" x14ac:dyDescent="0.2">
      <c r="A357">
        <v>4040200</v>
      </c>
      <c r="B357" t="s">
        <v>356</v>
      </c>
      <c r="C357">
        <v>100</v>
      </c>
      <c r="D357">
        <v>5000</v>
      </c>
      <c r="E357">
        <v>10000</v>
      </c>
      <c r="F357">
        <v>117</v>
      </c>
      <c r="G357">
        <v>0</v>
      </c>
      <c r="H357">
        <v>0</v>
      </c>
      <c r="I357">
        <v>0</v>
      </c>
      <c r="J357">
        <v>0</v>
      </c>
      <c r="K357">
        <v>2</v>
      </c>
      <c r="L357">
        <v>0</v>
      </c>
      <c r="M357">
        <v>0</v>
      </c>
      <c r="N357">
        <v>0</v>
      </c>
      <c r="O357">
        <v>0</v>
      </c>
      <c r="P357">
        <v>16</v>
      </c>
      <c r="Q357">
        <v>49</v>
      </c>
      <c r="R357">
        <v>0</v>
      </c>
      <c r="S357">
        <v>0</v>
      </c>
      <c r="T357">
        <v>21</v>
      </c>
      <c r="U357">
        <v>9</v>
      </c>
      <c r="V357">
        <v>13</v>
      </c>
      <c r="W357">
        <v>0</v>
      </c>
      <c r="X357">
        <v>0</v>
      </c>
    </row>
    <row r="358" spans="1:24" x14ac:dyDescent="0.2">
      <c r="A358">
        <v>4040300</v>
      </c>
      <c r="B358" t="s">
        <v>357</v>
      </c>
      <c r="C358">
        <v>300</v>
      </c>
      <c r="D358">
        <v>300</v>
      </c>
      <c r="E358">
        <v>10000</v>
      </c>
      <c r="F358">
        <v>117</v>
      </c>
      <c r="G358">
        <v>0</v>
      </c>
      <c r="H358">
        <v>0</v>
      </c>
      <c r="I358">
        <v>0</v>
      </c>
      <c r="J358">
        <v>0</v>
      </c>
      <c r="K358">
        <v>8</v>
      </c>
      <c r="L358">
        <v>0</v>
      </c>
      <c r="M358">
        <v>0</v>
      </c>
      <c r="N358">
        <v>0</v>
      </c>
      <c r="O358">
        <v>0</v>
      </c>
      <c r="P358">
        <v>45</v>
      </c>
      <c r="Q358">
        <v>45</v>
      </c>
      <c r="R358">
        <v>0</v>
      </c>
      <c r="S358">
        <v>0</v>
      </c>
      <c r="T358">
        <v>21</v>
      </c>
      <c r="U358">
        <v>9</v>
      </c>
      <c r="V358">
        <v>13</v>
      </c>
      <c r="W358">
        <v>0</v>
      </c>
      <c r="X358">
        <v>0</v>
      </c>
    </row>
    <row r="359" spans="1:24" x14ac:dyDescent="0.2">
      <c r="A359">
        <v>4040400</v>
      </c>
      <c r="B359" t="s">
        <v>358</v>
      </c>
      <c r="C359">
        <v>500</v>
      </c>
      <c r="D359">
        <v>500</v>
      </c>
      <c r="E359">
        <v>10000</v>
      </c>
      <c r="F359">
        <v>115</v>
      </c>
      <c r="G359">
        <v>115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25</v>
      </c>
      <c r="Q359">
        <v>45</v>
      </c>
      <c r="R359">
        <v>70</v>
      </c>
      <c r="S359">
        <v>0</v>
      </c>
      <c r="T359">
        <v>21</v>
      </c>
      <c r="U359">
        <v>9</v>
      </c>
      <c r="V359">
        <v>13</v>
      </c>
      <c r="W359">
        <v>0</v>
      </c>
      <c r="X359">
        <v>0</v>
      </c>
    </row>
    <row r="360" spans="1:24" x14ac:dyDescent="0.2">
      <c r="A360">
        <v>4040500</v>
      </c>
      <c r="B360" t="s">
        <v>359</v>
      </c>
      <c r="C360">
        <v>400</v>
      </c>
      <c r="D360">
        <v>400</v>
      </c>
      <c r="E360">
        <v>10000</v>
      </c>
      <c r="F360">
        <v>115</v>
      </c>
      <c r="G360">
        <v>115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25</v>
      </c>
      <c r="Q360">
        <v>45</v>
      </c>
      <c r="R360">
        <v>70</v>
      </c>
      <c r="S360">
        <v>0</v>
      </c>
      <c r="T360">
        <v>21</v>
      </c>
      <c r="U360">
        <v>9</v>
      </c>
      <c r="V360">
        <v>13</v>
      </c>
      <c r="W360">
        <v>0</v>
      </c>
      <c r="X360">
        <v>0</v>
      </c>
    </row>
    <row r="361" spans="1:24" x14ac:dyDescent="0.2">
      <c r="A361">
        <v>4040600</v>
      </c>
      <c r="B361" t="s">
        <v>360</v>
      </c>
      <c r="C361">
        <v>600</v>
      </c>
      <c r="D361">
        <v>600</v>
      </c>
      <c r="E361">
        <v>10000</v>
      </c>
      <c r="F361">
        <v>115</v>
      </c>
      <c r="G361">
        <v>0</v>
      </c>
      <c r="H361">
        <v>115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25</v>
      </c>
      <c r="Q361">
        <v>45</v>
      </c>
      <c r="R361">
        <v>0</v>
      </c>
      <c r="S361">
        <v>0</v>
      </c>
      <c r="T361">
        <v>21</v>
      </c>
      <c r="U361">
        <v>9</v>
      </c>
      <c r="V361">
        <v>13</v>
      </c>
      <c r="W361">
        <v>0</v>
      </c>
      <c r="X361">
        <v>0</v>
      </c>
    </row>
    <row r="362" spans="1:24" x14ac:dyDescent="0.2">
      <c r="A362">
        <v>4040700</v>
      </c>
      <c r="B362" t="s">
        <v>361</v>
      </c>
      <c r="C362">
        <v>700</v>
      </c>
      <c r="D362">
        <v>700</v>
      </c>
      <c r="E362">
        <v>10000</v>
      </c>
      <c r="F362">
        <v>115</v>
      </c>
      <c r="G362">
        <v>0</v>
      </c>
      <c r="H362">
        <v>115</v>
      </c>
      <c r="I362">
        <v>0</v>
      </c>
      <c r="J362">
        <v>0</v>
      </c>
      <c r="K362">
        <v>0</v>
      </c>
      <c r="L362">
        <v>0</v>
      </c>
      <c r="M362">
        <v>4</v>
      </c>
      <c r="N362">
        <v>0</v>
      </c>
      <c r="O362">
        <v>0</v>
      </c>
      <c r="P362">
        <v>25</v>
      </c>
      <c r="Q362">
        <v>45</v>
      </c>
      <c r="R362">
        <v>70</v>
      </c>
      <c r="S362">
        <v>70</v>
      </c>
      <c r="T362">
        <v>21</v>
      </c>
      <c r="U362">
        <v>9</v>
      </c>
      <c r="V362">
        <v>13</v>
      </c>
      <c r="W362">
        <v>0</v>
      </c>
      <c r="X362">
        <v>0</v>
      </c>
    </row>
    <row r="363" spans="1:24" x14ac:dyDescent="0.2">
      <c r="A363">
        <v>4040800</v>
      </c>
      <c r="B363" t="s">
        <v>362</v>
      </c>
      <c r="C363">
        <v>800</v>
      </c>
      <c r="D363">
        <v>800</v>
      </c>
      <c r="E363">
        <v>10000</v>
      </c>
      <c r="F363">
        <v>115</v>
      </c>
      <c r="G363">
        <v>0</v>
      </c>
      <c r="H363">
        <v>0</v>
      </c>
      <c r="I363">
        <v>115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25</v>
      </c>
      <c r="Q363">
        <v>45</v>
      </c>
      <c r="R363">
        <v>0</v>
      </c>
      <c r="S363">
        <v>70</v>
      </c>
      <c r="T363">
        <v>21</v>
      </c>
      <c r="U363">
        <v>9</v>
      </c>
      <c r="V363">
        <v>13</v>
      </c>
      <c r="W363">
        <v>0</v>
      </c>
      <c r="X363">
        <v>0</v>
      </c>
    </row>
    <row r="364" spans="1:24" x14ac:dyDescent="0.2">
      <c r="A364">
        <v>4040900</v>
      </c>
      <c r="B364" t="s">
        <v>363</v>
      </c>
      <c r="C364">
        <v>900</v>
      </c>
      <c r="D364">
        <v>900</v>
      </c>
      <c r="E364">
        <v>10000</v>
      </c>
      <c r="F364">
        <v>115</v>
      </c>
      <c r="G364">
        <v>0</v>
      </c>
      <c r="H364">
        <v>0</v>
      </c>
      <c r="I364">
        <v>0</v>
      </c>
      <c r="J364">
        <v>115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25</v>
      </c>
      <c r="Q364">
        <v>45</v>
      </c>
      <c r="R364">
        <v>0</v>
      </c>
      <c r="S364">
        <v>0</v>
      </c>
      <c r="T364">
        <v>21</v>
      </c>
      <c r="U364">
        <v>9</v>
      </c>
      <c r="V364">
        <v>13</v>
      </c>
      <c r="W364">
        <v>0</v>
      </c>
      <c r="X364">
        <v>0</v>
      </c>
    </row>
    <row r="365" spans="1:24" x14ac:dyDescent="0.2">
      <c r="A365">
        <v>4041000</v>
      </c>
      <c r="B365" t="s">
        <v>364</v>
      </c>
      <c r="C365">
        <v>1000</v>
      </c>
      <c r="D365">
        <v>1000</v>
      </c>
      <c r="E365">
        <v>10000</v>
      </c>
      <c r="F365">
        <v>115</v>
      </c>
      <c r="G365">
        <v>0</v>
      </c>
      <c r="H365">
        <v>0</v>
      </c>
      <c r="I365">
        <v>0</v>
      </c>
      <c r="J365">
        <v>115</v>
      </c>
      <c r="K365">
        <v>0</v>
      </c>
      <c r="L365">
        <v>0</v>
      </c>
      <c r="M365">
        <v>0</v>
      </c>
      <c r="N365">
        <v>0</v>
      </c>
      <c r="O365">
        <v>4</v>
      </c>
      <c r="P365">
        <v>25</v>
      </c>
      <c r="Q365">
        <v>45</v>
      </c>
      <c r="R365">
        <v>70</v>
      </c>
      <c r="S365">
        <v>70</v>
      </c>
      <c r="T365">
        <v>21</v>
      </c>
      <c r="U365">
        <v>9</v>
      </c>
      <c r="V365">
        <v>13</v>
      </c>
      <c r="W365">
        <v>0</v>
      </c>
      <c r="X365">
        <v>0</v>
      </c>
    </row>
    <row r="366" spans="1:24" x14ac:dyDescent="0.2">
      <c r="A366">
        <v>4041100</v>
      </c>
      <c r="B366" t="s">
        <v>365</v>
      </c>
      <c r="C366">
        <v>1100</v>
      </c>
      <c r="D366">
        <v>1100</v>
      </c>
      <c r="E366">
        <v>10000</v>
      </c>
      <c r="F366">
        <v>117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25</v>
      </c>
      <c r="Q366">
        <v>45</v>
      </c>
      <c r="R366">
        <v>0</v>
      </c>
      <c r="S366">
        <v>0</v>
      </c>
      <c r="T366">
        <v>21</v>
      </c>
      <c r="U366">
        <v>9</v>
      </c>
      <c r="V366">
        <v>13</v>
      </c>
      <c r="W366">
        <v>0</v>
      </c>
      <c r="X366">
        <v>0</v>
      </c>
    </row>
    <row r="367" spans="1:24" x14ac:dyDescent="0.2">
      <c r="A367">
        <v>4041200</v>
      </c>
      <c r="B367" t="s">
        <v>366</v>
      </c>
      <c r="C367">
        <v>1200</v>
      </c>
      <c r="D367">
        <v>1200</v>
      </c>
      <c r="E367">
        <v>10000</v>
      </c>
      <c r="F367">
        <v>117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25</v>
      </c>
      <c r="Q367">
        <v>45</v>
      </c>
      <c r="R367">
        <v>0</v>
      </c>
      <c r="S367">
        <v>0</v>
      </c>
      <c r="T367">
        <v>21</v>
      </c>
      <c r="U367">
        <v>9</v>
      </c>
      <c r="V367">
        <v>13</v>
      </c>
      <c r="W367">
        <v>0</v>
      </c>
      <c r="X367">
        <v>0</v>
      </c>
    </row>
    <row r="368" spans="1:24" x14ac:dyDescent="0.2">
      <c r="A368">
        <v>4041300</v>
      </c>
      <c r="B368" t="s">
        <v>367</v>
      </c>
      <c r="C368">
        <v>1300</v>
      </c>
      <c r="D368">
        <v>1300</v>
      </c>
      <c r="E368">
        <v>10000</v>
      </c>
      <c r="F368">
        <v>130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25</v>
      </c>
      <c r="Q368">
        <v>45</v>
      </c>
      <c r="R368">
        <v>0</v>
      </c>
      <c r="S368">
        <v>0</v>
      </c>
      <c r="T368">
        <v>21</v>
      </c>
      <c r="U368">
        <v>9</v>
      </c>
      <c r="V368">
        <v>13</v>
      </c>
      <c r="W368">
        <v>0</v>
      </c>
      <c r="X368">
        <v>0</v>
      </c>
    </row>
    <row r="369" spans="1:24" x14ac:dyDescent="0.2">
      <c r="A369">
        <v>4041400</v>
      </c>
      <c r="B369" t="s">
        <v>368</v>
      </c>
      <c r="C369">
        <v>1400</v>
      </c>
      <c r="D369">
        <v>1400</v>
      </c>
      <c r="E369">
        <v>10014</v>
      </c>
      <c r="F369">
        <v>115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25</v>
      </c>
      <c r="Q369">
        <v>45</v>
      </c>
      <c r="R369">
        <v>0</v>
      </c>
      <c r="S369">
        <v>70</v>
      </c>
      <c r="T369">
        <v>21</v>
      </c>
      <c r="U369">
        <v>9</v>
      </c>
      <c r="V369">
        <v>13</v>
      </c>
      <c r="W369">
        <v>0</v>
      </c>
      <c r="X369">
        <v>0</v>
      </c>
    </row>
    <row r="370" spans="1:24" x14ac:dyDescent="0.2">
      <c r="A370">
        <v>4041500</v>
      </c>
      <c r="B370" t="s">
        <v>369</v>
      </c>
      <c r="C370">
        <v>1500</v>
      </c>
      <c r="D370">
        <v>1500</v>
      </c>
      <c r="E370">
        <v>10015</v>
      </c>
      <c r="F370">
        <v>117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25</v>
      </c>
      <c r="Q370">
        <v>45</v>
      </c>
      <c r="R370">
        <v>0</v>
      </c>
      <c r="S370">
        <v>0</v>
      </c>
      <c r="T370">
        <v>21</v>
      </c>
      <c r="U370">
        <v>9</v>
      </c>
      <c r="V370">
        <v>13</v>
      </c>
      <c r="W370">
        <v>0</v>
      </c>
      <c r="X370">
        <v>0</v>
      </c>
    </row>
    <row r="371" spans="1:24" x14ac:dyDescent="0.2">
      <c r="A371">
        <v>4050000</v>
      </c>
      <c r="B371" t="s">
        <v>370</v>
      </c>
      <c r="C371">
        <v>0</v>
      </c>
      <c r="D371">
        <v>0</v>
      </c>
      <c r="E371">
        <v>10000</v>
      </c>
      <c r="F371">
        <v>105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31</v>
      </c>
      <c r="Q371">
        <v>50</v>
      </c>
      <c r="R371">
        <v>0</v>
      </c>
      <c r="S371">
        <v>0</v>
      </c>
      <c r="T371">
        <v>25</v>
      </c>
      <c r="U371">
        <v>15</v>
      </c>
      <c r="V371">
        <v>18</v>
      </c>
      <c r="W371">
        <v>0</v>
      </c>
      <c r="X371">
        <v>0</v>
      </c>
    </row>
    <row r="372" spans="1:24" x14ac:dyDescent="0.2">
      <c r="A372">
        <v>4050100</v>
      </c>
      <c r="B372" t="s">
        <v>371</v>
      </c>
      <c r="C372">
        <v>200</v>
      </c>
      <c r="D372">
        <v>100</v>
      </c>
      <c r="E372">
        <v>10000</v>
      </c>
      <c r="F372">
        <v>105</v>
      </c>
      <c r="G372">
        <v>0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40</v>
      </c>
      <c r="Q372">
        <v>0</v>
      </c>
      <c r="R372">
        <v>0</v>
      </c>
      <c r="S372">
        <v>0</v>
      </c>
      <c r="T372">
        <v>25</v>
      </c>
      <c r="U372">
        <v>15</v>
      </c>
      <c r="V372">
        <v>18</v>
      </c>
      <c r="W372">
        <v>0</v>
      </c>
      <c r="X372">
        <v>0</v>
      </c>
    </row>
    <row r="373" spans="1:24" x14ac:dyDescent="0.2">
      <c r="A373">
        <v>4050200</v>
      </c>
      <c r="B373" t="s">
        <v>372</v>
      </c>
      <c r="C373">
        <v>100</v>
      </c>
      <c r="D373">
        <v>5000</v>
      </c>
      <c r="E373">
        <v>10000</v>
      </c>
      <c r="F373">
        <v>105</v>
      </c>
      <c r="G373">
        <v>0</v>
      </c>
      <c r="H373">
        <v>0</v>
      </c>
      <c r="I373">
        <v>0</v>
      </c>
      <c r="J373">
        <v>0</v>
      </c>
      <c r="K373">
        <v>2</v>
      </c>
      <c r="L373">
        <v>0</v>
      </c>
      <c r="M373">
        <v>0</v>
      </c>
      <c r="N373">
        <v>0</v>
      </c>
      <c r="O373">
        <v>0</v>
      </c>
      <c r="P373">
        <v>20</v>
      </c>
      <c r="Q373">
        <v>52</v>
      </c>
      <c r="R373">
        <v>0</v>
      </c>
      <c r="S373">
        <v>0</v>
      </c>
      <c r="T373">
        <v>25</v>
      </c>
      <c r="U373">
        <v>15</v>
      </c>
      <c r="V373">
        <v>18</v>
      </c>
      <c r="W373">
        <v>0</v>
      </c>
      <c r="X373">
        <v>0</v>
      </c>
    </row>
    <row r="374" spans="1:24" x14ac:dyDescent="0.2">
      <c r="A374">
        <v>4050300</v>
      </c>
      <c r="B374" t="s">
        <v>373</v>
      </c>
      <c r="C374">
        <v>300</v>
      </c>
      <c r="D374">
        <v>300</v>
      </c>
      <c r="E374">
        <v>10000</v>
      </c>
      <c r="F374">
        <v>105</v>
      </c>
      <c r="G374">
        <v>0</v>
      </c>
      <c r="H374">
        <v>0</v>
      </c>
      <c r="I374">
        <v>0</v>
      </c>
      <c r="J374">
        <v>0</v>
      </c>
      <c r="K374">
        <v>8</v>
      </c>
      <c r="L374">
        <v>0</v>
      </c>
      <c r="M374">
        <v>0</v>
      </c>
      <c r="N374">
        <v>0</v>
      </c>
      <c r="O374">
        <v>0</v>
      </c>
      <c r="P374">
        <v>45</v>
      </c>
      <c r="Q374">
        <v>50</v>
      </c>
      <c r="R374">
        <v>0</v>
      </c>
      <c r="S374">
        <v>0</v>
      </c>
      <c r="T374">
        <v>25</v>
      </c>
      <c r="U374">
        <v>15</v>
      </c>
      <c r="V374">
        <v>18</v>
      </c>
      <c r="W374">
        <v>0</v>
      </c>
      <c r="X374">
        <v>0</v>
      </c>
    </row>
    <row r="375" spans="1:24" x14ac:dyDescent="0.2">
      <c r="A375">
        <v>4050400</v>
      </c>
      <c r="B375" t="s">
        <v>374</v>
      </c>
      <c r="C375">
        <v>500</v>
      </c>
      <c r="D375">
        <v>500</v>
      </c>
      <c r="E375">
        <v>10000</v>
      </c>
      <c r="F375">
        <v>100</v>
      </c>
      <c r="G375">
        <v>100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31</v>
      </c>
      <c r="Q375">
        <v>50</v>
      </c>
      <c r="R375">
        <v>81</v>
      </c>
      <c r="S375">
        <v>0</v>
      </c>
      <c r="T375">
        <v>25</v>
      </c>
      <c r="U375">
        <v>15</v>
      </c>
      <c r="V375">
        <v>18</v>
      </c>
      <c r="W375">
        <v>0</v>
      </c>
      <c r="X375">
        <v>0</v>
      </c>
    </row>
    <row r="376" spans="1:24" x14ac:dyDescent="0.2">
      <c r="A376">
        <v>4050500</v>
      </c>
      <c r="B376" t="s">
        <v>375</v>
      </c>
      <c r="C376">
        <v>400</v>
      </c>
      <c r="D376">
        <v>400</v>
      </c>
      <c r="E376">
        <v>10000</v>
      </c>
      <c r="F376">
        <v>100</v>
      </c>
      <c r="G376">
        <v>100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31</v>
      </c>
      <c r="Q376">
        <v>50</v>
      </c>
      <c r="R376">
        <v>81</v>
      </c>
      <c r="S376">
        <v>0</v>
      </c>
      <c r="T376">
        <v>25</v>
      </c>
      <c r="U376">
        <v>15</v>
      </c>
      <c r="V376">
        <v>18</v>
      </c>
      <c r="W376">
        <v>0</v>
      </c>
      <c r="X376">
        <v>0</v>
      </c>
    </row>
    <row r="377" spans="1:24" x14ac:dyDescent="0.2">
      <c r="A377">
        <v>4050600</v>
      </c>
      <c r="B377" t="s">
        <v>376</v>
      </c>
      <c r="C377">
        <v>600</v>
      </c>
      <c r="D377">
        <v>600</v>
      </c>
      <c r="E377">
        <v>10000</v>
      </c>
      <c r="F377">
        <v>100</v>
      </c>
      <c r="G377">
        <v>0</v>
      </c>
      <c r="H377">
        <v>100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31</v>
      </c>
      <c r="Q377">
        <v>50</v>
      </c>
      <c r="R377">
        <v>0</v>
      </c>
      <c r="S377">
        <v>0</v>
      </c>
      <c r="T377">
        <v>25</v>
      </c>
      <c r="U377">
        <v>15</v>
      </c>
      <c r="V377">
        <v>18</v>
      </c>
      <c r="W377">
        <v>0</v>
      </c>
      <c r="X377">
        <v>0</v>
      </c>
    </row>
    <row r="378" spans="1:24" x14ac:dyDescent="0.2">
      <c r="A378">
        <v>4050700</v>
      </c>
      <c r="B378" t="s">
        <v>377</v>
      </c>
      <c r="C378">
        <v>700</v>
      </c>
      <c r="D378">
        <v>700</v>
      </c>
      <c r="E378">
        <v>10000</v>
      </c>
      <c r="F378">
        <v>100</v>
      </c>
      <c r="G378">
        <v>0</v>
      </c>
      <c r="H378">
        <v>100</v>
      </c>
      <c r="I378">
        <v>0</v>
      </c>
      <c r="J378">
        <v>0</v>
      </c>
      <c r="K378">
        <v>0</v>
      </c>
      <c r="L378">
        <v>0</v>
      </c>
      <c r="M378">
        <v>4</v>
      </c>
      <c r="N378">
        <v>0</v>
      </c>
      <c r="O378">
        <v>0</v>
      </c>
      <c r="P378">
        <v>31</v>
      </c>
      <c r="Q378">
        <v>50</v>
      </c>
      <c r="R378">
        <v>81</v>
      </c>
      <c r="S378">
        <v>81</v>
      </c>
      <c r="T378">
        <v>25</v>
      </c>
      <c r="U378">
        <v>15</v>
      </c>
      <c r="V378">
        <v>18</v>
      </c>
      <c r="W378">
        <v>0</v>
      </c>
      <c r="X378">
        <v>0</v>
      </c>
    </row>
    <row r="379" spans="1:24" x14ac:dyDescent="0.2">
      <c r="A379">
        <v>4050800</v>
      </c>
      <c r="B379" t="s">
        <v>378</v>
      </c>
      <c r="C379">
        <v>800</v>
      </c>
      <c r="D379">
        <v>800</v>
      </c>
      <c r="E379">
        <v>10000</v>
      </c>
      <c r="F379">
        <v>100</v>
      </c>
      <c r="G379">
        <v>0</v>
      </c>
      <c r="H379">
        <v>0</v>
      </c>
      <c r="I379">
        <v>100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31</v>
      </c>
      <c r="Q379">
        <v>50</v>
      </c>
      <c r="R379">
        <v>0</v>
      </c>
      <c r="S379">
        <v>81</v>
      </c>
      <c r="T379">
        <v>25</v>
      </c>
      <c r="U379">
        <v>15</v>
      </c>
      <c r="V379">
        <v>18</v>
      </c>
      <c r="W379">
        <v>0</v>
      </c>
      <c r="X379">
        <v>0</v>
      </c>
    </row>
    <row r="380" spans="1:24" x14ac:dyDescent="0.2">
      <c r="A380">
        <v>4050900</v>
      </c>
      <c r="B380" t="s">
        <v>379</v>
      </c>
      <c r="C380">
        <v>900</v>
      </c>
      <c r="D380">
        <v>900</v>
      </c>
      <c r="E380">
        <v>10000</v>
      </c>
      <c r="F380">
        <v>100</v>
      </c>
      <c r="G380">
        <v>0</v>
      </c>
      <c r="H380">
        <v>0</v>
      </c>
      <c r="I380">
        <v>0</v>
      </c>
      <c r="J380">
        <v>100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31</v>
      </c>
      <c r="Q380">
        <v>50</v>
      </c>
      <c r="R380">
        <v>0</v>
      </c>
      <c r="S380">
        <v>0</v>
      </c>
      <c r="T380">
        <v>25</v>
      </c>
      <c r="U380">
        <v>15</v>
      </c>
      <c r="V380">
        <v>18</v>
      </c>
      <c r="W380">
        <v>0</v>
      </c>
      <c r="X380">
        <v>0</v>
      </c>
    </row>
    <row r="381" spans="1:24" x14ac:dyDescent="0.2">
      <c r="A381">
        <v>4051000</v>
      </c>
      <c r="B381" t="s">
        <v>380</v>
      </c>
      <c r="C381">
        <v>1000</v>
      </c>
      <c r="D381">
        <v>1000</v>
      </c>
      <c r="E381">
        <v>10000</v>
      </c>
      <c r="F381">
        <v>100</v>
      </c>
      <c r="G381">
        <v>0</v>
      </c>
      <c r="H381">
        <v>0</v>
      </c>
      <c r="I381">
        <v>0</v>
      </c>
      <c r="J381">
        <v>100</v>
      </c>
      <c r="K381">
        <v>0</v>
      </c>
      <c r="L381">
        <v>0</v>
      </c>
      <c r="M381">
        <v>0</v>
      </c>
      <c r="N381">
        <v>0</v>
      </c>
      <c r="O381">
        <v>4</v>
      </c>
      <c r="P381">
        <v>31</v>
      </c>
      <c r="Q381">
        <v>50</v>
      </c>
      <c r="R381">
        <v>81</v>
      </c>
      <c r="S381">
        <v>81</v>
      </c>
      <c r="T381">
        <v>25</v>
      </c>
      <c r="U381">
        <v>15</v>
      </c>
      <c r="V381">
        <v>18</v>
      </c>
      <c r="W381">
        <v>0</v>
      </c>
      <c r="X381">
        <v>0</v>
      </c>
    </row>
    <row r="382" spans="1:24" x14ac:dyDescent="0.2">
      <c r="A382">
        <v>4051100</v>
      </c>
      <c r="B382" t="s">
        <v>381</v>
      </c>
      <c r="C382">
        <v>1100</v>
      </c>
      <c r="D382">
        <v>1100</v>
      </c>
      <c r="E382">
        <v>10000</v>
      </c>
      <c r="F382">
        <v>105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31</v>
      </c>
      <c r="Q382">
        <v>50</v>
      </c>
      <c r="R382">
        <v>0</v>
      </c>
      <c r="S382">
        <v>0</v>
      </c>
      <c r="T382">
        <v>25</v>
      </c>
      <c r="U382">
        <v>15</v>
      </c>
      <c r="V382">
        <v>18</v>
      </c>
      <c r="W382">
        <v>0</v>
      </c>
      <c r="X382">
        <v>0</v>
      </c>
    </row>
    <row r="383" spans="1:24" x14ac:dyDescent="0.2">
      <c r="A383">
        <v>4051200</v>
      </c>
      <c r="B383" t="s">
        <v>382</v>
      </c>
      <c r="C383">
        <v>1200</v>
      </c>
      <c r="D383">
        <v>1200</v>
      </c>
      <c r="E383">
        <v>10000</v>
      </c>
      <c r="F383">
        <v>105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31</v>
      </c>
      <c r="Q383">
        <v>50</v>
      </c>
      <c r="R383">
        <v>0</v>
      </c>
      <c r="S383">
        <v>0</v>
      </c>
      <c r="T383">
        <v>25</v>
      </c>
      <c r="U383">
        <v>15</v>
      </c>
      <c r="V383">
        <v>18</v>
      </c>
      <c r="W383">
        <v>0</v>
      </c>
      <c r="X383">
        <v>0</v>
      </c>
    </row>
    <row r="384" spans="1:24" x14ac:dyDescent="0.2">
      <c r="A384">
        <v>4051300</v>
      </c>
      <c r="B384" t="s">
        <v>383</v>
      </c>
      <c r="C384">
        <v>1300</v>
      </c>
      <c r="D384">
        <v>1300</v>
      </c>
      <c r="E384">
        <v>10000</v>
      </c>
      <c r="F384">
        <v>105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31</v>
      </c>
      <c r="Q384">
        <v>50</v>
      </c>
      <c r="R384">
        <v>0</v>
      </c>
      <c r="S384">
        <v>0</v>
      </c>
      <c r="T384">
        <v>25</v>
      </c>
      <c r="U384">
        <v>15</v>
      </c>
      <c r="V384">
        <v>18</v>
      </c>
      <c r="W384">
        <v>0</v>
      </c>
      <c r="X384">
        <v>0</v>
      </c>
    </row>
    <row r="385" spans="1:24" x14ac:dyDescent="0.2">
      <c r="A385">
        <v>4051400</v>
      </c>
      <c r="B385" t="s">
        <v>384</v>
      </c>
      <c r="C385">
        <v>1400</v>
      </c>
      <c r="D385">
        <v>1400</v>
      </c>
      <c r="E385">
        <v>10014</v>
      </c>
      <c r="F385">
        <v>100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31</v>
      </c>
      <c r="Q385">
        <v>50</v>
      </c>
      <c r="R385">
        <v>0</v>
      </c>
      <c r="S385">
        <v>81</v>
      </c>
      <c r="T385">
        <v>25</v>
      </c>
      <c r="U385">
        <v>15</v>
      </c>
      <c r="V385">
        <v>18</v>
      </c>
      <c r="W385">
        <v>0</v>
      </c>
      <c r="X385">
        <v>0</v>
      </c>
    </row>
    <row r="386" spans="1:24" x14ac:dyDescent="0.2">
      <c r="A386">
        <v>4051500</v>
      </c>
      <c r="B386" t="s">
        <v>385</v>
      </c>
      <c r="C386">
        <v>1500</v>
      </c>
      <c r="D386">
        <v>1500</v>
      </c>
      <c r="E386">
        <v>10015</v>
      </c>
      <c r="F386">
        <v>105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31</v>
      </c>
      <c r="Q386">
        <v>50</v>
      </c>
      <c r="R386">
        <v>0</v>
      </c>
      <c r="S386">
        <v>0</v>
      </c>
      <c r="T386">
        <v>25</v>
      </c>
      <c r="U386">
        <v>15</v>
      </c>
      <c r="V386">
        <v>18</v>
      </c>
      <c r="W386">
        <v>0</v>
      </c>
      <c r="X386">
        <v>0</v>
      </c>
    </row>
    <row r="387" spans="1:24" x14ac:dyDescent="0.2">
      <c r="A387">
        <v>4060000</v>
      </c>
      <c r="B387" t="s">
        <v>386</v>
      </c>
      <c r="C387">
        <v>0</v>
      </c>
      <c r="D387">
        <v>0</v>
      </c>
      <c r="E387">
        <v>10000</v>
      </c>
      <c r="F387">
        <v>125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41</v>
      </c>
      <c r="Q387">
        <v>55</v>
      </c>
      <c r="R387">
        <v>0</v>
      </c>
      <c r="S387">
        <v>0</v>
      </c>
      <c r="T387">
        <v>29</v>
      </c>
      <c r="U387">
        <v>18</v>
      </c>
      <c r="V387">
        <v>22</v>
      </c>
      <c r="W387">
        <v>0</v>
      </c>
      <c r="X387">
        <v>0</v>
      </c>
    </row>
    <row r="388" spans="1:24" x14ac:dyDescent="0.2">
      <c r="A388">
        <v>4060100</v>
      </c>
      <c r="B388" t="s">
        <v>387</v>
      </c>
      <c r="C388">
        <v>200</v>
      </c>
      <c r="D388">
        <v>100</v>
      </c>
      <c r="E388">
        <v>10000</v>
      </c>
      <c r="F388">
        <v>125</v>
      </c>
      <c r="G388">
        <v>0</v>
      </c>
      <c r="H388">
        <v>0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52</v>
      </c>
      <c r="Q388">
        <v>0</v>
      </c>
      <c r="R388">
        <v>0</v>
      </c>
      <c r="S388">
        <v>0</v>
      </c>
      <c r="T388">
        <v>29</v>
      </c>
      <c r="U388">
        <v>18</v>
      </c>
      <c r="V388">
        <v>22</v>
      </c>
      <c r="W388">
        <v>0</v>
      </c>
      <c r="X388">
        <v>0</v>
      </c>
    </row>
    <row r="389" spans="1:24" x14ac:dyDescent="0.2">
      <c r="A389">
        <v>4060200</v>
      </c>
      <c r="B389" t="s">
        <v>388</v>
      </c>
      <c r="C389">
        <v>100</v>
      </c>
      <c r="D389">
        <v>5000</v>
      </c>
      <c r="E389">
        <v>10000</v>
      </c>
      <c r="F389">
        <v>125</v>
      </c>
      <c r="G389">
        <v>0</v>
      </c>
      <c r="H389">
        <v>0</v>
      </c>
      <c r="I389">
        <v>0</v>
      </c>
      <c r="J389">
        <v>0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26</v>
      </c>
      <c r="Q389">
        <v>63</v>
      </c>
      <c r="R389">
        <v>0</v>
      </c>
      <c r="S389">
        <v>0</v>
      </c>
      <c r="T389">
        <v>29</v>
      </c>
      <c r="U389">
        <v>18</v>
      </c>
      <c r="V389">
        <v>22</v>
      </c>
      <c r="W389">
        <v>0</v>
      </c>
      <c r="X389">
        <v>0</v>
      </c>
    </row>
    <row r="390" spans="1:24" x14ac:dyDescent="0.2">
      <c r="A390">
        <v>4060300</v>
      </c>
      <c r="B390" t="s">
        <v>389</v>
      </c>
      <c r="C390">
        <v>300</v>
      </c>
      <c r="D390">
        <v>300</v>
      </c>
      <c r="E390">
        <v>10000</v>
      </c>
      <c r="F390">
        <v>125</v>
      </c>
      <c r="G390">
        <v>0</v>
      </c>
      <c r="H390">
        <v>0</v>
      </c>
      <c r="I390">
        <v>0</v>
      </c>
      <c r="J390">
        <v>0</v>
      </c>
      <c r="K390">
        <v>8</v>
      </c>
      <c r="L390">
        <v>0</v>
      </c>
      <c r="M390">
        <v>0</v>
      </c>
      <c r="N390">
        <v>0</v>
      </c>
      <c r="O390">
        <v>0</v>
      </c>
      <c r="P390">
        <v>58</v>
      </c>
      <c r="Q390">
        <v>58</v>
      </c>
      <c r="R390">
        <v>0</v>
      </c>
      <c r="S390">
        <v>0</v>
      </c>
      <c r="T390">
        <v>29</v>
      </c>
      <c r="U390">
        <v>18</v>
      </c>
      <c r="V390">
        <v>22</v>
      </c>
      <c r="W390">
        <v>0</v>
      </c>
      <c r="X390">
        <v>0</v>
      </c>
    </row>
    <row r="391" spans="1:24" x14ac:dyDescent="0.2">
      <c r="A391">
        <v>4060400</v>
      </c>
      <c r="B391" t="s">
        <v>390</v>
      </c>
      <c r="C391">
        <v>500</v>
      </c>
      <c r="D391">
        <v>500</v>
      </c>
      <c r="E391">
        <v>10000</v>
      </c>
      <c r="F391">
        <v>123</v>
      </c>
      <c r="G391">
        <v>123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41</v>
      </c>
      <c r="Q391">
        <v>55</v>
      </c>
      <c r="R391">
        <v>96</v>
      </c>
      <c r="S391">
        <v>0</v>
      </c>
      <c r="T391">
        <v>29</v>
      </c>
      <c r="U391">
        <v>18</v>
      </c>
      <c r="V391">
        <v>22</v>
      </c>
      <c r="W391">
        <v>0</v>
      </c>
      <c r="X391">
        <v>0</v>
      </c>
    </row>
    <row r="392" spans="1:24" x14ac:dyDescent="0.2">
      <c r="A392">
        <v>4060500</v>
      </c>
      <c r="B392" t="s">
        <v>391</v>
      </c>
      <c r="C392">
        <v>400</v>
      </c>
      <c r="D392">
        <v>400</v>
      </c>
      <c r="E392">
        <v>10000</v>
      </c>
      <c r="F392">
        <v>123</v>
      </c>
      <c r="G392">
        <v>123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41</v>
      </c>
      <c r="Q392">
        <v>55</v>
      </c>
      <c r="R392">
        <v>96</v>
      </c>
      <c r="S392">
        <v>0</v>
      </c>
      <c r="T392">
        <v>29</v>
      </c>
      <c r="U392">
        <v>18</v>
      </c>
      <c r="V392">
        <v>22</v>
      </c>
      <c r="W392">
        <v>0</v>
      </c>
      <c r="X392">
        <v>0</v>
      </c>
    </row>
    <row r="393" spans="1:24" x14ac:dyDescent="0.2">
      <c r="A393">
        <v>4060600</v>
      </c>
      <c r="B393" t="s">
        <v>392</v>
      </c>
      <c r="C393">
        <v>600</v>
      </c>
      <c r="D393">
        <v>600</v>
      </c>
      <c r="E393">
        <v>10000</v>
      </c>
      <c r="F393">
        <v>130</v>
      </c>
      <c r="G393">
        <v>0</v>
      </c>
      <c r="H393">
        <v>130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41</v>
      </c>
      <c r="Q393">
        <v>55</v>
      </c>
      <c r="R393">
        <v>0</v>
      </c>
      <c r="S393">
        <v>0</v>
      </c>
      <c r="T393">
        <v>29</v>
      </c>
      <c r="U393">
        <v>18</v>
      </c>
      <c r="V393">
        <v>22</v>
      </c>
      <c r="W393">
        <v>0</v>
      </c>
      <c r="X393">
        <v>0</v>
      </c>
    </row>
    <row r="394" spans="1:24" x14ac:dyDescent="0.2">
      <c r="A394">
        <v>4060700</v>
      </c>
      <c r="B394" t="s">
        <v>393</v>
      </c>
      <c r="C394">
        <v>700</v>
      </c>
      <c r="D394">
        <v>700</v>
      </c>
      <c r="E394">
        <v>10000</v>
      </c>
      <c r="F394">
        <v>123</v>
      </c>
      <c r="G394">
        <v>0</v>
      </c>
      <c r="H394">
        <v>123</v>
      </c>
      <c r="I394">
        <v>0</v>
      </c>
      <c r="J394">
        <v>0</v>
      </c>
      <c r="K394">
        <v>0</v>
      </c>
      <c r="L394">
        <v>0</v>
      </c>
      <c r="M394">
        <v>4</v>
      </c>
      <c r="N394">
        <v>0</v>
      </c>
      <c r="O394">
        <v>0</v>
      </c>
      <c r="P394">
        <v>41</v>
      </c>
      <c r="Q394">
        <v>55</v>
      </c>
      <c r="R394">
        <v>96</v>
      </c>
      <c r="S394">
        <v>96</v>
      </c>
      <c r="T394">
        <v>29</v>
      </c>
      <c r="U394">
        <v>18</v>
      </c>
      <c r="V394">
        <v>22</v>
      </c>
      <c r="W394">
        <v>0</v>
      </c>
      <c r="X394">
        <v>0</v>
      </c>
    </row>
    <row r="395" spans="1:24" x14ac:dyDescent="0.2">
      <c r="A395">
        <v>4060800</v>
      </c>
      <c r="B395" t="s">
        <v>394</v>
      </c>
      <c r="C395">
        <v>800</v>
      </c>
      <c r="D395">
        <v>800</v>
      </c>
      <c r="E395">
        <v>10000</v>
      </c>
      <c r="F395">
        <v>123</v>
      </c>
      <c r="G395">
        <v>0</v>
      </c>
      <c r="H395">
        <v>0</v>
      </c>
      <c r="I395">
        <v>123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41</v>
      </c>
      <c r="Q395">
        <v>55</v>
      </c>
      <c r="R395">
        <v>0</v>
      </c>
      <c r="S395">
        <v>96</v>
      </c>
      <c r="T395">
        <v>29</v>
      </c>
      <c r="U395">
        <v>18</v>
      </c>
      <c r="V395">
        <v>22</v>
      </c>
      <c r="W395">
        <v>0</v>
      </c>
      <c r="X395">
        <v>0</v>
      </c>
    </row>
    <row r="396" spans="1:24" x14ac:dyDescent="0.2">
      <c r="A396">
        <v>4060900</v>
      </c>
      <c r="B396" t="s">
        <v>395</v>
      </c>
      <c r="C396">
        <v>900</v>
      </c>
      <c r="D396">
        <v>900</v>
      </c>
      <c r="E396">
        <v>10000</v>
      </c>
      <c r="F396">
        <v>130</v>
      </c>
      <c r="G396">
        <v>0</v>
      </c>
      <c r="H396">
        <v>0</v>
      </c>
      <c r="I396">
        <v>0</v>
      </c>
      <c r="J396">
        <v>130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41</v>
      </c>
      <c r="Q396">
        <v>55</v>
      </c>
      <c r="R396">
        <v>0</v>
      </c>
      <c r="S396">
        <v>0</v>
      </c>
      <c r="T396">
        <v>29</v>
      </c>
      <c r="U396">
        <v>18</v>
      </c>
      <c r="V396">
        <v>22</v>
      </c>
      <c r="W396">
        <v>0</v>
      </c>
      <c r="X396">
        <v>0</v>
      </c>
    </row>
    <row r="397" spans="1:24" x14ac:dyDescent="0.2">
      <c r="A397">
        <v>4061000</v>
      </c>
      <c r="B397" t="s">
        <v>396</v>
      </c>
      <c r="C397">
        <v>1000</v>
      </c>
      <c r="D397">
        <v>1000</v>
      </c>
      <c r="E397">
        <v>10000</v>
      </c>
      <c r="F397">
        <v>123</v>
      </c>
      <c r="G397">
        <v>0</v>
      </c>
      <c r="H397">
        <v>0</v>
      </c>
      <c r="I397">
        <v>0</v>
      </c>
      <c r="J397">
        <v>123</v>
      </c>
      <c r="K397">
        <v>0</v>
      </c>
      <c r="L397">
        <v>0</v>
      </c>
      <c r="M397">
        <v>0</v>
      </c>
      <c r="N397">
        <v>0</v>
      </c>
      <c r="O397">
        <v>4</v>
      </c>
      <c r="P397">
        <v>41</v>
      </c>
      <c r="Q397">
        <v>55</v>
      </c>
      <c r="R397">
        <v>96</v>
      </c>
      <c r="S397">
        <v>96</v>
      </c>
      <c r="T397">
        <v>29</v>
      </c>
      <c r="U397">
        <v>18</v>
      </c>
      <c r="V397">
        <v>22</v>
      </c>
      <c r="W397">
        <v>0</v>
      </c>
      <c r="X397">
        <v>0</v>
      </c>
    </row>
    <row r="398" spans="1:24" x14ac:dyDescent="0.2">
      <c r="A398">
        <v>4061100</v>
      </c>
      <c r="B398" t="s">
        <v>397</v>
      </c>
      <c r="C398">
        <v>1100</v>
      </c>
      <c r="D398">
        <v>1100</v>
      </c>
      <c r="E398">
        <v>10000</v>
      </c>
      <c r="F398">
        <v>125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41</v>
      </c>
      <c r="Q398">
        <v>55</v>
      </c>
      <c r="R398">
        <v>0</v>
      </c>
      <c r="S398">
        <v>0</v>
      </c>
      <c r="T398">
        <v>29</v>
      </c>
      <c r="U398">
        <v>18</v>
      </c>
      <c r="V398">
        <v>22</v>
      </c>
      <c r="W398">
        <v>0</v>
      </c>
      <c r="X398">
        <v>0</v>
      </c>
    </row>
    <row r="399" spans="1:24" x14ac:dyDescent="0.2">
      <c r="A399">
        <v>4061200</v>
      </c>
      <c r="B399" t="s">
        <v>398</v>
      </c>
      <c r="C399">
        <v>1200</v>
      </c>
      <c r="D399">
        <v>1200</v>
      </c>
      <c r="E399">
        <v>10000</v>
      </c>
      <c r="F399">
        <v>125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41</v>
      </c>
      <c r="Q399">
        <v>55</v>
      </c>
      <c r="R399">
        <v>0</v>
      </c>
      <c r="S399">
        <v>0</v>
      </c>
      <c r="T399">
        <v>29</v>
      </c>
      <c r="U399">
        <v>18</v>
      </c>
      <c r="V399">
        <v>22</v>
      </c>
      <c r="W399">
        <v>0</v>
      </c>
      <c r="X399">
        <v>0</v>
      </c>
    </row>
    <row r="400" spans="1:24" x14ac:dyDescent="0.2">
      <c r="A400">
        <v>4061300</v>
      </c>
      <c r="B400" t="s">
        <v>399</v>
      </c>
      <c r="C400">
        <v>1300</v>
      </c>
      <c r="D400">
        <v>1300</v>
      </c>
      <c r="E400">
        <v>10000</v>
      </c>
      <c r="F400">
        <v>140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41</v>
      </c>
      <c r="Q400">
        <v>55</v>
      </c>
      <c r="R400">
        <v>0</v>
      </c>
      <c r="S400">
        <v>0</v>
      </c>
      <c r="T400">
        <v>29</v>
      </c>
      <c r="U400">
        <v>18</v>
      </c>
      <c r="V400">
        <v>22</v>
      </c>
      <c r="W400">
        <v>0</v>
      </c>
      <c r="X400">
        <v>0</v>
      </c>
    </row>
    <row r="401" spans="1:24" x14ac:dyDescent="0.2">
      <c r="A401">
        <v>4061400</v>
      </c>
      <c r="B401" t="s">
        <v>400</v>
      </c>
      <c r="C401">
        <v>1400</v>
      </c>
      <c r="D401">
        <v>1400</v>
      </c>
      <c r="E401">
        <v>10014</v>
      </c>
      <c r="F401">
        <v>123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41</v>
      </c>
      <c r="Q401">
        <v>55</v>
      </c>
      <c r="R401">
        <v>0</v>
      </c>
      <c r="S401">
        <v>96</v>
      </c>
      <c r="T401">
        <v>29</v>
      </c>
      <c r="U401">
        <v>18</v>
      </c>
      <c r="V401">
        <v>22</v>
      </c>
      <c r="W401">
        <v>0</v>
      </c>
      <c r="X401">
        <v>0</v>
      </c>
    </row>
    <row r="402" spans="1:24" x14ac:dyDescent="0.2">
      <c r="A402">
        <v>4061500</v>
      </c>
      <c r="B402" t="s">
        <v>401</v>
      </c>
      <c r="C402">
        <v>1500</v>
      </c>
      <c r="D402">
        <v>1500</v>
      </c>
      <c r="E402">
        <v>10015</v>
      </c>
      <c r="F402">
        <v>125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41</v>
      </c>
      <c r="Q402">
        <v>55</v>
      </c>
      <c r="R402">
        <v>0</v>
      </c>
      <c r="S402">
        <v>0</v>
      </c>
      <c r="T402">
        <v>29</v>
      </c>
      <c r="U402">
        <v>18</v>
      </c>
      <c r="V402">
        <v>22</v>
      </c>
      <c r="W402">
        <v>0</v>
      </c>
      <c r="X402">
        <v>0</v>
      </c>
    </row>
    <row r="403" spans="1:24" x14ac:dyDescent="0.2">
      <c r="A403">
        <v>4070000</v>
      </c>
      <c r="B403" t="s">
        <v>402</v>
      </c>
      <c r="C403">
        <v>2200</v>
      </c>
      <c r="D403">
        <v>2200</v>
      </c>
      <c r="E403">
        <v>10000</v>
      </c>
      <c r="F403">
        <v>107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31</v>
      </c>
      <c r="Q403">
        <v>49</v>
      </c>
      <c r="R403">
        <v>0</v>
      </c>
      <c r="S403">
        <v>0</v>
      </c>
      <c r="T403">
        <v>25</v>
      </c>
      <c r="U403">
        <v>12</v>
      </c>
      <c r="V403">
        <v>18</v>
      </c>
      <c r="W403">
        <v>10</v>
      </c>
      <c r="X403">
        <v>0</v>
      </c>
    </row>
    <row r="404" spans="1:24" x14ac:dyDescent="0.2">
      <c r="A404">
        <v>4080000</v>
      </c>
      <c r="B404" t="s">
        <v>403</v>
      </c>
      <c r="C404">
        <v>2000</v>
      </c>
      <c r="D404">
        <v>2100</v>
      </c>
      <c r="E404">
        <v>10000</v>
      </c>
      <c r="F404">
        <v>100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21</v>
      </c>
      <c r="Q404">
        <v>60</v>
      </c>
      <c r="R404">
        <v>0</v>
      </c>
      <c r="S404">
        <v>0</v>
      </c>
      <c r="T404">
        <v>25</v>
      </c>
      <c r="U404">
        <v>14</v>
      </c>
      <c r="V404">
        <v>20</v>
      </c>
      <c r="W404">
        <v>0</v>
      </c>
      <c r="X404">
        <v>0</v>
      </c>
    </row>
    <row r="405" spans="1:24" x14ac:dyDescent="0.2">
      <c r="A405">
        <v>4090000</v>
      </c>
      <c r="B405" t="s">
        <v>404</v>
      </c>
      <c r="C405">
        <v>0</v>
      </c>
      <c r="D405">
        <v>0</v>
      </c>
      <c r="E405">
        <v>10000</v>
      </c>
      <c r="F405">
        <v>88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7</v>
      </c>
      <c r="Q405">
        <v>86</v>
      </c>
      <c r="R405">
        <v>0</v>
      </c>
      <c r="S405">
        <v>0</v>
      </c>
      <c r="T405">
        <v>27</v>
      </c>
      <c r="U405">
        <v>7</v>
      </c>
      <c r="V405">
        <v>19</v>
      </c>
      <c r="W405">
        <v>0</v>
      </c>
      <c r="X405">
        <v>0</v>
      </c>
    </row>
    <row r="406" spans="1:24" x14ac:dyDescent="0.2">
      <c r="A406">
        <v>4090100</v>
      </c>
      <c r="B406" t="s">
        <v>405</v>
      </c>
      <c r="C406">
        <v>200</v>
      </c>
      <c r="D406">
        <v>100</v>
      </c>
      <c r="E406">
        <v>10000</v>
      </c>
      <c r="F406">
        <v>88</v>
      </c>
      <c r="G406">
        <v>0</v>
      </c>
      <c r="H406">
        <v>0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51</v>
      </c>
      <c r="Q406">
        <v>0</v>
      </c>
      <c r="R406">
        <v>0</v>
      </c>
      <c r="S406">
        <v>0</v>
      </c>
      <c r="T406">
        <v>27</v>
      </c>
      <c r="U406">
        <v>7</v>
      </c>
      <c r="V406">
        <v>19</v>
      </c>
      <c r="W406">
        <v>0</v>
      </c>
      <c r="X406">
        <v>0</v>
      </c>
    </row>
    <row r="407" spans="1:24" x14ac:dyDescent="0.2">
      <c r="A407">
        <v>4090200</v>
      </c>
      <c r="B407" t="s">
        <v>406</v>
      </c>
      <c r="C407">
        <v>100</v>
      </c>
      <c r="D407">
        <v>5000</v>
      </c>
      <c r="E407">
        <v>10000</v>
      </c>
      <c r="F407">
        <v>88</v>
      </c>
      <c r="G407">
        <v>0</v>
      </c>
      <c r="H407">
        <v>0</v>
      </c>
      <c r="I407">
        <v>0</v>
      </c>
      <c r="J407">
        <v>0</v>
      </c>
      <c r="K407">
        <v>2</v>
      </c>
      <c r="L407">
        <v>0</v>
      </c>
      <c r="M407">
        <v>0</v>
      </c>
      <c r="N407">
        <v>0</v>
      </c>
      <c r="O407">
        <v>0</v>
      </c>
      <c r="P407">
        <v>3</v>
      </c>
      <c r="Q407">
        <v>73</v>
      </c>
      <c r="R407">
        <v>0</v>
      </c>
      <c r="S407">
        <v>0</v>
      </c>
      <c r="T407">
        <v>27</v>
      </c>
      <c r="U407">
        <v>7</v>
      </c>
      <c r="V407">
        <v>19</v>
      </c>
      <c r="W407">
        <v>0</v>
      </c>
      <c r="X407">
        <v>0</v>
      </c>
    </row>
    <row r="408" spans="1:24" x14ac:dyDescent="0.2">
      <c r="A408">
        <v>4090300</v>
      </c>
      <c r="B408" t="s">
        <v>407</v>
      </c>
      <c r="C408">
        <v>300</v>
      </c>
      <c r="D408">
        <v>300</v>
      </c>
      <c r="E408">
        <v>10000</v>
      </c>
      <c r="F408">
        <v>88</v>
      </c>
      <c r="G408">
        <v>0</v>
      </c>
      <c r="H408">
        <v>0</v>
      </c>
      <c r="I408">
        <v>0</v>
      </c>
      <c r="J408">
        <v>0</v>
      </c>
      <c r="K408">
        <v>8</v>
      </c>
      <c r="L408">
        <v>0</v>
      </c>
      <c r="M408">
        <v>0</v>
      </c>
      <c r="N408">
        <v>0</v>
      </c>
      <c r="O408">
        <v>0</v>
      </c>
      <c r="P408">
        <v>56</v>
      </c>
      <c r="Q408">
        <v>56</v>
      </c>
      <c r="R408">
        <v>0</v>
      </c>
      <c r="S408">
        <v>0</v>
      </c>
      <c r="T408">
        <v>27</v>
      </c>
      <c r="U408">
        <v>7</v>
      </c>
      <c r="V408">
        <v>19</v>
      </c>
      <c r="W408">
        <v>0</v>
      </c>
      <c r="X408">
        <v>0</v>
      </c>
    </row>
    <row r="409" spans="1:24" x14ac:dyDescent="0.2">
      <c r="A409">
        <v>4090400</v>
      </c>
      <c r="B409" t="s">
        <v>408</v>
      </c>
      <c r="C409">
        <v>500</v>
      </c>
      <c r="D409">
        <v>500</v>
      </c>
      <c r="E409">
        <v>10000</v>
      </c>
      <c r="F409">
        <v>90</v>
      </c>
      <c r="G409">
        <v>90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7</v>
      </c>
      <c r="Q409">
        <v>86</v>
      </c>
      <c r="R409">
        <v>93</v>
      </c>
      <c r="S409">
        <v>0</v>
      </c>
      <c r="T409">
        <v>27</v>
      </c>
      <c r="U409">
        <v>7</v>
      </c>
      <c r="V409">
        <v>19</v>
      </c>
      <c r="W409">
        <v>0</v>
      </c>
      <c r="X409">
        <v>0</v>
      </c>
    </row>
    <row r="410" spans="1:24" x14ac:dyDescent="0.2">
      <c r="A410">
        <v>4090500</v>
      </c>
      <c r="B410" t="s">
        <v>409</v>
      </c>
      <c r="C410">
        <v>400</v>
      </c>
      <c r="D410">
        <v>400</v>
      </c>
      <c r="E410">
        <v>10000</v>
      </c>
      <c r="F410">
        <v>90</v>
      </c>
      <c r="G410">
        <v>90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7</v>
      </c>
      <c r="Q410">
        <v>86</v>
      </c>
      <c r="R410">
        <v>93</v>
      </c>
      <c r="S410">
        <v>0</v>
      </c>
      <c r="T410">
        <v>27</v>
      </c>
      <c r="U410">
        <v>7</v>
      </c>
      <c r="V410">
        <v>19</v>
      </c>
      <c r="W410">
        <v>0</v>
      </c>
      <c r="X410">
        <v>0</v>
      </c>
    </row>
    <row r="411" spans="1:24" x14ac:dyDescent="0.2">
      <c r="A411">
        <v>4090600</v>
      </c>
      <c r="B411" t="s">
        <v>410</v>
      </c>
      <c r="C411">
        <v>600</v>
      </c>
      <c r="D411">
        <v>600</v>
      </c>
      <c r="E411">
        <v>10000</v>
      </c>
      <c r="F411">
        <v>103</v>
      </c>
      <c r="G411">
        <v>0</v>
      </c>
      <c r="H411">
        <v>103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7</v>
      </c>
      <c r="Q411">
        <v>86</v>
      </c>
      <c r="R411">
        <v>0</v>
      </c>
      <c r="S411">
        <v>0</v>
      </c>
      <c r="T411">
        <v>27</v>
      </c>
      <c r="U411">
        <v>7</v>
      </c>
      <c r="V411">
        <v>19</v>
      </c>
      <c r="W411">
        <v>0</v>
      </c>
      <c r="X411">
        <v>0</v>
      </c>
    </row>
    <row r="412" spans="1:24" x14ac:dyDescent="0.2">
      <c r="A412">
        <v>4090700</v>
      </c>
      <c r="B412" t="s">
        <v>411</v>
      </c>
      <c r="C412">
        <v>700</v>
      </c>
      <c r="D412">
        <v>700</v>
      </c>
      <c r="E412">
        <v>10000</v>
      </c>
      <c r="F412">
        <v>87</v>
      </c>
      <c r="G412">
        <v>0</v>
      </c>
      <c r="H412">
        <v>87</v>
      </c>
      <c r="I412">
        <v>0</v>
      </c>
      <c r="J412">
        <v>0</v>
      </c>
      <c r="K412">
        <v>0</v>
      </c>
      <c r="L412">
        <v>0</v>
      </c>
      <c r="M412">
        <v>4</v>
      </c>
      <c r="N412">
        <v>0</v>
      </c>
      <c r="O412">
        <v>0</v>
      </c>
      <c r="P412">
        <v>7</v>
      </c>
      <c r="Q412">
        <v>86</v>
      </c>
      <c r="R412">
        <v>93</v>
      </c>
      <c r="S412">
        <v>93</v>
      </c>
      <c r="T412">
        <v>27</v>
      </c>
      <c r="U412">
        <v>7</v>
      </c>
      <c r="V412">
        <v>19</v>
      </c>
      <c r="W412">
        <v>0</v>
      </c>
      <c r="X412">
        <v>0</v>
      </c>
    </row>
    <row r="413" spans="1:24" x14ac:dyDescent="0.2">
      <c r="A413">
        <v>4090800</v>
      </c>
      <c r="B413" t="s">
        <v>412</v>
      </c>
      <c r="C413">
        <v>800</v>
      </c>
      <c r="D413">
        <v>800</v>
      </c>
      <c r="E413">
        <v>10000</v>
      </c>
      <c r="F413">
        <v>90</v>
      </c>
      <c r="G413">
        <v>0</v>
      </c>
      <c r="H413">
        <v>0</v>
      </c>
      <c r="I413">
        <v>90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7</v>
      </c>
      <c r="Q413">
        <v>86</v>
      </c>
      <c r="R413">
        <v>0</v>
      </c>
      <c r="S413">
        <v>93</v>
      </c>
      <c r="T413">
        <v>27</v>
      </c>
      <c r="U413">
        <v>7</v>
      </c>
      <c r="V413">
        <v>19</v>
      </c>
      <c r="W413">
        <v>0</v>
      </c>
      <c r="X413">
        <v>0</v>
      </c>
    </row>
    <row r="414" spans="1:24" x14ac:dyDescent="0.2">
      <c r="A414">
        <v>4090900</v>
      </c>
      <c r="B414" t="s">
        <v>413</v>
      </c>
      <c r="C414">
        <v>900</v>
      </c>
      <c r="D414">
        <v>900</v>
      </c>
      <c r="E414">
        <v>10000</v>
      </c>
      <c r="F414">
        <v>103</v>
      </c>
      <c r="G414">
        <v>0</v>
      </c>
      <c r="H414">
        <v>0</v>
      </c>
      <c r="I414">
        <v>0</v>
      </c>
      <c r="J414">
        <v>103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7</v>
      </c>
      <c r="Q414">
        <v>86</v>
      </c>
      <c r="R414">
        <v>0</v>
      </c>
      <c r="S414">
        <v>0</v>
      </c>
      <c r="T414">
        <v>27</v>
      </c>
      <c r="U414">
        <v>7</v>
      </c>
      <c r="V414">
        <v>19</v>
      </c>
      <c r="W414">
        <v>0</v>
      </c>
      <c r="X414">
        <v>0</v>
      </c>
    </row>
    <row r="415" spans="1:24" x14ac:dyDescent="0.2">
      <c r="A415">
        <v>4091000</v>
      </c>
      <c r="B415" t="s">
        <v>414</v>
      </c>
      <c r="C415">
        <v>1000</v>
      </c>
      <c r="D415">
        <v>1000</v>
      </c>
      <c r="E415">
        <v>10000</v>
      </c>
      <c r="F415">
        <v>87</v>
      </c>
      <c r="G415">
        <v>0</v>
      </c>
      <c r="H415">
        <v>0</v>
      </c>
      <c r="I415">
        <v>0</v>
      </c>
      <c r="J415">
        <v>87</v>
      </c>
      <c r="K415">
        <v>0</v>
      </c>
      <c r="L415">
        <v>0</v>
      </c>
      <c r="M415">
        <v>0</v>
      </c>
      <c r="N415">
        <v>0</v>
      </c>
      <c r="O415">
        <v>4</v>
      </c>
      <c r="P415">
        <v>7</v>
      </c>
      <c r="Q415">
        <v>86</v>
      </c>
      <c r="R415">
        <v>93</v>
      </c>
      <c r="S415">
        <v>93</v>
      </c>
      <c r="T415">
        <v>27</v>
      </c>
      <c r="U415">
        <v>7</v>
      </c>
      <c r="V415">
        <v>19</v>
      </c>
      <c r="W415">
        <v>0</v>
      </c>
      <c r="X415">
        <v>0</v>
      </c>
    </row>
    <row r="416" spans="1:24" x14ac:dyDescent="0.2">
      <c r="A416">
        <v>4091100</v>
      </c>
      <c r="B416" t="s">
        <v>415</v>
      </c>
      <c r="C416">
        <v>1100</v>
      </c>
      <c r="D416">
        <v>1100</v>
      </c>
      <c r="E416">
        <v>10000</v>
      </c>
      <c r="F416">
        <v>88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7</v>
      </c>
      <c r="Q416">
        <v>86</v>
      </c>
      <c r="R416">
        <v>0</v>
      </c>
      <c r="S416">
        <v>0</v>
      </c>
      <c r="T416">
        <v>27</v>
      </c>
      <c r="U416">
        <v>7</v>
      </c>
      <c r="V416">
        <v>19</v>
      </c>
      <c r="W416">
        <v>0</v>
      </c>
      <c r="X416">
        <v>0</v>
      </c>
    </row>
    <row r="417" spans="1:24" x14ac:dyDescent="0.2">
      <c r="A417">
        <v>4091200</v>
      </c>
      <c r="B417" t="s">
        <v>416</v>
      </c>
      <c r="C417">
        <v>1200</v>
      </c>
      <c r="D417">
        <v>1200</v>
      </c>
      <c r="E417">
        <v>10000</v>
      </c>
      <c r="F417">
        <v>88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7</v>
      </c>
      <c r="Q417">
        <v>86</v>
      </c>
      <c r="R417">
        <v>0</v>
      </c>
      <c r="S417">
        <v>0</v>
      </c>
      <c r="T417">
        <v>27</v>
      </c>
      <c r="U417">
        <v>7</v>
      </c>
      <c r="V417">
        <v>19</v>
      </c>
      <c r="W417">
        <v>0</v>
      </c>
      <c r="X417">
        <v>0</v>
      </c>
    </row>
    <row r="418" spans="1:24" x14ac:dyDescent="0.2">
      <c r="A418">
        <v>4091300</v>
      </c>
      <c r="B418" t="s">
        <v>417</v>
      </c>
      <c r="C418">
        <v>1300</v>
      </c>
      <c r="D418">
        <v>1300</v>
      </c>
      <c r="E418">
        <v>10000</v>
      </c>
      <c r="F418">
        <v>113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7</v>
      </c>
      <c r="Q418">
        <v>86</v>
      </c>
      <c r="R418">
        <v>0</v>
      </c>
      <c r="S418">
        <v>0</v>
      </c>
      <c r="T418">
        <v>27</v>
      </c>
      <c r="U418">
        <v>7</v>
      </c>
      <c r="V418">
        <v>19</v>
      </c>
      <c r="W418">
        <v>0</v>
      </c>
      <c r="X418">
        <v>0</v>
      </c>
    </row>
    <row r="419" spans="1:24" x14ac:dyDescent="0.2">
      <c r="A419">
        <v>4091400</v>
      </c>
      <c r="B419" t="s">
        <v>418</v>
      </c>
      <c r="C419">
        <v>1400</v>
      </c>
      <c r="D419">
        <v>1400</v>
      </c>
      <c r="E419">
        <v>10014</v>
      </c>
      <c r="F419">
        <v>90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7</v>
      </c>
      <c r="Q419">
        <v>86</v>
      </c>
      <c r="R419">
        <v>0</v>
      </c>
      <c r="S419">
        <v>93</v>
      </c>
      <c r="T419">
        <v>27</v>
      </c>
      <c r="U419">
        <v>7</v>
      </c>
      <c r="V419">
        <v>19</v>
      </c>
      <c r="W419">
        <v>0</v>
      </c>
      <c r="X419">
        <v>0</v>
      </c>
    </row>
    <row r="420" spans="1:24" x14ac:dyDescent="0.2">
      <c r="A420">
        <v>4091500</v>
      </c>
      <c r="B420" t="s">
        <v>419</v>
      </c>
      <c r="C420">
        <v>1500</v>
      </c>
      <c r="D420">
        <v>1500</v>
      </c>
      <c r="E420">
        <v>10015</v>
      </c>
      <c r="F420">
        <v>88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7</v>
      </c>
      <c r="Q420">
        <v>86</v>
      </c>
      <c r="R420">
        <v>0</v>
      </c>
      <c r="S420">
        <v>0</v>
      </c>
      <c r="T420">
        <v>27</v>
      </c>
      <c r="U420">
        <v>7</v>
      </c>
      <c r="V420">
        <v>19</v>
      </c>
      <c r="W420">
        <v>0</v>
      </c>
      <c r="X420">
        <v>0</v>
      </c>
    </row>
    <row r="421" spans="1:24" x14ac:dyDescent="0.2">
      <c r="A421">
        <v>4100000</v>
      </c>
      <c r="B421" t="s">
        <v>420</v>
      </c>
      <c r="C421">
        <v>2000</v>
      </c>
      <c r="D421">
        <v>2100</v>
      </c>
      <c r="E421">
        <v>10000</v>
      </c>
      <c r="F421">
        <v>71</v>
      </c>
      <c r="G421">
        <v>71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55</v>
      </c>
      <c r="R421">
        <v>31</v>
      </c>
      <c r="S421">
        <v>0</v>
      </c>
      <c r="T421">
        <v>17</v>
      </c>
      <c r="U421">
        <v>10</v>
      </c>
      <c r="V421">
        <v>16</v>
      </c>
      <c r="W421">
        <v>0</v>
      </c>
      <c r="X421">
        <v>0</v>
      </c>
    </row>
    <row r="422" spans="1:24" x14ac:dyDescent="0.2">
      <c r="A422">
        <v>4110000</v>
      </c>
      <c r="B422" t="s">
        <v>421</v>
      </c>
      <c r="C422">
        <v>0</v>
      </c>
      <c r="D422">
        <v>0</v>
      </c>
      <c r="E422">
        <v>10000</v>
      </c>
      <c r="F422">
        <v>106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15</v>
      </c>
      <c r="Q422">
        <v>58</v>
      </c>
      <c r="R422">
        <v>0</v>
      </c>
      <c r="S422">
        <v>0</v>
      </c>
      <c r="T422">
        <v>21</v>
      </c>
      <c r="U422">
        <v>12</v>
      </c>
      <c r="V422">
        <v>19</v>
      </c>
      <c r="W422">
        <v>0</v>
      </c>
      <c r="X422">
        <v>0</v>
      </c>
    </row>
    <row r="423" spans="1:24" x14ac:dyDescent="0.2">
      <c r="A423">
        <v>4110100</v>
      </c>
      <c r="B423" t="s">
        <v>422</v>
      </c>
      <c r="C423">
        <v>200</v>
      </c>
      <c r="D423">
        <v>100</v>
      </c>
      <c r="E423">
        <v>10000</v>
      </c>
      <c r="F423">
        <v>106</v>
      </c>
      <c r="G423">
        <v>0</v>
      </c>
      <c r="H423">
        <v>0</v>
      </c>
      <c r="I423">
        <v>0</v>
      </c>
      <c r="J423">
        <v>0</v>
      </c>
      <c r="K423">
        <v>1</v>
      </c>
      <c r="L423">
        <v>0</v>
      </c>
      <c r="M423">
        <v>0</v>
      </c>
      <c r="N423">
        <v>0</v>
      </c>
      <c r="O423">
        <v>0</v>
      </c>
      <c r="P423">
        <v>42</v>
      </c>
      <c r="Q423">
        <v>0</v>
      </c>
      <c r="R423">
        <v>0</v>
      </c>
      <c r="S423">
        <v>0</v>
      </c>
      <c r="T423">
        <v>21</v>
      </c>
      <c r="U423">
        <v>12</v>
      </c>
      <c r="V423">
        <v>19</v>
      </c>
      <c r="W423">
        <v>0</v>
      </c>
      <c r="X423">
        <v>0</v>
      </c>
    </row>
    <row r="424" spans="1:24" x14ac:dyDescent="0.2">
      <c r="A424">
        <v>4110200</v>
      </c>
      <c r="B424" t="s">
        <v>423</v>
      </c>
      <c r="C424">
        <v>100</v>
      </c>
      <c r="D424">
        <v>5000</v>
      </c>
      <c r="E424">
        <v>10000</v>
      </c>
      <c r="F424">
        <v>106</v>
      </c>
      <c r="G424">
        <v>0</v>
      </c>
      <c r="H424">
        <v>0</v>
      </c>
      <c r="I424">
        <v>0</v>
      </c>
      <c r="J424">
        <v>0</v>
      </c>
      <c r="K424">
        <v>2</v>
      </c>
      <c r="L424">
        <v>0</v>
      </c>
      <c r="M424">
        <v>0</v>
      </c>
      <c r="N424">
        <v>0</v>
      </c>
      <c r="O424">
        <v>0</v>
      </c>
      <c r="P424">
        <v>7</v>
      </c>
      <c r="Q424">
        <v>55</v>
      </c>
      <c r="R424">
        <v>0</v>
      </c>
      <c r="S424">
        <v>0</v>
      </c>
      <c r="T424">
        <v>21</v>
      </c>
      <c r="U424">
        <v>12</v>
      </c>
      <c r="V424">
        <v>19</v>
      </c>
      <c r="W424">
        <v>0</v>
      </c>
      <c r="X424">
        <v>0</v>
      </c>
    </row>
    <row r="425" spans="1:24" x14ac:dyDescent="0.2">
      <c r="A425">
        <v>4110300</v>
      </c>
      <c r="B425" t="s">
        <v>424</v>
      </c>
      <c r="C425">
        <v>300</v>
      </c>
      <c r="D425">
        <v>300</v>
      </c>
      <c r="E425">
        <v>10000</v>
      </c>
      <c r="F425">
        <v>106</v>
      </c>
      <c r="G425">
        <v>0</v>
      </c>
      <c r="H425">
        <v>0</v>
      </c>
      <c r="I425">
        <v>0</v>
      </c>
      <c r="J425">
        <v>0</v>
      </c>
      <c r="K425">
        <v>8</v>
      </c>
      <c r="L425">
        <v>0</v>
      </c>
      <c r="M425">
        <v>0</v>
      </c>
      <c r="N425">
        <v>0</v>
      </c>
      <c r="O425">
        <v>0</v>
      </c>
      <c r="P425">
        <v>46</v>
      </c>
      <c r="Q425">
        <v>46</v>
      </c>
      <c r="R425">
        <v>0</v>
      </c>
      <c r="S425">
        <v>0</v>
      </c>
      <c r="T425">
        <v>21</v>
      </c>
      <c r="U425">
        <v>12</v>
      </c>
      <c r="V425">
        <v>19</v>
      </c>
      <c r="W425">
        <v>0</v>
      </c>
      <c r="X425">
        <v>0</v>
      </c>
    </row>
    <row r="426" spans="1:24" x14ac:dyDescent="0.2">
      <c r="A426">
        <v>4110400</v>
      </c>
      <c r="B426" t="s">
        <v>425</v>
      </c>
      <c r="C426">
        <v>500</v>
      </c>
      <c r="D426">
        <v>500</v>
      </c>
      <c r="E426">
        <v>10000</v>
      </c>
      <c r="F426">
        <v>106</v>
      </c>
      <c r="G426">
        <v>106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15</v>
      </c>
      <c r="Q426">
        <v>58</v>
      </c>
      <c r="R426">
        <v>73</v>
      </c>
      <c r="S426">
        <v>0</v>
      </c>
      <c r="T426">
        <v>21</v>
      </c>
      <c r="U426">
        <v>12</v>
      </c>
      <c r="V426">
        <v>19</v>
      </c>
      <c r="W426">
        <v>0</v>
      </c>
      <c r="X426">
        <v>0</v>
      </c>
    </row>
    <row r="427" spans="1:24" x14ac:dyDescent="0.2">
      <c r="A427">
        <v>4110500</v>
      </c>
      <c r="B427" t="s">
        <v>426</v>
      </c>
      <c r="C427">
        <v>400</v>
      </c>
      <c r="D427">
        <v>400</v>
      </c>
      <c r="E427">
        <v>10000</v>
      </c>
      <c r="F427">
        <v>106</v>
      </c>
      <c r="G427">
        <v>106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15</v>
      </c>
      <c r="Q427">
        <v>58</v>
      </c>
      <c r="R427">
        <v>73</v>
      </c>
      <c r="S427">
        <v>0</v>
      </c>
      <c r="T427">
        <v>21</v>
      </c>
      <c r="U427">
        <v>12</v>
      </c>
      <c r="V427">
        <v>19</v>
      </c>
      <c r="W427">
        <v>0</v>
      </c>
      <c r="X427">
        <v>0</v>
      </c>
    </row>
    <row r="428" spans="1:24" x14ac:dyDescent="0.2">
      <c r="A428">
        <v>4110600</v>
      </c>
      <c r="B428" t="s">
        <v>427</v>
      </c>
      <c r="C428">
        <v>600</v>
      </c>
      <c r="D428">
        <v>600</v>
      </c>
      <c r="E428">
        <v>10000</v>
      </c>
      <c r="F428">
        <v>106</v>
      </c>
      <c r="G428">
        <v>0</v>
      </c>
      <c r="H428">
        <v>106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15</v>
      </c>
      <c r="Q428">
        <v>58</v>
      </c>
      <c r="R428">
        <v>0</v>
      </c>
      <c r="S428">
        <v>0</v>
      </c>
      <c r="T428">
        <v>21</v>
      </c>
      <c r="U428">
        <v>12</v>
      </c>
      <c r="V428">
        <v>19</v>
      </c>
      <c r="W428">
        <v>0</v>
      </c>
      <c r="X428">
        <v>0</v>
      </c>
    </row>
    <row r="429" spans="1:24" x14ac:dyDescent="0.2">
      <c r="A429">
        <v>4110700</v>
      </c>
      <c r="B429" t="s">
        <v>428</v>
      </c>
      <c r="C429">
        <v>700</v>
      </c>
      <c r="D429">
        <v>700</v>
      </c>
      <c r="E429">
        <v>10000</v>
      </c>
      <c r="F429">
        <v>106</v>
      </c>
      <c r="G429">
        <v>0</v>
      </c>
      <c r="H429">
        <v>106</v>
      </c>
      <c r="I429">
        <v>0</v>
      </c>
      <c r="J429">
        <v>0</v>
      </c>
      <c r="K429">
        <v>0</v>
      </c>
      <c r="L429">
        <v>0</v>
      </c>
      <c r="M429">
        <v>4</v>
      </c>
      <c r="N429">
        <v>0</v>
      </c>
      <c r="O429">
        <v>0</v>
      </c>
      <c r="P429">
        <v>15</v>
      </c>
      <c r="Q429">
        <v>58</v>
      </c>
      <c r="R429">
        <v>73</v>
      </c>
      <c r="S429">
        <v>73</v>
      </c>
      <c r="T429">
        <v>21</v>
      </c>
      <c r="U429">
        <v>12</v>
      </c>
      <c r="V429">
        <v>19</v>
      </c>
      <c r="W429">
        <v>0</v>
      </c>
      <c r="X429">
        <v>0</v>
      </c>
    </row>
    <row r="430" spans="1:24" x14ac:dyDescent="0.2">
      <c r="A430">
        <v>4110800</v>
      </c>
      <c r="B430" t="s">
        <v>429</v>
      </c>
      <c r="C430">
        <v>800</v>
      </c>
      <c r="D430">
        <v>800</v>
      </c>
      <c r="E430">
        <v>10000</v>
      </c>
      <c r="F430">
        <v>106</v>
      </c>
      <c r="G430">
        <v>0</v>
      </c>
      <c r="H430">
        <v>0</v>
      </c>
      <c r="I430">
        <v>106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15</v>
      </c>
      <c r="Q430">
        <v>58</v>
      </c>
      <c r="R430">
        <v>0</v>
      </c>
      <c r="S430">
        <v>73</v>
      </c>
      <c r="T430">
        <v>21</v>
      </c>
      <c r="U430">
        <v>12</v>
      </c>
      <c r="V430">
        <v>19</v>
      </c>
      <c r="W430">
        <v>0</v>
      </c>
      <c r="X430">
        <v>0</v>
      </c>
    </row>
    <row r="431" spans="1:24" x14ac:dyDescent="0.2">
      <c r="A431">
        <v>4110900</v>
      </c>
      <c r="B431" t="s">
        <v>430</v>
      </c>
      <c r="C431">
        <v>900</v>
      </c>
      <c r="D431">
        <v>900</v>
      </c>
      <c r="E431">
        <v>10000</v>
      </c>
      <c r="F431">
        <v>106</v>
      </c>
      <c r="G431">
        <v>0</v>
      </c>
      <c r="H431">
        <v>0</v>
      </c>
      <c r="I431">
        <v>0</v>
      </c>
      <c r="J431">
        <v>106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15</v>
      </c>
      <c r="Q431">
        <v>58</v>
      </c>
      <c r="R431">
        <v>0</v>
      </c>
      <c r="S431">
        <v>0</v>
      </c>
      <c r="T431">
        <v>21</v>
      </c>
      <c r="U431">
        <v>12</v>
      </c>
      <c r="V431">
        <v>19</v>
      </c>
      <c r="W431">
        <v>0</v>
      </c>
      <c r="X431">
        <v>0</v>
      </c>
    </row>
    <row r="432" spans="1:24" x14ac:dyDescent="0.2">
      <c r="A432">
        <v>4111000</v>
      </c>
      <c r="B432" t="s">
        <v>431</v>
      </c>
      <c r="C432">
        <v>1000</v>
      </c>
      <c r="D432">
        <v>1000</v>
      </c>
      <c r="E432">
        <v>10000</v>
      </c>
      <c r="F432">
        <v>106</v>
      </c>
      <c r="G432">
        <v>0</v>
      </c>
      <c r="H432">
        <v>0</v>
      </c>
      <c r="I432">
        <v>0</v>
      </c>
      <c r="J432">
        <v>106</v>
      </c>
      <c r="K432">
        <v>0</v>
      </c>
      <c r="L432">
        <v>0</v>
      </c>
      <c r="M432">
        <v>0</v>
      </c>
      <c r="N432">
        <v>0</v>
      </c>
      <c r="O432">
        <v>4</v>
      </c>
      <c r="P432">
        <v>15</v>
      </c>
      <c r="Q432">
        <v>58</v>
      </c>
      <c r="R432">
        <v>73</v>
      </c>
      <c r="S432">
        <v>73</v>
      </c>
      <c r="T432">
        <v>21</v>
      </c>
      <c r="U432">
        <v>12</v>
      </c>
      <c r="V432">
        <v>19</v>
      </c>
      <c r="W432">
        <v>0</v>
      </c>
      <c r="X432">
        <v>0</v>
      </c>
    </row>
    <row r="433" spans="1:24" x14ac:dyDescent="0.2">
      <c r="A433">
        <v>4111100</v>
      </c>
      <c r="B433" t="s">
        <v>432</v>
      </c>
      <c r="C433">
        <v>1100</v>
      </c>
      <c r="D433">
        <v>1100</v>
      </c>
      <c r="E433">
        <v>10000</v>
      </c>
      <c r="F433">
        <v>106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15</v>
      </c>
      <c r="Q433">
        <v>58</v>
      </c>
      <c r="R433">
        <v>0</v>
      </c>
      <c r="S433">
        <v>0</v>
      </c>
      <c r="T433">
        <v>21</v>
      </c>
      <c r="U433">
        <v>12</v>
      </c>
      <c r="V433">
        <v>19</v>
      </c>
      <c r="W433">
        <v>0</v>
      </c>
      <c r="X433">
        <v>0</v>
      </c>
    </row>
    <row r="434" spans="1:24" x14ac:dyDescent="0.2">
      <c r="A434">
        <v>4111200</v>
      </c>
      <c r="B434" t="s">
        <v>433</v>
      </c>
      <c r="C434">
        <v>1200</v>
      </c>
      <c r="D434">
        <v>1200</v>
      </c>
      <c r="E434">
        <v>10000</v>
      </c>
      <c r="F434">
        <v>106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15</v>
      </c>
      <c r="Q434">
        <v>58</v>
      </c>
      <c r="R434">
        <v>0</v>
      </c>
      <c r="S434">
        <v>0</v>
      </c>
      <c r="T434">
        <v>21</v>
      </c>
      <c r="U434">
        <v>12</v>
      </c>
      <c r="V434">
        <v>19</v>
      </c>
      <c r="W434">
        <v>0</v>
      </c>
      <c r="X434">
        <v>0</v>
      </c>
    </row>
    <row r="435" spans="1:24" x14ac:dyDescent="0.2">
      <c r="A435">
        <v>4111300</v>
      </c>
      <c r="B435" t="s">
        <v>434</v>
      </c>
      <c r="C435">
        <v>1300</v>
      </c>
      <c r="D435">
        <v>1300</v>
      </c>
      <c r="E435">
        <v>10000</v>
      </c>
      <c r="F435">
        <v>111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15</v>
      </c>
      <c r="Q435">
        <v>58</v>
      </c>
      <c r="R435">
        <v>0</v>
      </c>
      <c r="S435">
        <v>0</v>
      </c>
      <c r="T435">
        <v>21</v>
      </c>
      <c r="U435">
        <v>12</v>
      </c>
      <c r="V435">
        <v>19</v>
      </c>
      <c r="W435">
        <v>0</v>
      </c>
      <c r="X435">
        <v>0</v>
      </c>
    </row>
    <row r="436" spans="1:24" x14ac:dyDescent="0.2">
      <c r="A436">
        <v>4111400</v>
      </c>
      <c r="B436" t="s">
        <v>435</v>
      </c>
      <c r="C436">
        <v>1400</v>
      </c>
      <c r="D436">
        <v>1400</v>
      </c>
      <c r="E436">
        <v>10014</v>
      </c>
      <c r="F436">
        <v>106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15</v>
      </c>
      <c r="Q436">
        <v>58</v>
      </c>
      <c r="R436">
        <v>0</v>
      </c>
      <c r="S436">
        <v>73</v>
      </c>
      <c r="T436">
        <v>21</v>
      </c>
      <c r="U436">
        <v>12</v>
      </c>
      <c r="V436">
        <v>19</v>
      </c>
      <c r="W436">
        <v>0</v>
      </c>
      <c r="X436">
        <v>0</v>
      </c>
    </row>
    <row r="437" spans="1:24" x14ac:dyDescent="0.2">
      <c r="A437">
        <v>4111500</v>
      </c>
      <c r="B437" t="s">
        <v>436</v>
      </c>
      <c r="C437">
        <v>1500</v>
      </c>
      <c r="D437">
        <v>1500</v>
      </c>
      <c r="E437">
        <v>10015</v>
      </c>
      <c r="F437">
        <v>106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15</v>
      </c>
      <c r="Q437">
        <v>58</v>
      </c>
      <c r="R437">
        <v>0</v>
      </c>
      <c r="S437">
        <v>0</v>
      </c>
      <c r="T437">
        <v>21</v>
      </c>
      <c r="U437">
        <v>12</v>
      </c>
      <c r="V437">
        <v>19</v>
      </c>
      <c r="W437">
        <v>0</v>
      </c>
      <c r="X437">
        <v>0</v>
      </c>
    </row>
    <row r="438" spans="1:24" x14ac:dyDescent="0.2">
      <c r="A438">
        <v>4120000</v>
      </c>
      <c r="B438" t="s">
        <v>437</v>
      </c>
      <c r="C438">
        <v>0</v>
      </c>
      <c r="D438">
        <v>0</v>
      </c>
      <c r="E438">
        <v>10000</v>
      </c>
      <c r="F438">
        <v>108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35</v>
      </c>
      <c r="Q438">
        <v>45</v>
      </c>
      <c r="R438">
        <v>0</v>
      </c>
      <c r="S438">
        <v>0</v>
      </c>
      <c r="T438">
        <v>24</v>
      </c>
      <c r="U438">
        <v>9</v>
      </c>
      <c r="V438">
        <v>14</v>
      </c>
      <c r="W438">
        <v>0</v>
      </c>
      <c r="X438">
        <v>0</v>
      </c>
    </row>
    <row r="439" spans="1:24" x14ac:dyDescent="0.2">
      <c r="A439">
        <v>4120100</v>
      </c>
      <c r="B439" t="s">
        <v>438</v>
      </c>
      <c r="C439">
        <v>200</v>
      </c>
      <c r="D439">
        <v>100</v>
      </c>
      <c r="E439">
        <v>10000</v>
      </c>
      <c r="F439">
        <v>108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41</v>
      </c>
      <c r="Q439">
        <v>0</v>
      </c>
      <c r="R439">
        <v>0</v>
      </c>
      <c r="S439">
        <v>0</v>
      </c>
      <c r="T439">
        <v>24</v>
      </c>
      <c r="U439">
        <v>9</v>
      </c>
      <c r="V439">
        <v>14</v>
      </c>
      <c r="W439">
        <v>0</v>
      </c>
      <c r="X439">
        <v>0</v>
      </c>
    </row>
    <row r="440" spans="1:24" x14ac:dyDescent="0.2">
      <c r="A440">
        <v>4120200</v>
      </c>
      <c r="B440" t="s">
        <v>439</v>
      </c>
      <c r="C440">
        <v>100</v>
      </c>
      <c r="D440">
        <v>200</v>
      </c>
      <c r="E440">
        <v>10000</v>
      </c>
      <c r="F440">
        <v>108</v>
      </c>
      <c r="G440">
        <v>0</v>
      </c>
      <c r="H440">
        <v>0</v>
      </c>
      <c r="I440">
        <v>0</v>
      </c>
      <c r="J440">
        <v>0</v>
      </c>
      <c r="K440">
        <v>2</v>
      </c>
      <c r="L440">
        <v>0</v>
      </c>
      <c r="M440">
        <v>0</v>
      </c>
      <c r="N440">
        <v>0</v>
      </c>
      <c r="O440">
        <v>0</v>
      </c>
      <c r="P440">
        <v>14</v>
      </c>
      <c r="Q440">
        <v>42</v>
      </c>
      <c r="R440">
        <v>0</v>
      </c>
      <c r="S440">
        <v>0</v>
      </c>
      <c r="T440">
        <v>24</v>
      </c>
      <c r="U440">
        <v>9</v>
      </c>
      <c r="V440">
        <v>14</v>
      </c>
      <c r="W440">
        <v>0</v>
      </c>
      <c r="X440">
        <v>0</v>
      </c>
    </row>
    <row r="441" spans="1:24" x14ac:dyDescent="0.2">
      <c r="A441">
        <v>4120300</v>
      </c>
      <c r="B441" t="s">
        <v>440</v>
      </c>
      <c r="C441">
        <v>300</v>
      </c>
      <c r="D441">
        <v>300</v>
      </c>
      <c r="E441">
        <v>10000</v>
      </c>
      <c r="F441">
        <v>108</v>
      </c>
      <c r="G441">
        <v>0</v>
      </c>
      <c r="H441">
        <v>0</v>
      </c>
      <c r="I441">
        <v>0</v>
      </c>
      <c r="J441">
        <v>0</v>
      </c>
      <c r="K441">
        <v>8</v>
      </c>
      <c r="L441">
        <v>0</v>
      </c>
      <c r="M441">
        <v>0</v>
      </c>
      <c r="N441">
        <v>0</v>
      </c>
      <c r="O441">
        <v>0</v>
      </c>
      <c r="P441">
        <v>45</v>
      </c>
      <c r="Q441">
        <v>50</v>
      </c>
      <c r="R441">
        <v>0</v>
      </c>
      <c r="S441">
        <v>0</v>
      </c>
      <c r="T441">
        <v>24</v>
      </c>
      <c r="U441">
        <v>9</v>
      </c>
      <c r="V441">
        <v>14</v>
      </c>
      <c r="W441">
        <v>0</v>
      </c>
      <c r="X441">
        <v>0</v>
      </c>
    </row>
    <row r="442" spans="1:24" x14ac:dyDescent="0.2">
      <c r="A442">
        <v>4120400</v>
      </c>
      <c r="B442" t="s">
        <v>441</v>
      </c>
      <c r="C442">
        <v>500</v>
      </c>
      <c r="D442">
        <v>500</v>
      </c>
      <c r="E442">
        <v>10000</v>
      </c>
      <c r="F442">
        <v>103</v>
      </c>
      <c r="G442">
        <v>103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35</v>
      </c>
      <c r="Q442">
        <v>45</v>
      </c>
      <c r="R442">
        <v>80</v>
      </c>
      <c r="S442">
        <v>0</v>
      </c>
      <c r="T442">
        <v>24</v>
      </c>
      <c r="U442">
        <v>9</v>
      </c>
      <c r="V442">
        <v>14</v>
      </c>
      <c r="W442">
        <v>0</v>
      </c>
      <c r="X442">
        <v>0</v>
      </c>
    </row>
    <row r="443" spans="1:24" x14ac:dyDescent="0.2">
      <c r="A443">
        <v>4120500</v>
      </c>
      <c r="B443" t="s">
        <v>442</v>
      </c>
      <c r="C443">
        <v>400</v>
      </c>
      <c r="D443">
        <v>400</v>
      </c>
      <c r="E443">
        <v>10000</v>
      </c>
      <c r="F443">
        <v>103</v>
      </c>
      <c r="G443">
        <v>103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35</v>
      </c>
      <c r="Q443">
        <v>45</v>
      </c>
      <c r="R443">
        <v>80</v>
      </c>
      <c r="S443">
        <v>0</v>
      </c>
      <c r="T443">
        <v>24</v>
      </c>
      <c r="U443">
        <v>9</v>
      </c>
      <c r="V443">
        <v>14</v>
      </c>
      <c r="W443">
        <v>0</v>
      </c>
      <c r="X443">
        <v>0</v>
      </c>
    </row>
    <row r="444" spans="1:24" x14ac:dyDescent="0.2">
      <c r="A444">
        <v>4120600</v>
      </c>
      <c r="B444" t="s">
        <v>443</v>
      </c>
      <c r="C444">
        <v>600</v>
      </c>
      <c r="D444">
        <v>600</v>
      </c>
      <c r="E444">
        <v>10000</v>
      </c>
      <c r="F444">
        <v>103</v>
      </c>
      <c r="G444">
        <v>0</v>
      </c>
      <c r="H444">
        <v>103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35</v>
      </c>
      <c r="Q444">
        <v>45</v>
      </c>
      <c r="R444">
        <v>0</v>
      </c>
      <c r="S444">
        <v>0</v>
      </c>
      <c r="T444">
        <v>24</v>
      </c>
      <c r="U444">
        <v>9</v>
      </c>
      <c r="V444">
        <v>14</v>
      </c>
      <c r="W444">
        <v>0</v>
      </c>
      <c r="X444">
        <v>0</v>
      </c>
    </row>
    <row r="445" spans="1:24" x14ac:dyDescent="0.2">
      <c r="A445">
        <v>4120700</v>
      </c>
      <c r="B445" t="s">
        <v>444</v>
      </c>
      <c r="C445">
        <v>700</v>
      </c>
      <c r="D445">
        <v>700</v>
      </c>
      <c r="E445">
        <v>10000</v>
      </c>
      <c r="F445">
        <v>103</v>
      </c>
      <c r="G445">
        <v>0</v>
      </c>
      <c r="H445">
        <v>103</v>
      </c>
      <c r="I445">
        <v>0</v>
      </c>
      <c r="J445">
        <v>0</v>
      </c>
      <c r="K445">
        <v>0</v>
      </c>
      <c r="L445">
        <v>0</v>
      </c>
      <c r="M445">
        <v>4</v>
      </c>
      <c r="N445">
        <v>0</v>
      </c>
      <c r="O445">
        <v>0</v>
      </c>
      <c r="P445">
        <v>35</v>
      </c>
      <c r="Q445">
        <v>45</v>
      </c>
      <c r="R445">
        <v>80</v>
      </c>
      <c r="S445">
        <v>80</v>
      </c>
      <c r="T445">
        <v>24</v>
      </c>
      <c r="U445">
        <v>9</v>
      </c>
      <c r="V445">
        <v>14</v>
      </c>
      <c r="W445">
        <v>0</v>
      </c>
      <c r="X445">
        <v>0</v>
      </c>
    </row>
    <row r="446" spans="1:24" x14ac:dyDescent="0.2">
      <c r="A446">
        <v>4120800</v>
      </c>
      <c r="B446" t="s">
        <v>445</v>
      </c>
      <c r="C446">
        <v>800</v>
      </c>
      <c r="D446">
        <v>800</v>
      </c>
      <c r="E446">
        <v>10000</v>
      </c>
      <c r="F446">
        <v>103</v>
      </c>
      <c r="G446">
        <v>0</v>
      </c>
      <c r="H446">
        <v>0</v>
      </c>
      <c r="I446">
        <v>103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35</v>
      </c>
      <c r="Q446">
        <v>45</v>
      </c>
      <c r="R446">
        <v>0</v>
      </c>
      <c r="S446">
        <v>80</v>
      </c>
      <c r="T446">
        <v>24</v>
      </c>
      <c r="U446">
        <v>9</v>
      </c>
      <c r="V446">
        <v>14</v>
      </c>
      <c r="W446">
        <v>0</v>
      </c>
      <c r="X446">
        <v>0</v>
      </c>
    </row>
    <row r="447" spans="1:24" x14ac:dyDescent="0.2">
      <c r="A447">
        <v>4120900</v>
      </c>
      <c r="B447" t="s">
        <v>446</v>
      </c>
      <c r="C447">
        <v>900</v>
      </c>
      <c r="D447">
        <v>900</v>
      </c>
      <c r="E447">
        <v>10000</v>
      </c>
      <c r="F447">
        <v>103</v>
      </c>
      <c r="G447">
        <v>0</v>
      </c>
      <c r="H447">
        <v>0</v>
      </c>
      <c r="I447">
        <v>0</v>
      </c>
      <c r="J447">
        <v>103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35</v>
      </c>
      <c r="Q447">
        <v>45</v>
      </c>
      <c r="R447">
        <v>0</v>
      </c>
      <c r="S447">
        <v>0</v>
      </c>
      <c r="T447">
        <v>24</v>
      </c>
      <c r="U447">
        <v>9</v>
      </c>
      <c r="V447">
        <v>14</v>
      </c>
      <c r="W447">
        <v>0</v>
      </c>
      <c r="X447">
        <v>0</v>
      </c>
    </row>
    <row r="448" spans="1:24" x14ac:dyDescent="0.2">
      <c r="A448">
        <v>4121000</v>
      </c>
      <c r="B448" t="s">
        <v>447</v>
      </c>
      <c r="C448">
        <v>1000</v>
      </c>
      <c r="D448">
        <v>1000</v>
      </c>
      <c r="E448">
        <v>10000</v>
      </c>
      <c r="F448">
        <v>103</v>
      </c>
      <c r="G448">
        <v>0</v>
      </c>
      <c r="H448">
        <v>0</v>
      </c>
      <c r="I448">
        <v>0</v>
      </c>
      <c r="J448">
        <v>103</v>
      </c>
      <c r="K448">
        <v>0</v>
      </c>
      <c r="L448">
        <v>0</v>
      </c>
      <c r="M448">
        <v>0</v>
      </c>
      <c r="N448">
        <v>0</v>
      </c>
      <c r="O448">
        <v>4</v>
      </c>
      <c r="P448">
        <v>35</v>
      </c>
      <c r="Q448">
        <v>45</v>
      </c>
      <c r="R448">
        <v>80</v>
      </c>
      <c r="S448">
        <v>80</v>
      </c>
      <c r="T448">
        <v>24</v>
      </c>
      <c r="U448">
        <v>9</v>
      </c>
      <c r="V448">
        <v>14</v>
      </c>
      <c r="W448">
        <v>0</v>
      </c>
      <c r="X448">
        <v>0</v>
      </c>
    </row>
    <row r="449" spans="1:24" x14ac:dyDescent="0.2">
      <c r="A449">
        <v>4121100</v>
      </c>
      <c r="B449" t="s">
        <v>448</v>
      </c>
      <c r="C449">
        <v>1100</v>
      </c>
      <c r="D449">
        <v>1100</v>
      </c>
      <c r="E449">
        <v>10000</v>
      </c>
      <c r="F449">
        <v>108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35</v>
      </c>
      <c r="Q449">
        <v>45</v>
      </c>
      <c r="R449">
        <v>0</v>
      </c>
      <c r="S449">
        <v>0</v>
      </c>
      <c r="T449">
        <v>24</v>
      </c>
      <c r="U449">
        <v>9</v>
      </c>
      <c r="V449">
        <v>14</v>
      </c>
      <c r="W449">
        <v>0</v>
      </c>
      <c r="X449">
        <v>0</v>
      </c>
    </row>
    <row r="450" spans="1:24" x14ac:dyDescent="0.2">
      <c r="A450">
        <v>4121200</v>
      </c>
      <c r="B450" t="s">
        <v>449</v>
      </c>
      <c r="C450">
        <v>1200</v>
      </c>
      <c r="D450">
        <v>1200</v>
      </c>
      <c r="E450">
        <v>10000</v>
      </c>
      <c r="F450">
        <v>108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35</v>
      </c>
      <c r="Q450">
        <v>45</v>
      </c>
      <c r="R450">
        <v>0</v>
      </c>
      <c r="S450">
        <v>0</v>
      </c>
      <c r="T450">
        <v>24</v>
      </c>
      <c r="U450">
        <v>9</v>
      </c>
      <c r="V450">
        <v>14</v>
      </c>
      <c r="W450">
        <v>0</v>
      </c>
      <c r="X450">
        <v>0</v>
      </c>
    </row>
    <row r="451" spans="1:24" x14ac:dyDescent="0.2">
      <c r="A451">
        <v>4121300</v>
      </c>
      <c r="B451" t="s">
        <v>450</v>
      </c>
      <c r="C451">
        <v>1300</v>
      </c>
      <c r="D451">
        <v>1300</v>
      </c>
      <c r="E451">
        <v>10000</v>
      </c>
      <c r="F451">
        <v>108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35</v>
      </c>
      <c r="Q451">
        <v>45</v>
      </c>
      <c r="R451">
        <v>0</v>
      </c>
      <c r="S451">
        <v>0</v>
      </c>
      <c r="T451">
        <v>24</v>
      </c>
      <c r="U451">
        <v>9</v>
      </c>
      <c r="V451">
        <v>14</v>
      </c>
      <c r="W451">
        <v>0</v>
      </c>
      <c r="X451">
        <v>0</v>
      </c>
    </row>
    <row r="452" spans="1:24" x14ac:dyDescent="0.2">
      <c r="A452">
        <v>4121400</v>
      </c>
      <c r="B452" t="s">
        <v>451</v>
      </c>
      <c r="C452">
        <v>1400</v>
      </c>
      <c r="D452">
        <v>1400</v>
      </c>
      <c r="E452">
        <v>10014</v>
      </c>
      <c r="F452">
        <v>103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35</v>
      </c>
      <c r="Q452">
        <v>45</v>
      </c>
      <c r="R452">
        <v>0</v>
      </c>
      <c r="S452">
        <v>80</v>
      </c>
      <c r="T452">
        <v>24</v>
      </c>
      <c r="U452">
        <v>9</v>
      </c>
      <c r="V452">
        <v>14</v>
      </c>
      <c r="W452">
        <v>0</v>
      </c>
      <c r="X452">
        <v>0</v>
      </c>
    </row>
    <row r="453" spans="1:24" x14ac:dyDescent="0.2">
      <c r="A453">
        <v>4121500</v>
      </c>
      <c r="B453" t="s">
        <v>452</v>
      </c>
      <c r="C453">
        <v>1500</v>
      </c>
      <c r="D453">
        <v>1500</v>
      </c>
      <c r="E453">
        <v>10015</v>
      </c>
      <c r="F453">
        <v>108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35</v>
      </c>
      <c r="Q453">
        <v>45</v>
      </c>
      <c r="R453">
        <v>0</v>
      </c>
      <c r="S453">
        <v>0</v>
      </c>
      <c r="T453">
        <v>24</v>
      </c>
      <c r="U453">
        <v>9</v>
      </c>
      <c r="V453">
        <v>14</v>
      </c>
      <c r="W453">
        <v>0</v>
      </c>
      <c r="X453">
        <v>0</v>
      </c>
    </row>
    <row r="454" spans="1:24" x14ac:dyDescent="0.2">
      <c r="A454">
        <v>4130000</v>
      </c>
      <c r="B454" t="s">
        <v>453</v>
      </c>
      <c r="C454">
        <v>2000</v>
      </c>
      <c r="D454">
        <v>2500</v>
      </c>
      <c r="E454">
        <v>16000</v>
      </c>
      <c r="F454">
        <v>0</v>
      </c>
      <c r="G454">
        <v>0</v>
      </c>
      <c r="H454">
        <v>90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10</v>
      </c>
      <c r="R454">
        <v>43</v>
      </c>
      <c r="S454">
        <v>43</v>
      </c>
      <c r="T454">
        <v>3</v>
      </c>
      <c r="U454">
        <v>0</v>
      </c>
      <c r="V454">
        <v>16</v>
      </c>
      <c r="W454">
        <v>17</v>
      </c>
      <c r="X454">
        <v>17</v>
      </c>
    </row>
    <row r="455" spans="1:24" x14ac:dyDescent="0.2">
      <c r="A455">
        <v>5000000</v>
      </c>
      <c r="B455" t="s">
        <v>454</v>
      </c>
      <c r="C455">
        <v>0</v>
      </c>
      <c r="D455">
        <v>0</v>
      </c>
      <c r="E455">
        <v>10000</v>
      </c>
      <c r="F455">
        <v>115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10</v>
      </c>
      <c r="Q455">
        <v>55</v>
      </c>
      <c r="R455">
        <v>0</v>
      </c>
      <c r="S455">
        <v>0</v>
      </c>
      <c r="T455">
        <v>21</v>
      </c>
      <c r="U455">
        <v>11</v>
      </c>
      <c r="V455">
        <v>16</v>
      </c>
      <c r="W455">
        <v>0</v>
      </c>
      <c r="X455">
        <v>0</v>
      </c>
    </row>
    <row r="456" spans="1:24" x14ac:dyDescent="0.2">
      <c r="A456">
        <v>5000100</v>
      </c>
      <c r="B456" t="s">
        <v>455</v>
      </c>
      <c r="C456">
        <v>200</v>
      </c>
      <c r="D456">
        <v>100</v>
      </c>
      <c r="E456">
        <v>10000</v>
      </c>
      <c r="F456">
        <v>115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32</v>
      </c>
      <c r="Q456">
        <v>0</v>
      </c>
      <c r="R456">
        <v>0</v>
      </c>
      <c r="S456">
        <v>0</v>
      </c>
      <c r="T456">
        <v>21</v>
      </c>
      <c r="U456">
        <v>11</v>
      </c>
      <c r="V456">
        <v>16</v>
      </c>
      <c r="W456">
        <v>0</v>
      </c>
      <c r="X456">
        <v>0</v>
      </c>
    </row>
    <row r="457" spans="1:24" x14ac:dyDescent="0.2">
      <c r="A457">
        <v>5000200</v>
      </c>
      <c r="B457" t="s">
        <v>456</v>
      </c>
      <c r="C457">
        <v>100</v>
      </c>
      <c r="D457">
        <v>5000</v>
      </c>
      <c r="E457">
        <v>10000</v>
      </c>
      <c r="F457">
        <v>115</v>
      </c>
      <c r="G457">
        <v>0</v>
      </c>
      <c r="H457">
        <v>0</v>
      </c>
      <c r="I457">
        <v>0</v>
      </c>
      <c r="J457">
        <v>0</v>
      </c>
      <c r="K457">
        <v>2</v>
      </c>
      <c r="L457">
        <v>0</v>
      </c>
      <c r="M457">
        <v>0</v>
      </c>
      <c r="N457">
        <v>0</v>
      </c>
      <c r="O457">
        <v>0</v>
      </c>
      <c r="P457">
        <v>6</v>
      </c>
      <c r="Q457">
        <v>49</v>
      </c>
      <c r="R457">
        <v>0</v>
      </c>
      <c r="S457">
        <v>0</v>
      </c>
      <c r="T457">
        <v>21</v>
      </c>
      <c r="U457">
        <v>11</v>
      </c>
      <c r="V457">
        <v>16</v>
      </c>
      <c r="W457">
        <v>0</v>
      </c>
      <c r="X457">
        <v>0</v>
      </c>
    </row>
    <row r="458" spans="1:24" x14ac:dyDescent="0.2">
      <c r="A458">
        <v>5000300</v>
      </c>
      <c r="B458" t="s">
        <v>457</v>
      </c>
      <c r="C458">
        <v>300</v>
      </c>
      <c r="D458">
        <v>300</v>
      </c>
      <c r="E458">
        <v>10000</v>
      </c>
      <c r="F458">
        <v>115</v>
      </c>
      <c r="G458">
        <v>0</v>
      </c>
      <c r="H458">
        <v>0</v>
      </c>
      <c r="I458">
        <v>0</v>
      </c>
      <c r="J458">
        <v>0</v>
      </c>
      <c r="K458">
        <v>8</v>
      </c>
      <c r="L458">
        <v>0</v>
      </c>
      <c r="M458">
        <v>0</v>
      </c>
      <c r="N458">
        <v>0</v>
      </c>
      <c r="O458">
        <v>0</v>
      </c>
      <c r="P458">
        <v>37</v>
      </c>
      <c r="Q458">
        <v>37</v>
      </c>
      <c r="R458">
        <v>0</v>
      </c>
      <c r="S458">
        <v>0</v>
      </c>
      <c r="T458">
        <v>21</v>
      </c>
      <c r="U458">
        <v>11</v>
      </c>
      <c r="V458">
        <v>16</v>
      </c>
      <c r="W458">
        <v>0</v>
      </c>
      <c r="X458">
        <v>0</v>
      </c>
    </row>
    <row r="459" spans="1:24" x14ac:dyDescent="0.2">
      <c r="A459">
        <v>5000400</v>
      </c>
      <c r="B459" t="s">
        <v>458</v>
      </c>
      <c r="C459">
        <v>500</v>
      </c>
      <c r="D459">
        <v>500</v>
      </c>
      <c r="E459">
        <v>10000</v>
      </c>
      <c r="F459">
        <v>108</v>
      </c>
      <c r="G459">
        <v>108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10</v>
      </c>
      <c r="Q459">
        <v>55</v>
      </c>
      <c r="R459">
        <v>65</v>
      </c>
      <c r="S459">
        <v>0</v>
      </c>
      <c r="T459">
        <v>21</v>
      </c>
      <c r="U459">
        <v>11</v>
      </c>
      <c r="V459">
        <v>16</v>
      </c>
      <c r="W459">
        <v>0</v>
      </c>
      <c r="X459">
        <v>0</v>
      </c>
    </row>
    <row r="460" spans="1:24" x14ac:dyDescent="0.2">
      <c r="A460">
        <v>5000500</v>
      </c>
      <c r="B460" t="s">
        <v>459</v>
      </c>
      <c r="C460">
        <v>400</v>
      </c>
      <c r="D460">
        <v>400</v>
      </c>
      <c r="E460">
        <v>10000</v>
      </c>
      <c r="F460">
        <v>108</v>
      </c>
      <c r="G460">
        <v>108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10</v>
      </c>
      <c r="Q460">
        <v>55</v>
      </c>
      <c r="R460">
        <v>65</v>
      </c>
      <c r="S460">
        <v>0</v>
      </c>
      <c r="T460">
        <v>21</v>
      </c>
      <c r="U460">
        <v>11</v>
      </c>
      <c r="V460">
        <v>16</v>
      </c>
      <c r="W460">
        <v>0</v>
      </c>
      <c r="X460">
        <v>0</v>
      </c>
    </row>
    <row r="461" spans="1:24" x14ac:dyDescent="0.2">
      <c r="A461">
        <v>5000600</v>
      </c>
      <c r="B461" t="s">
        <v>460</v>
      </c>
      <c r="C461">
        <v>600</v>
      </c>
      <c r="D461">
        <v>600</v>
      </c>
      <c r="E461">
        <v>10000</v>
      </c>
      <c r="F461">
        <v>105</v>
      </c>
      <c r="G461">
        <v>0</v>
      </c>
      <c r="H461">
        <v>105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10</v>
      </c>
      <c r="Q461">
        <v>55</v>
      </c>
      <c r="R461">
        <v>0</v>
      </c>
      <c r="S461">
        <v>0</v>
      </c>
      <c r="T461">
        <v>21</v>
      </c>
      <c r="U461">
        <v>11</v>
      </c>
      <c r="V461">
        <v>16</v>
      </c>
      <c r="W461">
        <v>0</v>
      </c>
      <c r="X461">
        <v>0</v>
      </c>
    </row>
    <row r="462" spans="1:24" x14ac:dyDescent="0.2">
      <c r="A462">
        <v>5000700</v>
      </c>
      <c r="B462" t="s">
        <v>461</v>
      </c>
      <c r="C462">
        <v>700</v>
      </c>
      <c r="D462">
        <v>700</v>
      </c>
      <c r="E462">
        <v>10000</v>
      </c>
      <c r="F462">
        <v>108</v>
      </c>
      <c r="G462">
        <v>0</v>
      </c>
      <c r="H462">
        <v>108</v>
      </c>
      <c r="I462">
        <v>0</v>
      </c>
      <c r="J462">
        <v>0</v>
      </c>
      <c r="K462">
        <v>0</v>
      </c>
      <c r="L462">
        <v>0</v>
      </c>
      <c r="M462">
        <v>4</v>
      </c>
      <c r="N462">
        <v>0</v>
      </c>
      <c r="O462">
        <v>0</v>
      </c>
      <c r="P462">
        <v>10</v>
      </c>
      <c r="Q462">
        <v>55</v>
      </c>
      <c r="R462">
        <v>65</v>
      </c>
      <c r="S462">
        <v>65</v>
      </c>
      <c r="T462">
        <v>21</v>
      </c>
      <c r="U462">
        <v>11</v>
      </c>
      <c r="V462">
        <v>16</v>
      </c>
      <c r="W462">
        <v>0</v>
      </c>
      <c r="X462">
        <v>0</v>
      </c>
    </row>
    <row r="463" spans="1:24" x14ac:dyDescent="0.2">
      <c r="A463">
        <v>5000800</v>
      </c>
      <c r="B463" t="s">
        <v>462</v>
      </c>
      <c r="C463">
        <v>800</v>
      </c>
      <c r="D463">
        <v>800</v>
      </c>
      <c r="E463">
        <v>10000</v>
      </c>
      <c r="F463">
        <v>108</v>
      </c>
      <c r="G463">
        <v>0</v>
      </c>
      <c r="H463">
        <v>0</v>
      </c>
      <c r="I463">
        <v>108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10</v>
      </c>
      <c r="Q463">
        <v>55</v>
      </c>
      <c r="R463">
        <v>0</v>
      </c>
      <c r="S463">
        <v>65</v>
      </c>
      <c r="T463">
        <v>21</v>
      </c>
      <c r="U463">
        <v>11</v>
      </c>
      <c r="V463">
        <v>16</v>
      </c>
      <c r="W463">
        <v>0</v>
      </c>
      <c r="X463">
        <v>0</v>
      </c>
    </row>
    <row r="464" spans="1:24" x14ac:dyDescent="0.2">
      <c r="A464">
        <v>5000900</v>
      </c>
      <c r="B464" t="s">
        <v>463</v>
      </c>
      <c r="C464">
        <v>900</v>
      </c>
      <c r="D464">
        <v>900</v>
      </c>
      <c r="E464">
        <v>10000</v>
      </c>
      <c r="F464">
        <v>105</v>
      </c>
      <c r="G464">
        <v>0</v>
      </c>
      <c r="H464">
        <v>0</v>
      </c>
      <c r="I464">
        <v>0</v>
      </c>
      <c r="J464">
        <v>105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10</v>
      </c>
      <c r="Q464">
        <v>55</v>
      </c>
      <c r="R464">
        <v>0</v>
      </c>
      <c r="S464">
        <v>0</v>
      </c>
      <c r="T464">
        <v>21</v>
      </c>
      <c r="U464">
        <v>11</v>
      </c>
      <c r="V464">
        <v>16</v>
      </c>
      <c r="W464">
        <v>0</v>
      </c>
      <c r="X464">
        <v>0</v>
      </c>
    </row>
    <row r="465" spans="1:24" x14ac:dyDescent="0.2">
      <c r="A465">
        <v>5001000</v>
      </c>
      <c r="B465" t="s">
        <v>464</v>
      </c>
      <c r="C465">
        <v>1000</v>
      </c>
      <c r="D465">
        <v>1000</v>
      </c>
      <c r="E465">
        <v>10000</v>
      </c>
      <c r="F465">
        <v>108</v>
      </c>
      <c r="G465">
        <v>0</v>
      </c>
      <c r="H465">
        <v>0</v>
      </c>
      <c r="I465">
        <v>0</v>
      </c>
      <c r="J465">
        <v>108</v>
      </c>
      <c r="K465">
        <v>0</v>
      </c>
      <c r="L465">
        <v>0</v>
      </c>
      <c r="M465">
        <v>0</v>
      </c>
      <c r="N465">
        <v>0</v>
      </c>
      <c r="O465">
        <v>4</v>
      </c>
      <c r="P465">
        <v>10</v>
      </c>
      <c r="Q465">
        <v>55</v>
      </c>
      <c r="R465">
        <v>65</v>
      </c>
      <c r="S465">
        <v>65</v>
      </c>
      <c r="T465">
        <v>21</v>
      </c>
      <c r="U465">
        <v>11</v>
      </c>
      <c r="V465">
        <v>16</v>
      </c>
      <c r="W465">
        <v>0</v>
      </c>
      <c r="X465">
        <v>0</v>
      </c>
    </row>
    <row r="466" spans="1:24" x14ac:dyDescent="0.2">
      <c r="A466">
        <v>5001100</v>
      </c>
      <c r="B466" t="s">
        <v>465</v>
      </c>
      <c r="C466">
        <v>1100</v>
      </c>
      <c r="D466">
        <v>1100</v>
      </c>
      <c r="E466">
        <v>10000</v>
      </c>
      <c r="F466">
        <v>115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10</v>
      </c>
      <c r="Q466">
        <v>55</v>
      </c>
      <c r="R466">
        <v>0</v>
      </c>
      <c r="S466">
        <v>0</v>
      </c>
      <c r="T466">
        <v>21</v>
      </c>
      <c r="U466">
        <v>11</v>
      </c>
      <c r="V466">
        <v>16</v>
      </c>
      <c r="W466">
        <v>0</v>
      </c>
      <c r="X466">
        <v>0</v>
      </c>
    </row>
    <row r="467" spans="1:24" x14ac:dyDescent="0.2">
      <c r="A467">
        <v>5001200</v>
      </c>
      <c r="B467" t="s">
        <v>466</v>
      </c>
      <c r="C467">
        <v>1200</v>
      </c>
      <c r="D467">
        <v>1200</v>
      </c>
      <c r="E467">
        <v>10000</v>
      </c>
      <c r="F467">
        <v>115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10</v>
      </c>
      <c r="Q467">
        <v>55</v>
      </c>
      <c r="R467">
        <v>0</v>
      </c>
      <c r="S467">
        <v>0</v>
      </c>
      <c r="T467">
        <v>21</v>
      </c>
      <c r="U467">
        <v>11</v>
      </c>
      <c r="V467">
        <v>16</v>
      </c>
      <c r="W467">
        <v>0</v>
      </c>
      <c r="X467">
        <v>0</v>
      </c>
    </row>
    <row r="468" spans="1:24" x14ac:dyDescent="0.2">
      <c r="A468">
        <v>5001300</v>
      </c>
      <c r="B468" t="s">
        <v>467</v>
      </c>
      <c r="C468">
        <v>1300</v>
      </c>
      <c r="D468">
        <v>1300</v>
      </c>
      <c r="E468">
        <v>10000</v>
      </c>
      <c r="F468">
        <v>110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10</v>
      </c>
      <c r="Q468">
        <v>55</v>
      </c>
      <c r="R468">
        <v>0</v>
      </c>
      <c r="S468">
        <v>0</v>
      </c>
      <c r="T468">
        <v>21</v>
      </c>
      <c r="U468">
        <v>11</v>
      </c>
      <c r="V468">
        <v>16</v>
      </c>
      <c r="W468">
        <v>0</v>
      </c>
      <c r="X468">
        <v>0</v>
      </c>
    </row>
    <row r="469" spans="1:24" x14ac:dyDescent="0.2">
      <c r="A469">
        <v>5001400</v>
      </c>
      <c r="B469" t="s">
        <v>468</v>
      </c>
      <c r="C469">
        <v>1400</v>
      </c>
      <c r="D469">
        <v>1400</v>
      </c>
      <c r="E469">
        <v>10014</v>
      </c>
      <c r="F469">
        <v>108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10</v>
      </c>
      <c r="Q469">
        <v>55</v>
      </c>
      <c r="R469">
        <v>0</v>
      </c>
      <c r="S469">
        <v>65</v>
      </c>
      <c r="T469">
        <v>21</v>
      </c>
      <c r="U469">
        <v>11</v>
      </c>
      <c r="V469">
        <v>16</v>
      </c>
      <c r="W469">
        <v>0</v>
      </c>
      <c r="X469">
        <v>0</v>
      </c>
    </row>
    <row r="470" spans="1:24" x14ac:dyDescent="0.2">
      <c r="A470">
        <v>5001500</v>
      </c>
      <c r="B470" t="s">
        <v>469</v>
      </c>
      <c r="C470">
        <v>1500</v>
      </c>
      <c r="D470">
        <v>1500</v>
      </c>
      <c r="E470">
        <v>10015</v>
      </c>
      <c r="F470">
        <v>115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10</v>
      </c>
      <c r="Q470">
        <v>55</v>
      </c>
      <c r="R470">
        <v>0</v>
      </c>
      <c r="S470">
        <v>0</v>
      </c>
      <c r="T470">
        <v>21</v>
      </c>
      <c r="U470">
        <v>11</v>
      </c>
      <c r="V470">
        <v>16</v>
      </c>
      <c r="W470">
        <v>0</v>
      </c>
      <c r="X470">
        <v>0</v>
      </c>
    </row>
    <row r="471" spans="1:24" x14ac:dyDescent="0.2">
      <c r="A471">
        <v>5010000</v>
      </c>
      <c r="B471" t="s">
        <v>470</v>
      </c>
      <c r="C471">
        <v>0</v>
      </c>
      <c r="D471">
        <v>0</v>
      </c>
      <c r="E471">
        <v>10000</v>
      </c>
      <c r="F471">
        <v>121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15</v>
      </c>
      <c r="Q471">
        <v>50</v>
      </c>
      <c r="R471">
        <v>0</v>
      </c>
      <c r="S471">
        <v>0</v>
      </c>
      <c r="T471">
        <v>20</v>
      </c>
      <c r="U471">
        <v>18</v>
      </c>
      <c r="V471">
        <v>20</v>
      </c>
      <c r="W471">
        <v>0</v>
      </c>
      <c r="X471">
        <v>0</v>
      </c>
    </row>
    <row r="472" spans="1:24" x14ac:dyDescent="0.2">
      <c r="A472">
        <v>5010100</v>
      </c>
      <c r="B472" t="s">
        <v>471</v>
      </c>
      <c r="C472">
        <v>200</v>
      </c>
      <c r="D472">
        <v>100</v>
      </c>
      <c r="E472">
        <v>10000</v>
      </c>
      <c r="F472">
        <v>121</v>
      </c>
      <c r="G472">
        <v>0</v>
      </c>
      <c r="H472">
        <v>0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32</v>
      </c>
      <c r="Q472">
        <v>0</v>
      </c>
      <c r="R472">
        <v>0</v>
      </c>
      <c r="S472">
        <v>0</v>
      </c>
      <c r="T472">
        <v>20</v>
      </c>
      <c r="U472">
        <v>18</v>
      </c>
      <c r="V472">
        <v>20</v>
      </c>
      <c r="W472">
        <v>0</v>
      </c>
      <c r="X472">
        <v>0</v>
      </c>
    </row>
    <row r="473" spans="1:24" x14ac:dyDescent="0.2">
      <c r="A473">
        <v>5010200</v>
      </c>
      <c r="B473" t="s">
        <v>472</v>
      </c>
      <c r="C473">
        <v>100</v>
      </c>
      <c r="D473">
        <v>5000</v>
      </c>
      <c r="E473">
        <v>10000</v>
      </c>
      <c r="F473">
        <v>121</v>
      </c>
      <c r="G473">
        <v>0</v>
      </c>
      <c r="H473">
        <v>0</v>
      </c>
      <c r="I473">
        <v>0</v>
      </c>
      <c r="J473">
        <v>0</v>
      </c>
      <c r="K473">
        <v>2</v>
      </c>
      <c r="L473">
        <v>0</v>
      </c>
      <c r="M473">
        <v>0</v>
      </c>
      <c r="N473">
        <v>0</v>
      </c>
      <c r="O473">
        <v>0</v>
      </c>
      <c r="P473">
        <v>9</v>
      </c>
      <c r="Q473">
        <v>45</v>
      </c>
      <c r="R473">
        <v>0</v>
      </c>
      <c r="S473">
        <v>0</v>
      </c>
      <c r="T473">
        <v>20</v>
      </c>
      <c r="U473">
        <v>18</v>
      </c>
      <c r="V473">
        <v>20</v>
      </c>
      <c r="W473">
        <v>0</v>
      </c>
      <c r="X473">
        <v>0</v>
      </c>
    </row>
    <row r="474" spans="1:24" x14ac:dyDescent="0.2">
      <c r="A474">
        <v>5010300</v>
      </c>
      <c r="B474" t="s">
        <v>473</v>
      </c>
      <c r="C474">
        <v>300</v>
      </c>
      <c r="D474">
        <v>300</v>
      </c>
      <c r="E474">
        <v>10000</v>
      </c>
      <c r="F474">
        <v>121</v>
      </c>
      <c r="G474">
        <v>0</v>
      </c>
      <c r="H474">
        <v>0</v>
      </c>
      <c r="I474">
        <v>0</v>
      </c>
      <c r="J474">
        <v>0</v>
      </c>
      <c r="K474">
        <v>8</v>
      </c>
      <c r="L474">
        <v>0</v>
      </c>
      <c r="M474">
        <v>0</v>
      </c>
      <c r="N474">
        <v>0</v>
      </c>
      <c r="O474">
        <v>0</v>
      </c>
      <c r="P474">
        <v>37</v>
      </c>
      <c r="Q474">
        <v>37</v>
      </c>
      <c r="R474">
        <v>0</v>
      </c>
      <c r="S474">
        <v>0</v>
      </c>
      <c r="T474">
        <v>20</v>
      </c>
      <c r="U474">
        <v>18</v>
      </c>
      <c r="V474">
        <v>20</v>
      </c>
      <c r="W474">
        <v>0</v>
      </c>
      <c r="X474">
        <v>0</v>
      </c>
    </row>
    <row r="475" spans="1:24" x14ac:dyDescent="0.2">
      <c r="A475">
        <v>5010400</v>
      </c>
      <c r="B475" t="s">
        <v>474</v>
      </c>
      <c r="C475">
        <v>500</v>
      </c>
      <c r="D475">
        <v>500</v>
      </c>
      <c r="E475">
        <v>10000</v>
      </c>
      <c r="F475">
        <v>109</v>
      </c>
      <c r="G475">
        <v>109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15</v>
      </c>
      <c r="Q475">
        <v>50</v>
      </c>
      <c r="R475">
        <v>65</v>
      </c>
      <c r="S475">
        <v>0</v>
      </c>
      <c r="T475">
        <v>20</v>
      </c>
      <c r="U475">
        <v>18</v>
      </c>
      <c r="V475">
        <v>20</v>
      </c>
      <c r="W475">
        <v>0</v>
      </c>
      <c r="X475">
        <v>0</v>
      </c>
    </row>
    <row r="476" spans="1:24" x14ac:dyDescent="0.2">
      <c r="A476">
        <v>5010500</v>
      </c>
      <c r="B476" t="s">
        <v>475</v>
      </c>
      <c r="C476">
        <v>400</v>
      </c>
      <c r="D476">
        <v>400</v>
      </c>
      <c r="E476">
        <v>10000</v>
      </c>
      <c r="F476">
        <v>109</v>
      </c>
      <c r="G476">
        <v>109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15</v>
      </c>
      <c r="Q476">
        <v>50</v>
      </c>
      <c r="R476">
        <v>65</v>
      </c>
      <c r="S476">
        <v>0</v>
      </c>
      <c r="T476">
        <v>20</v>
      </c>
      <c r="U476">
        <v>18</v>
      </c>
      <c r="V476">
        <v>20</v>
      </c>
      <c r="W476">
        <v>0</v>
      </c>
      <c r="X476">
        <v>0</v>
      </c>
    </row>
    <row r="477" spans="1:24" x14ac:dyDescent="0.2">
      <c r="A477">
        <v>5010600</v>
      </c>
      <c r="B477" t="s">
        <v>476</v>
      </c>
      <c r="C477">
        <v>600</v>
      </c>
      <c r="D477">
        <v>600</v>
      </c>
      <c r="E477">
        <v>10000</v>
      </c>
      <c r="F477">
        <v>104</v>
      </c>
      <c r="G477">
        <v>0</v>
      </c>
      <c r="H477">
        <v>104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15</v>
      </c>
      <c r="Q477">
        <v>50</v>
      </c>
      <c r="R477">
        <v>0</v>
      </c>
      <c r="S477">
        <v>0</v>
      </c>
      <c r="T477">
        <v>20</v>
      </c>
      <c r="U477">
        <v>18</v>
      </c>
      <c r="V477">
        <v>20</v>
      </c>
      <c r="W477">
        <v>0</v>
      </c>
      <c r="X477">
        <v>0</v>
      </c>
    </row>
    <row r="478" spans="1:24" x14ac:dyDescent="0.2">
      <c r="A478">
        <v>5010700</v>
      </c>
      <c r="B478" t="s">
        <v>477</v>
      </c>
      <c r="C478">
        <v>700</v>
      </c>
      <c r="D478">
        <v>700</v>
      </c>
      <c r="E478">
        <v>10000</v>
      </c>
      <c r="F478">
        <v>109</v>
      </c>
      <c r="G478">
        <v>0</v>
      </c>
      <c r="H478">
        <v>109</v>
      </c>
      <c r="I478">
        <v>0</v>
      </c>
      <c r="J478">
        <v>0</v>
      </c>
      <c r="K478">
        <v>0</v>
      </c>
      <c r="L478">
        <v>0</v>
      </c>
      <c r="M478">
        <v>4</v>
      </c>
      <c r="N478">
        <v>0</v>
      </c>
      <c r="O478">
        <v>0</v>
      </c>
      <c r="P478">
        <v>15</v>
      </c>
      <c r="Q478">
        <v>50</v>
      </c>
      <c r="R478">
        <v>65</v>
      </c>
      <c r="S478">
        <v>65</v>
      </c>
      <c r="T478">
        <v>20</v>
      </c>
      <c r="U478">
        <v>18</v>
      </c>
      <c r="V478">
        <v>20</v>
      </c>
      <c r="W478">
        <v>0</v>
      </c>
      <c r="X478">
        <v>0</v>
      </c>
    </row>
    <row r="479" spans="1:24" x14ac:dyDescent="0.2">
      <c r="A479">
        <v>5010800</v>
      </c>
      <c r="B479" t="s">
        <v>478</v>
      </c>
      <c r="C479">
        <v>800</v>
      </c>
      <c r="D479">
        <v>800</v>
      </c>
      <c r="E479">
        <v>10000</v>
      </c>
      <c r="F479">
        <v>109</v>
      </c>
      <c r="G479">
        <v>0</v>
      </c>
      <c r="H479">
        <v>0</v>
      </c>
      <c r="I479">
        <v>109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15</v>
      </c>
      <c r="Q479">
        <v>50</v>
      </c>
      <c r="R479">
        <v>0</v>
      </c>
      <c r="S479">
        <v>65</v>
      </c>
      <c r="T479">
        <v>20</v>
      </c>
      <c r="U479">
        <v>18</v>
      </c>
      <c r="V479">
        <v>20</v>
      </c>
      <c r="W479">
        <v>0</v>
      </c>
      <c r="X479">
        <v>0</v>
      </c>
    </row>
    <row r="480" spans="1:24" x14ac:dyDescent="0.2">
      <c r="A480">
        <v>5010900</v>
      </c>
      <c r="B480" t="s">
        <v>479</v>
      </c>
      <c r="C480">
        <v>900</v>
      </c>
      <c r="D480">
        <v>900</v>
      </c>
      <c r="E480">
        <v>10000</v>
      </c>
      <c r="F480">
        <v>104</v>
      </c>
      <c r="G480">
        <v>0</v>
      </c>
      <c r="H480">
        <v>0</v>
      </c>
      <c r="I480">
        <v>0</v>
      </c>
      <c r="J480">
        <v>104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15</v>
      </c>
      <c r="Q480">
        <v>50</v>
      </c>
      <c r="R480">
        <v>0</v>
      </c>
      <c r="S480">
        <v>0</v>
      </c>
      <c r="T480">
        <v>20</v>
      </c>
      <c r="U480">
        <v>18</v>
      </c>
      <c r="V480">
        <v>20</v>
      </c>
      <c r="W480">
        <v>0</v>
      </c>
      <c r="X480">
        <v>0</v>
      </c>
    </row>
    <row r="481" spans="1:24" x14ac:dyDescent="0.2">
      <c r="A481">
        <v>5011000</v>
      </c>
      <c r="B481" t="s">
        <v>480</v>
      </c>
      <c r="C481">
        <v>1000</v>
      </c>
      <c r="D481">
        <v>1000</v>
      </c>
      <c r="E481">
        <v>10000</v>
      </c>
      <c r="F481">
        <v>109</v>
      </c>
      <c r="G481">
        <v>0</v>
      </c>
      <c r="H481">
        <v>0</v>
      </c>
      <c r="I481">
        <v>0</v>
      </c>
      <c r="J481">
        <v>109</v>
      </c>
      <c r="K481">
        <v>0</v>
      </c>
      <c r="L481">
        <v>0</v>
      </c>
      <c r="M481">
        <v>0</v>
      </c>
      <c r="N481">
        <v>0</v>
      </c>
      <c r="O481">
        <v>4</v>
      </c>
      <c r="P481">
        <v>15</v>
      </c>
      <c r="Q481">
        <v>50</v>
      </c>
      <c r="R481">
        <v>65</v>
      </c>
      <c r="S481">
        <v>65</v>
      </c>
      <c r="T481">
        <v>20</v>
      </c>
      <c r="U481">
        <v>18</v>
      </c>
      <c r="V481">
        <v>20</v>
      </c>
      <c r="W481">
        <v>0</v>
      </c>
      <c r="X481">
        <v>0</v>
      </c>
    </row>
    <row r="482" spans="1:24" x14ac:dyDescent="0.2">
      <c r="A482">
        <v>5011100</v>
      </c>
      <c r="B482" t="s">
        <v>481</v>
      </c>
      <c r="C482">
        <v>1100</v>
      </c>
      <c r="D482">
        <v>1100</v>
      </c>
      <c r="E482">
        <v>10000</v>
      </c>
      <c r="F482">
        <v>121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15</v>
      </c>
      <c r="Q482">
        <v>50</v>
      </c>
      <c r="R482">
        <v>0</v>
      </c>
      <c r="S482">
        <v>0</v>
      </c>
      <c r="T482">
        <v>20</v>
      </c>
      <c r="U482">
        <v>18</v>
      </c>
      <c r="V482">
        <v>20</v>
      </c>
      <c r="W482">
        <v>0</v>
      </c>
      <c r="X482">
        <v>0</v>
      </c>
    </row>
    <row r="483" spans="1:24" x14ac:dyDescent="0.2">
      <c r="A483">
        <v>5011200</v>
      </c>
      <c r="B483" t="s">
        <v>482</v>
      </c>
      <c r="C483">
        <v>1200</v>
      </c>
      <c r="D483">
        <v>1200</v>
      </c>
      <c r="E483">
        <v>10000</v>
      </c>
      <c r="F483">
        <v>121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15</v>
      </c>
      <c r="Q483">
        <v>50</v>
      </c>
      <c r="R483">
        <v>0</v>
      </c>
      <c r="S483">
        <v>0</v>
      </c>
      <c r="T483">
        <v>20</v>
      </c>
      <c r="U483">
        <v>18</v>
      </c>
      <c r="V483">
        <v>20</v>
      </c>
      <c r="W483">
        <v>0</v>
      </c>
      <c r="X483">
        <v>0</v>
      </c>
    </row>
    <row r="484" spans="1:24" x14ac:dyDescent="0.2">
      <c r="A484">
        <v>5011300</v>
      </c>
      <c r="B484" t="s">
        <v>483</v>
      </c>
      <c r="C484">
        <v>1300</v>
      </c>
      <c r="D484">
        <v>1300</v>
      </c>
      <c r="E484">
        <v>10000</v>
      </c>
      <c r="F484">
        <v>109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15</v>
      </c>
      <c r="Q484">
        <v>50</v>
      </c>
      <c r="R484">
        <v>0</v>
      </c>
      <c r="S484">
        <v>0</v>
      </c>
      <c r="T484">
        <v>20</v>
      </c>
      <c r="U484">
        <v>18</v>
      </c>
      <c r="V484">
        <v>20</v>
      </c>
      <c r="W484">
        <v>0</v>
      </c>
      <c r="X484">
        <v>0</v>
      </c>
    </row>
    <row r="485" spans="1:24" x14ac:dyDescent="0.2">
      <c r="A485">
        <v>5011400</v>
      </c>
      <c r="B485" t="s">
        <v>484</v>
      </c>
      <c r="C485">
        <v>1400</v>
      </c>
      <c r="D485">
        <v>1400</v>
      </c>
      <c r="E485">
        <v>10014</v>
      </c>
      <c r="F485">
        <v>109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15</v>
      </c>
      <c r="Q485">
        <v>50</v>
      </c>
      <c r="R485">
        <v>0</v>
      </c>
      <c r="S485">
        <v>65</v>
      </c>
      <c r="T485">
        <v>20</v>
      </c>
      <c r="U485">
        <v>18</v>
      </c>
      <c r="V485">
        <v>20</v>
      </c>
      <c r="W485">
        <v>0</v>
      </c>
      <c r="X485">
        <v>0</v>
      </c>
    </row>
    <row r="486" spans="1:24" x14ac:dyDescent="0.2">
      <c r="A486">
        <v>5011500</v>
      </c>
      <c r="B486" t="s">
        <v>485</v>
      </c>
      <c r="C486">
        <v>1500</v>
      </c>
      <c r="D486">
        <v>1500</v>
      </c>
      <c r="E486">
        <v>10015</v>
      </c>
      <c r="F486">
        <v>121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15</v>
      </c>
      <c r="Q486">
        <v>50</v>
      </c>
      <c r="R486">
        <v>0</v>
      </c>
      <c r="S486">
        <v>0</v>
      </c>
      <c r="T486">
        <v>20</v>
      </c>
      <c r="U486">
        <v>18</v>
      </c>
      <c r="V486">
        <v>20</v>
      </c>
      <c r="W486">
        <v>0</v>
      </c>
      <c r="X486">
        <v>0</v>
      </c>
    </row>
    <row r="487" spans="1:24" x14ac:dyDescent="0.2">
      <c r="A487">
        <v>5020000</v>
      </c>
      <c r="B487" t="s">
        <v>486</v>
      </c>
      <c r="C487">
        <v>2200</v>
      </c>
      <c r="D487">
        <v>2200</v>
      </c>
      <c r="E487">
        <v>10000</v>
      </c>
      <c r="F487">
        <v>90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5</v>
      </c>
      <c r="Q487">
        <v>122</v>
      </c>
      <c r="R487">
        <v>0</v>
      </c>
      <c r="S487">
        <v>0</v>
      </c>
      <c r="T487">
        <v>43</v>
      </c>
      <c r="U487">
        <v>16</v>
      </c>
      <c r="V487">
        <v>14</v>
      </c>
      <c r="W487">
        <v>0</v>
      </c>
      <c r="X487">
        <v>0</v>
      </c>
    </row>
    <row r="488" spans="1:24" x14ac:dyDescent="0.2">
      <c r="A488">
        <v>5030000</v>
      </c>
      <c r="B488" t="s">
        <v>487</v>
      </c>
      <c r="C488">
        <v>0</v>
      </c>
      <c r="D488">
        <v>0</v>
      </c>
      <c r="E488">
        <v>10000</v>
      </c>
      <c r="F488">
        <v>122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11</v>
      </c>
      <c r="Q488">
        <v>53</v>
      </c>
      <c r="R488">
        <v>0</v>
      </c>
      <c r="S488">
        <v>0</v>
      </c>
      <c r="T488">
        <v>22</v>
      </c>
      <c r="U488">
        <v>18</v>
      </c>
      <c r="V488">
        <v>18</v>
      </c>
      <c r="W488">
        <v>0</v>
      </c>
      <c r="X488">
        <v>0</v>
      </c>
    </row>
    <row r="489" spans="1:24" x14ac:dyDescent="0.2">
      <c r="A489">
        <v>5030100</v>
      </c>
      <c r="B489" t="s">
        <v>488</v>
      </c>
      <c r="C489">
        <v>200</v>
      </c>
      <c r="D489">
        <v>100</v>
      </c>
      <c r="E489">
        <v>10000</v>
      </c>
      <c r="F489">
        <v>122</v>
      </c>
      <c r="G489">
        <v>0</v>
      </c>
      <c r="H489">
        <v>0</v>
      </c>
      <c r="I489">
        <v>0</v>
      </c>
      <c r="J489">
        <v>0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32</v>
      </c>
      <c r="Q489">
        <v>0</v>
      </c>
      <c r="R489">
        <v>0</v>
      </c>
      <c r="S489">
        <v>0</v>
      </c>
      <c r="T489">
        <v>22</v>
      </c>
      <c r="U489">
        <v>18</v>
      </c>
      <c r="V489">
        <v>18</v>
      </c>
      <c r="W489">
        <v>0</v>
      </c>
      <c r="X489">
        <v>0</v>
      </c>
    </row>
    <row r="490" spans="1:24" x14ac:dyDescent="0.2">
      <c r="A490">
        <v>5030200</v>
      </c>
      <c r="B490" t="s">
        <v>489</v>
      </c>
      <c r="C490">
        <v>100</v>
      </c>
      <c r="D490">
        <v>5000</v>
      </c>
      <c r="E490">
        <v>10000</v>
      </c>
      <c r="F490">
        <v>122</v>
      </c>
      <c r="G490">
        <v>0</v>
      </c>
      <c r="H490">
        <v>0</v>
      </c>
      <c r="I490">
        <v>0</v>
      </c>
      <c r="J490">
        <v>0</v>
      </c>
      <c r="K490">
        <v>2</v>
      </c>
      <c r="L490">
        <v>0</v>
      </c>
      <c r="M490">
        <v>0</v>
      </c>
      <c r="N490">
        <v>0</v>
      </c>
      <c r="O490">
        <v>0</v>
      </c>
      <c r="P490">
        <v>7</v>
      </c>
      <c r="Q490">
        <v>47</v>
      </c>
      <c r="R490">
        <v>0</v>
      </c>
      <c r="S490">
        <v>0</v>
      </c>
      <c r="T490">
        <v>22</v>
      </c>
      <c r="U490">
        <v>18</v>
      </c>
      <c r="V490">
        <v>18</v>
      </c>
      <c r="W490">
        <v>0</v>
      </c>
      <c r="X490">
        <v>0</v>
      </c>
    </row>
    <row r="491" spans="1:24" x14ac:dyDescent="0.2">
      <c r="A491">
        <v>5030300</v>
      </c>
      <c r="B491" t="s">
        <v>490</v>
      </c>
      <c r="C491">
        <v>300</v>
      </c>
      <c r="D491">
        <v>300</v>
      </c>
      <c r="E491">
        <v>10000</v>
      </c>
      <c r="F491">
        <v>122</v>
      </c>
      <c r="G491">
        <v>0</v>
      </c>
      <c r="H491">
        <v>0</v>
      </c>
      <c r="I491">
        <v>0</v>
      </c>
      <c r="J491">
        <v>0</v>
      </c>
      <c r="K491">
        <v>8</v>
      </c>
      <c r="L491">
        <v>0</v>
      </c>
      <c r="M491">
        <v>0</v>
      </c>
      <c r="N491">
        <v>0</v>
      </c>
      <c r="O491">
        <v>0</v>
      </c>
      <c r="P491">
        <v>37</v>
      </c>
      <c r="Q491">
        <v>37</v>
      </c>
      <c r="R491">
        <v>0</v>
      </c>
      <c r="S491">
        <v>0</v>
      </c>
      <c r="T491">
        <v>22</v>
      </c>
      <c r="U491">
        <v>18</v>
      </c>
      <c r="V491">
        <v>18</v>
      </c>
      <c r="W491">
        <v>0</v>
      </c>
      <c r="X491">
        <v>0</v>
      </c>
    </row>
    <row r="492" spans="1:24" x14ac:dyDescent="0.2">
      <c r="A492">
        <v>5030400</v>
      </c>
      <c r="B492" t="s">
        <v>491</v>
      </c>
      <c r="C492">
        <v>500</v>
      </c>
      <c r="D492">
        <v>500</v>
      </c>
      <c r="E492">
        <v>10000</v>
      </c>
      <c r="F492">
        <v>115</v>
      </c>
      <c r="G492">
        <v>115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11</v>
      </c>
      <c r="Q492">
        <v>53</v>
      </c>
      <c r="R492">
        <v>64</v>
      </c>
      <c r="S492">
        <v>0</v>
      </c>
      <c r="T492">
        <v>22</v>
      </c>
      <c r="U492">
        <v>18</v>
      </c>
      <c r="V492">
        <v>18</v>
      </c>
      <c r="W492">
        <v>0</v>
      </c>
      <c r="X492">
        <v>0</v>
      </c>
    </row>
    <row r="493" spans="1:24" x14ac:dyDescent="0.2">
      <c r="A493">
        <v>5030500</v>
      </c>
      <c r="B493" t="s">
        <v>492</v>
      </c>
      <c r="C493">
        <v>400</v>
      </c>
      <c r="D493">
        <v>400</v>
      </c>
      <c r="E493">
        <v>10000</v>
      </c>
      <c r="F493">
        <v>115</v>
      </c>
      <c r="G493">
        <v>115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11</v>
      </c>
      <c r="Q493">
        <v>53</v>
      </c>
      <c r="R493">
        <v>64</v>
      </c>
      <c r="S493">
        <v>0</v>
      </c>
      <c r="T493">
        <v>22</v>
      </c>
      <c r="U493">
        <v>18</v>
      </c>
      <c r="V493">
        <v>18</v>
      </c>
      <c r="W493">
        <v>0</v>
      </c>
      <c r="X493">
        <v>0</v>
      </c>
    </row>
    <row r="494" spans="1:24" x14ac:dyDescent="0.2">
      <c r="A494">
        <v>5030600</v>
      </c>
      <c r="B494" t="s">
        <v>493</v>
      </c>
      <c r="C494">
        <v>600</v>
      </c>
      <c r="D494">
        <v>600</v>
      </c>
      <c r="E494">
        <v>10000</v>
      </c>
      <c r="F494">
        <v>112</v>
      </c>
      <c r="G494">
        <v>0</v>
      </c>
      <c r="H494">
        <v>112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11</v>
      </c>
      <c r="Q494">
        <v>53</v>
      </c>
      <c r="R494">
        <v>0</v>
      </c>
      <c r="S494">
        <v>0</v>
      </c>
      <c r="T494">
        <v>22</v>
      </c>
      <c r="U494">
        <v>18</v>
      </c>
      <c r="V494">
        <v>18</v>
      </c>
      <c r="W494">
        <v>0</v>
      </c>
      <c r="X494">
        <v>0</v>
      </c>
    </row>
    <row r="495" spans="1:24" x14ac:dyDescent="0.2">
      <c r="A495">
        <v>5030700</v>
      </c>
      <c r="B495" t="s">
        <v>494</v>
      </c>
      <c r="C495">
        <v>700</v>
      </c>
      <c r="D495">
        <v>700</v>
      </c>
      <c r="E495">
        <v>10000</v>
      </c>
      <c r="F495">
        <v>115</v>
      </c>
      <c r="G495">
        <v>0</v>
      </c>
      <c r="H495">
        <v>115</v>
      </c>
      <c r="I495">
        <v>0</v>
      </c>
      <c r="J495">
        <v>0</v>
      </c>
      <c r="K495">
        <v>0</v>
      </c>
      <c r="L495">
        <v>0</v>
      </c>
      <c r="M495">
        <v>4</v>
      </c>
      <c r="N495">
        <v>0</v>
      </c>
      <c r="O495">
        <v>0</v>
      </c>
      <c r="P495">
        <v>11</v>
      </c>
      <c r="Q495">
        <v>53</v>
      </c>
      <c r="R495">
        <v>64</v>
      </c>
      <c r="S495">
        <v>64</v>
      </c>
      <c r="T495">
        <v>22</v>
      </c>
      <c r="U495">
        <v>18</v>
      </c>
      <c r="V495">
        <v>18</v>
      </c>
      <c r="W495">
        <v>0</v>
      </c>
      <c r="X495">
        <v>0</v>
      </c>
    </row>
    <row r="496" spans="1:24" x14ac:dyDescent="0.2">
      <c r="A496">
        <v>5030800</v>
      </c>
      <c r="B496" t="s">
        <v>495</v>
      </c>
      <c r="C496">
        <v>800</v>
      </c>
      <c r="D496">
        <v>800</v>
      </c>
      <c r="E496">
        <v>10000</v>
      </c>
      <c r="F496">
        <v>115</v>
      </c>
      <c r="G496">
        <v>0</v>
      </c>
      <c r="H496">
        <v>0</v>
      </c>
      <c r="I496">
        <v>115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11</v>
      </c>
      <c r="Q496">
        <v>53</v>
      </c>
      <c r="R496">
        <v>0</v>
      </c>
      <c r="S496">
        <v>64</v>
      </c>
      <c r="T496">
        <v>22</v>
      </c>
      <c r="U496">
        <v>18</v>
      </c>
      <c r="V496">
        <v>18</v>
      </c>
      <c r="W496">
        <v>0</v>
      </c>
      <c r="X496">
        <v>0</v>
      </c>
    </row>
    <row r="497" spans="1:24" x14ac:dyDescent="0.2">
      <c r="A497">
        <v>5030900</v>
      </c>
      <c r="B497" t="s">
        <v>496</v>
      </c>
      <c r="C497">
        <v>900</v>
      </c>
      <c r="D497">
        <v>900</v>
      </c>
      <c r="E497">
        <v>10000</v>
      </c>
      <c r="F497">
        <v>112</v>
      </c>
      <c r="G497">
        <v>0</v>
      </c>
      <c r="H497">
        <v>0</v>
      </c>
      <c r="I497">
        <v>0</v>
      </c>
      <c r="J497">
        <v>112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11</v>
      </c>
      <c r="Q497">
        <v>53</v>
      </c>
      <c r="R497">
        <v>0</v>
      </c>
      <c r="S497">
        <v>0</v>
      </c>
      <c r="T497">
        <v>22</v>
      </c>
      <c r="U497">
        <v>18</v>
      </c>
      <c r="V497">
        <v>18</v>
      </c>
      <c r="W497">
        <v>0</v>
      </c>
      <c r="X497">
        <v>0</v>
      </c>
    </row>
    <row r="498" spans="1:24" x14ac:dyDescent="0.2">
      <c r="A498">
        <v>5031000</v>
      </c>
      <c r="B498" t="s">
        <v>497</v>
      </c>
      <c r="C498">
        <v>1000</v>
      </c>
      <c r="D498">
        <v>1000</v>
      </c>
      <c r="E498">
        <v>10000</v>
      </c>
      <c r="F498">
        <v>115</v>
      </c>
      <c r="G498">
        <v>0</v>
      </c>
      <c r="H498">
        <v>0</v>
      </c>
      <c r="I498">
        <v>0</v>
      </c>
      <c r="J498">
        <v>115</v>
      </c>
      <c r="K498">
        <v>0</v>
      </c>
      <c r="L498">
        <v>0</v>
      </c>
      <c r="M498">
        <v>0</v>
      </c>
      <c r="N498">
        <v>0</v>
      </c>
      <c r="O498">
        <v>4</v>
      </c>
      <c r="P498">
        <v>11</v>
      </c>
      <c r="Q498">
        <v>53</v>
      </c>
      <c r="R498">
        <v>64</v>
      </c>
      <c r="S498">
        <v>64</v>
      </c>
      <c r="T498">
        <v>22</v>
      </c>
      <c r="U498">
        <v>18</v>
      </c>
      <c r="V498">
        <v>18</v>
      </c>
      <c r="W498">
        <v>0</v>
      </c>
      <c r="X498">
        <v>0</v>
      </c>
    </row>
    <row r="499" spans="1:24" x14ac:dyDescent="0.2">
      <c r="A499">
        <v>5031100</v>
      </c>
      <c r="B499" t="s">
        <v>498</v>
      </c>
      <c r="C499">
        <v>1100</v>
      </c>
      <c r="D499">
        <v>1100</v>
      </c>
      <c r="E499">
        <v>10000</v>
      </c>
      <c r="F499">
        <v>122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11</v>
      </c>
      <c r="Q499">
        <v>53</v>
      </c>
      <c r="R499">
        <v>0</v>
      </c>
      <c r="S499">
        <v>0</v>
      </c>
      <c r="T499">
        <v>22</v>
      </c>
      <c r="U499">
        <v>18</v>
      </c>
      <c r="V499">
        <v>18</v>
      </c>
      <c r="W499">
        <v>0</v>
      </c>
      <c r="X499">
        <v>0</v>
      </c>
    </row>
    <row r="500" spans="1:24" x14ac:dyDescent="0.2">
      <c r="A500">
        <v>5031200</v>
      </c>
      <c r="B500" t="s">
        <v>499</v>
      </c>
      <c r="C500">
        <v>1200</v>
      </c>
      <c r="D500">
        <v>1200</v>
      </c>
      <c r="E500">
        <v>10000</v>
      </c>
      <c r="F500">
        <v>122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11</v>
      </c>
      <c r="Q500">
        <v>53</v>
      </c>
      <c r="R500">
        <v>0</v>
      </c>
      <c r="S500">
        <v>0</v>
      </c>
      <c r="T500">
        <v>22</v>
      </c>
      <c r="U500">
        <v>18</v>
      </c>
      <c r="V500">
        <v>18</v>
      </c>
      <c r="W500">
        <v>0</v>
      </c>
      <c r="X500">
        <v>0</v>
      </c>
    </row>
    <row r="501" spans="1:24" x14ac:dyDescent="0.2">
      <c r="A501">
        <v>5031300</v>
      </c>
      <c r="B501" t="s">
        <v>500</v>
      </c>
      <c r="C501">
        <v>1300</v>
      </c>
      <c r="D501">
        <v>1300</v>
      </c>
      <c r="E501">
        <v>10000</v>
      </c>
      <c r="F501">
        <v>118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11</v>
      </c>
      <c r="Q501">
        <v>53</v>
      </c>
      <c r="R501">
        <v>0</v>
      </c>
      <c r="S501">
        <v>0</v>
      </c>
      <c r="T501">
        <v>22</v>
      </c>
      <c r="U501">
        <v>18</v>
      </c>
      <c r="V501">
        <v>18</v>
      </c>
      <c r="W501">
        <v>0</v>
      </c>
      <c r="X501">
        <v>0</v>
      </c>
    </row>
    <row r="502" spans="1:24" x14ac:dyDescent="0.2">
      <c r="A502">
        <v>5031400</v>
      </c>
      <c r="B502" t="s">
        <v>501</v>
      </c>
      <c r="C502">
        <v>1400</v>
      </c>
      <c r="D502">
        <v>1400</v>
      </c>
      <c r="E502">
        <v>10014</v>
      </c>
      <c r="F502">
        <v>115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11</v>
      </c>
      <c r="Q502">
        <v>53</v>
      </c>
      <c r="R502">
        <v>0</v>
      </c>
      <c r="S502">
        <v>64</v>
      </c>
      <c r="T502">
        <v>22</v>
      </c>
      <c r="U502">
        <v>18</v>
      </c>
      <c r="V502">
        <v>18</v>
      </c>
      <c r="W502">
        <v>0</v>
      </c>
      <c r="X502">
        <v>0</v>
      </c>
    </row>
    <row r="503" spans="1:24" x14ac:dyDescent="0.2">
      <c r="A503">
        <v>5031500</v>
      </c>
      <c r="B503" t="s">
        <v>502</v>
      </c>
      <c r="C503">
        <v>1500</v>
      </c>
      <c r="D503">
        <v>1500</v>
      </c>
      <c r="E503">
        <v>10015</v>
      </c>
      <c r="F503">
        <v>122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11</v>
      </c>
      <c r="Q503">
        <v>53</v>
      </c>
      <c r="R503">
        <v>0</v>
      </c>
      <c r="S503">
        <v>0</v>
      </c>
      <c r="T503">
        <v>22</v>
      </c>
      <c r="U503">
        <v>18</v>
      </c>
      <c r="V503">
        <v>18</v>
      </c>
      <c r="W503">
        <v>0</v>
      </c>
      <c r="X503">
        <v>0</v>
      </c>
    </row>
    <row r="504" spans="1:24" x14ac:dyDescent="0.2">
      <c r="A504">
        <v>5040000</v>
      </c>
      <c r="B504" t="s">
        <v>503</v>
      </c>
      <c r="C504">
        <v>2200</v>
      </c>
      <c r="D504">
        <v>2200</v>
      </c>
      <c r="E504">
        <v>10000</v>
      </c>
      <c r="F504">
        <v>92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6</v>
      </c>
      <c r="Q504">
        <v>79</v>
      </c>
      <c r="R504">
        <v>0</v>
      </c>
      <c r="S504">
        <v>0</v>
      </c>
      <c r="T504">
        <v>30</v>
      </c>
      <c r="U504">
        <v>11</v>
      </c>
      <c r="V504">
        <v>24</v>
      </c>
      <c r="W504">
        <v>0</v>
      </c>
      <c r="X504">
        <v>0</v>
      </c>
    </row>
    <row r="505" spans="1:24" x14ac:dyDescent="0.2">
      <c r="A505">
        <v>5050000</v>
      </c>
      <c r="B505" t="s">
        <v>504</v>
      </c>
      <c r="C505">
        <v>2200</v>
      </c>
      <c r="D505">
        <v>2200</v>
      </c>
      <c r="E505">
        <v>10000</v>
      </c>
      <c r="F505">
        <v>117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20</v>
      </c>
      <c r="Q505">
        <v>41</v>
      </c>
      <c r="R505">
        <v>0</v>
      </c>
      <c r="S505">
        <v>0</v>
      </c>
      <c r="T505">
        <v>18</v>
      </c>
      <c r="U505">
        <v>10</v>
      </c>
      <c r="V505">
        <v>28</v>
      </c>
      <c r="W505">
        <v>0</v>
      </c>
      <c r="X505">
        <v>0</v>
      </c>
    </row>
    <row r="506" spans="1:24" x14ac:dyDescent="0.2">
      <c r="A506">
        <v>5060000</v>
      </c>
      <c r="B506" t="s">
        <v>505</v>
      </c>
      <c r="C506">
        <v>2000</v>
      </c>
      <c r="D506">
        <v>2100</v>
      </c>
      <c r="E506">
        <v>10000</v>
      </c>
      <c r="F506">
        <v>92</v>
      </c>
      <c r="G506">
        <v>0</v>
      </c>
      <c r="H506">
        <v>0</v>
      </c>
      <c r="I506">
        <v>0</v>
      </c>
      <c r="J506">
        <v>38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20</v>
      </c>
      <c r="Q506">
        <v>90</v>
      </c>
      <c r="R506">
        <v>0</v>
      </c>
      <c r="S506">
        <v>0</v>
      </c>
      <c r="T506">
        <v>35</v>
      </c>
      <c r="U506">
        <v>11</v>
      </c>
      <c r="V506">
        <v>40</v>
      </c>
      <c r="W506">
        <v>0</v>
      </c>
      <c r="X506">
        <v>0</v>
      </c>
    </row>
    <row r="507" spans="1:24" x14ac:dyDescent="0.2">
      <c r="A507">
        <v>6000000</v>
      </c>
      <c r="B507" t="s">
        <v>506</v>
      </c>
      <c r="C507">
        <v>0</v>
      </c>
      <c r="D507">
        <v>0</v>
      </c>
      <c r="E507">
        <v>10000</v>
      </c>
      <c r="F507">
        <v>138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45</v>
      </c>
      <c r="Q507">
        <v>30</v>
      </c>
      <c r="R507">
        <v>0</v>
      </c>
      <c r="S507">
        <v>0</v>
      </c>
      <c r="T507">
        <v>19</v>
      </c>
      <c r="U507">
        <v>16</v>
      </c>
      <c r="V507">
        <v>10</v>
      </c>
      <c r="W507">
        <v>0</v>
      </c>
      <c r="X507">
        <v>0</v>
      </c>
    </row>
    <row r="508" spans="1:24" x14ac:dyDescent="0.2">
      <c r="A508">
        <v>6000100</v>
      </c>
      <c r="B508" t="s">
        <v>507</v>
      </c>
      <c r="C508">
        <v>200</v>
      </c>
      <c r="D508">
        <v>100</v>
      </c>
      <c r="E508">
        <v>10000</v>
      </c>
      <c r="F508">
        <v>138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0</v>
      </c>
      <c r="M508">
        <v>0</v>
      </c>
      <c r="N508">
        <v>0</v>
      </c>
      <c r="O508">
        <v>0</v>
      </c>
      <c r="P508">
        <v>45</v>
      </c>
      <c r="Q508">
        <v>0</v>
      </c>
      <c r="R508">
        <v>0</v>
      </c>
      <c r="S508">
        <v>0</v>
      </c>
      <c r="T508">
        <v>19</v>
      </c>
      <c r="U508">
        <v>16</v>
      </c>
      <c r="V508">
        <v>10</v>
      </c>
      <c r="W508">
        <v>0</v>
      </c>
      <c r="X508">
        <v>0</v>
      </c>
    </row>
    <row r="509" spans="1:24" x14ac:dyDescent="0.2">
      <c r="A509">
        <v>6000200</v>
      </c>
      <c r="B509" t="s">
        <v>508</v>
      </c>
      <c r="C509">
        <v>100</v>
      </c>
      <c r="D509">
        <v>200</v>
      </c>
      <c r="E509">
        <v>10000</v>
      </c>
      <c r="F509">
        <v>138</v>
      </c>
      <c r="G509">
        <v>0</v>
      </c>
      <c r="H509">
        <v>0</v>
      </c>
      <c r="I509">
        <v>0</v>
      </c>
      <c r="J509">
        <v>0</v>
      </c>
      <c r="K509">
        <v>2</v>
      </c>
      <c r="L509">
        <v>0</v>
      </c>
      <c r="M509">
        <v>0</v>
      </c>
      <c r="N509">
        <v>0</v>
      </c>
      <c r="O509">
        <v>0</v>
      </c>
      <c r="P509">
        <v>15</v>
      </c>
      <c r="Q509">
        <v>40</v>
      </c>
      <c r="R509">
        <v>0</v>
      </c>
      <c r="S509">
        <v>0</v>
      </c>
      <c r="T509">
        <v>19</v>
      </c>
      <c r="U509">
        <v>16</v>
      </c>
      <c r="V509">
        <v>10</v>
      </c>
      <c r="W509">
        <v>0</v>
      </c>
      <c r="X509">
        <v>0</v>
      </c>
    </row>
    <row r="510" spans="1:24" x14ac:dyDescent="0.2">
      <c r="A510">
        <v>6000300</v>
      </c>
      <c r="B510" t="s">
        <v>509</v>
      </c>
      <c r="C510">
        <v>300</v>
      </c>
      <c r="D510">
        <v>300</v>
      </c>
      <c r="E510">
        <v>10000</v>
      </c>
      <c r="F510">
        <v>138</v>
      </c>
      <c r="G510">
        <v>0</v>
      </c>
      <c r="H510">
        <v>0</v>
      </c>
      <c r="I510">
        <v>0</v>
      </c>
      <c r="J510">
        <v>0</v>
      </c>
      <c r="K510">
        <v>8</v>
      </c>
      <c r="L510">
        <v>0</v>
      </c>
      <c r="M510">
        <v>0</v>
      </c>
      <c r="N510">
        <v>0</v>
      </c>
      <c r="O510">
        <v>0</v>
      </c>
      <c r="P510">
        <v>47</v>
      </c>
      <c r="Q510">
        <v>42</v>
      </c>
      <c r="R510">
        <v>0</v>
      </c>
      <c r="S510">
        <v>0</v>
      </c>
      <c r="T510">
        <v>19</v>
      </c>
      <c r="U510">
        <v>16</v>
      </c>
      <c r="V510">
        <v>10</v>
      </c>
      <c r="W510">
        <v>0</v>
      </c>
      <c r="X510">
        <v>0</v>
      </c>
    </row>
    <row r="511" spans="1:24" x14ac:dyDescent="0.2">
      <c r="A511">
        <v>6000400</v>
      </c>
      <c r="B511" t="s">
        <v>510</v>
      </c>
      <c r="C511">
        <v>500</v>
      </c>
      <c r="D511">
        <v>500</v>
      </c>
      <c r="E511">
        <v>10000</v>
      </c>
      <c r="F511">
        <v>134</v>
      </c>
      <c r="G511">
        <v>134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45</v>
      </c>
      <c r="Q511">
        <v>30</v>
      </c>
      <c r="R511">
        <v>75</v>
      </c>
      <c r="S511">
        <v>0</v>
      </c>
      <c r="T511">
        <v>19</v>
      </c>
      <c r="U511">
        <v>16</v>
      </c>
      <c r="V511">
        <v>10</v>
      </c>
      <c r="W511">
        <v>0</v>
      </c>
      <c r="X511">
        <v>0</v>
      </c>
    </row>
    <row r="512" spans="1:24" x14ac:dyDescent="0.2">
      <c r="A512">
        <v>6000500</v>
      </c>
      <c r="B512" t="s">
        <v>511</v>
      </c>
      <c r="C512">
        <v>400</v>
      </c>
      <c r="D512">
        <v>400</v>
      </c>
      <c r="E512">
        <v>10000</v>
      </c>
      <c r="F512">
        <v>134</v>
      </c>
      <c r="G512">
        <v>134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45</v>
      </c>
      <c r="Q512">
        <v>30</v>
      </c>
      <c r="R512">
        <v>75</v>
      </c>
      <c r="S512">
        <v>0</v>
      </c>
      <c r="T512">
        <v>19</v>
      </c>
      <c r="U512">
        <v>16</v>
      </c>
      <c r="V512">
        <v>10</v>
      </c>
      <c r="W512">
        <v>0</v>
      </c>
      <c r="X512">
        <v>0</v>
      </c>
    </row>
    <row r="513" spans="1:24" x14ac:dyDescent="0.2">
      <c r="A513">
        <v>6000600</v>
      </c>
      <c r="B513" t="s">
        <v>512</v>
      </c>
      <c r="C513">
        <v>600</v>
      </c>
      <c r="D513">
        <v>600</v>
      </c>
      <c r="E513">
        <v>10000</v>
      </c>
      <c r="F513">
        <v>126</v>
      </c>
      <c r="G513">
        <v>0</v>
      </c>
      <c r="H513">
        <v>126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45</v>
      </c>
      <c r="Q513">
        <v>30</v>
      </c>
      <c r="R513">
        <v>0</v>
      </c>
      <c r="S513">
        <v>0</v>
      </c>
      <c r="T513">
        <v>19</v>
      </c>
      <c r="U513">
        <v>16</v>
      </c>
      <c r="V513">
        <v>10</v>
      </c>
      <c r="W513">
        <v>0</v>
      </c>
      <c r="X513">
        <v>0</v>
      </c>
    </row>
    <row r="514" spans="1:24" x14ac:dyDescent="0.2">
      <c r="A514">
        <v>6000700</v>
      </c>
      <c r="B514" t="s">
        <v>513</v>
      </c>
      <c r="C514">
        <v>700</v>
      </c>
      <c r="D514">
        <v>700</v>
      </c>
      <c r="E514">
        <v>10000</v>
      </c>
      <c r="F514">
        <v>134</v>
      </c>
      <c r="G514">
        <v>0</v>
      </c>
      <c r="H514">
        <v>134</v>
      </c>
      <c r="I514">
        <v>0</v>
      </c>
      <c r="J514">
        <v>0</v>
      </c>
      <c r="K514">
        <v>0</v>
      </c>
      <c r="L514">
        <v>0</v>
      </c>
      <c r="M514">
        <v>4</v>
      </c>
      <c r="N514">
        <v>0</v>
      </c>
      <c r="O514">
        <v>0</v>
      </c>
      <c r="P514">
        <v>45</v>
      </c>
      <c r="Q514">
        <v>30</v>
      </c>
      <c r="R514">
        <v>75</v>
      </c>
      <c r="S514">
        <v>75</v>
      </c>
      <c r="T514">
        <v>19</v>
      </c>
      <c r="U514">
        <v>16</v>
      </c>
      <c r="V514">
        <v>10</v>
      </c>
      <c r="W514">
        <v>0</v>
      </c>
      <c r="X514">
        <v>0</v>
      </c>
    </row>
    <row r="515" spans="1:24" x14ac:dyDescent="0.2">
      <c r="A515">
        <v>6000800</v>
      </c>
      <c r="B515" t="s">
        <v>514</v>
      </c>
      <c r="C515">
        <v>800</v>
      </c>
      <c r="D515">
        <v>800</v>
      </c>
      <c r="E515">
        <v>10000</v>
      </c>
      <c r="F515">
        <v>134</v>
      </c>
      <c r="G515">
        <v>0</v>
      </c>
      <c r="H515">
        <v>0</v>
      </c>
      <c r="I515">
        <v>134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45</v>
      </c>
      <c r="Q515">
        <v>30</v>
      </c>
      <c r="R515">
        <v>0</v>
      </c>
      <c r="S515">
        <v>75</v>
      </c>
      <c r="T515">
        <v>19</v>
      </c>
      <c r="U515">
        <v>16</v>
      </c>
      <c r="V515">
        <v>10</v>
      </c>
      <c r="W515">
        <v>0</v>
      </c>
      <c r="X515">
        <v>0</v>
      </c>
    </row>
    <row r="516" spans="1:24" x14ac:dyDescent="0.2">
      <c r="A516">
        <v>6000900</v>
      </c>
      <c r="B516" t="s">
        <v>515</v>
      </c>
      <c r="C516">
        <v>900</v>
      </c>
      <c r="D516">
        <v>900</v>
      </c>
      <c r="E516">
        <v>10000</v>
      </c>
      <c r="F516">
        <v>126</v>
      </c>
      <c r="G516">
        <v>0</v>
      </c>
      <c r="H516">
        <v>0</v>
      </c>
      <c r="I516">
        <v>0</v>
      </c>
      <c r="J516">
        <v>126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45</v>
      </c>
      <c r="Q516">
        <v>30</v>
      </c>
      <c r="R516">
        <v>0</v>
      </c>
      <c r="S516">
        <v>0</v>
      </c>
      <c r="T516">
        <v>19</v>
      </c>
      <c r="U516">
        <v>16</v>
      </c>
      <c r="V516">
        <v>10</v>
      </c>
      <c r="W516">
        <v>0</v>
      </c>
      <c r="X516">
        <v>0</v>
      </c>
    </row>
    <row r="517" spans="1:24" x14ac:dyDescent="0.2">
      <c r="A517">
        <v>6001000</v>
      </c>
      <c r="B517" t="s">
        <v>516</v>
      </c>
      <c r="C517">
        <v>1000</v>
      </c>
      <c r="D517">
        <v>1000</v>
      </c>
      <c r="E517">
        <v>10000</v>
      </c>
      <c r="F517">
        <v>134</v>
      </c>
      <c r="G517">
        <v>0</v>
      </c>
      <c r="H517">
        <v>0</v>
      </c>
      <c r="I517">
        <v>0</v>
      </c>
      <c r="J517">
        <v>134</v>
      </c>
      <c r="K517">
        <v>0</v>
      </c>
      <c r="L517">
        <v>0</v>
      </c>
      <c r="M517">
        <v>0</v>
      </c>
      <c r="N517">
        <v>0</v>
      </c>
      <c r="O517">
        <v>4</v>
      </c>
      <c r="P517">
        <v>45</v>
      </c>
      <c r="Q517">
        <v>30</v>
      </c>
      <c r="R517">
        <v>75</v>
      </c>
      <c r="S517">
        <v>75</v>
      </c>
      <c r="T517">
        <v>19</v>
      </c>
      <c r="U517">
        <v>16</v>
      </c>
      <c r="V517">
        <v>10</v>
      </c>
      <c r="W517">
        <v>0</v>
      </c>
      <c r="X517">
        <v>0</v>
      </c>
    </row>
    <row r="518" spans="1:24" x14ac:dyDescent="0.2">
      <c r="A518">
        <v>6001100</v>
      </c>
      <c r="B518" t="s">
        <v>517</v>
      </c>
      <c r="C518">
        <v>1100</v>
      </c>
      <c r="D518">
        <v>1100</v>
      </c>
      <c r="E518">
        <v>10000</v>
      </c>
      <c r="F518">
        <v>138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45</v>
      </c>
      <c r="Q518">
        <v>30</v>
      </c>
      <c r="R518">
        <v>0</v>
      </c>
      <c r="S518">
        <v>0</v>
      </c>
      <c r="T518">
        <v>19</v>
      </c>
      <c r="U518">
        <v>16</v>
      </c>
      <c r="V518">
        <v>10</v>
      </c>
      <c r="W518">
        <v>0</v>
      </c>
      <c r="X518">
        <v>0</v>
      </c>
    </row>
    <row r="519" spans="1:24" x14ac:dyDescent="0.2">
      <c r="A519">
        <v>6001200</v>
      </c>
      <c r="B519" t="s">
        <v>518</v>
      </c>
      <c r="C519">
        <v>1200</v>
      </c>
      <c r="D519">
        <v>1200</v>
      </c>
      <c r="E519">
        <v>10000</v>
      </c>
      <c r="F519">
        <v>138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45</v>
      </c>
      <c r="Q519">
        <v>30</v>
      </c>
      <c r="R519">
        <v>0</v>
      </c>
      <c r="S519">
        <v>0</v>
      </c>
      <c r="T519">
        <v>19</v>
      </c>
      <c r="U519">
        <v>16</v>
      </c>
      <c r="V519">
        <v>10</v>
      </c>
      <c r="W519">
        <v>0</v>
      </c>
      <c r="X519">
        <v>0</v>
      </c>
    </row>
    <row r="520" spans="1:24" x14ac:dyDescent="0.2">
      <c r="A520">
        <v>6001300</v>
      </c>
      <c r="B520" t="s">
        <v>519</v>
      </c>
      <c r="C520">
        <v>1300</v>
      </c>
      <c r="D520">
        <v>1300</v>
      </c>
      <c r="E520">
        <v>10000</v>
      </c>
      <c r="F520">
        <v>144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45</v>
      </c>
      <c r="Q520">
        <v>30</v>
      </c>
      <c r="R520">
        <v>0</v>
      </c>
      <c r="S520">
        <v>0</v>
      </c>
      <c r="T520">
        <v>19</v>
      </c>
      <c r="U520">
        <v>16</v>
      </c>
      <c r="V520">
        <v>10</v>
      </c>
      <c r="W520">
        <v>0</v>
      </c>
      <c r="X520">
        <v>0</v>
      </c>
    </row>
    <row r="521" spans="1:24" x14ac:dyDescent="0.2">
      <c r="A521">
        <v>6001400</v>
      </c>
      <c r="B521" t="s">
        <v>520</v>
      </c>
      <c r="C521">
        <v>1400</v>
      </c>
      <c r="D521">
        <v>1400</v>
      </c>
      <c r="E521">
        <v>10014</v>
      </c>
      <c r="F521">
        <v>134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45</v>
      </c>
      <c r="Q521">
        <v>30</v>
      </c>
      <c r="R521">
        <v>0</v>
      </c>
      <c r="S521">
        <v>75</v>
      </c>
      <c r="T521">
        <v>19</v>
      </c>
      <c r="U521">
        <v>16</v>
      </c>
      <c r="V521">
        <v>10</v>
      </c>
      <c r="W521">
        <v>0</v>
      </c>
      <c r="X521">
        <v>0</v>
      </c>
    </row>
    <row r="522" spans="1:24" x14ac:dyDescent="0.2">
      <c r="A522">
        <v>6001500</v>
      </c>
      <c r="B522" t="s">
        <v>521</v>
      </c>
      <c r="C522">
        <v>1500</v>
      </c>
      <c r="D522">
        <v>1500</v>
      </c>
      <c r="E522">
        <v>10015</v>
      </c>
      <c r="F522">
        <v>138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45</v>
      </c>
      <c r="Q522">
        <v>30</v>
      </c>
      <c r="R522">
        <v>0</v>
      </c>
      <c r="S522">
        <v>0</v>
      </c>
      <c r="T522">
        <v>19</v>
      </c>
      <c r="U522">
        <v>16</v>
      </c>
      <c r="V522">
        <v>10</v>
      </c>
      <c r="W522">
        <v>0</v>
      </c>
      <c r="X522">
        <v>0</v>
      </c>
    </row>
    <row r="523" spans="1:24" x14ac:dyDescent="0.2">
      <c r="A523">
        <v>6020000</v>
      </c>
      <c r="B523" t="s">
        <v>522</v>
      </c>
      <c r="C523">
        <v>0</v>
      </c>
      <c r="D523">
        <v>0</v>
      </c>
      <c r="E523">
        <v>10000</v>
      </c>
      <c r="F523">
        <v>138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40</v>
      </c>
      <c r="Q523">
        <v>35</v>
      </c>
      <c r="R523">
        <v>0</v>
      </c>
      <c r="S523">
        <v>0</v>
      </c>
      <c r="T523">
        <v>20</v>
      </c>
      <c r="U523">
        <v>16</v>
      </c>
      <c r="V523">
        <v>13</v>
      </c>
      <c r="W523">
        <v>0</v>
      </c>
      <c r="X523">
        <v>0</v>
      </c>
    </row>
    <row r="524" spans="1:24" x14ac:dyDescent="0.2">
      <c r="A524">
        <v>6020100</v>
      </c>
      <c r="B524" t="s">
        <v>523</v>
      </c>
      <c r="C524">
        <v>200</v>
      </c>
      <c r="D524">
        <v>100</v>
      </c>
      <c r="E524">
        <v>10000</v>
      </c>
      <c r="F524">
        <v>138</v>
      </c>
      <c r="G524">
        <v>0</v>
      </c>
      <c r="H524">
        <v>0</v>
      </c>
      <c r="I524">
        <v>0</v>
      </c>
      <c r="J524">
        <v>0</v>
      </c>
      <c r="K524">
        <v>1</v>
      </c>
      <c r="L524">
        <v>0</v>
      </c>
      <c r="M524">
        <v>0</v>
      </c>
      <c r="N524">
        <v>0</v>
      </c>
      <c r="O524">
        <v>0</v>
      </c>
      <c r="P524">
        <v>45</v>
      </c>
      <c r="Q524">
        <v>0</v>
      </c>
      <c r="R524">
        <v>0</v>
      </c>
      <c r="S524">
        <v>0</v>
      </c>
      <c r="T524">
        <v>20</v>
      </c>
      <c r="U524">
        <v>16</v>
      </c>
      <c r="V524">
        <v>13</v>
      </c>
      <c r="W524">
        <v>0</v>
      </c>
      <c r="X524">
        <v>0</v>
      </c>
    </row>
    <row r="525" spans="1:24" x14ac:dyDescent="0.2">
      <c r="A525">
        <v>6020200</v>
      </c>
      <c r="B525" t="s">
        <v>524</v>
      </c>
      <c r="C525">
        <v>100</v>
      </c>
      <c r="D525">
        <v>200</v>
      </c>
      <c r="E525">
        <v>10000</v>
      </c>
      <c r="F525">
        <v>138</v>
      </c>
      <c r="G525">
        <v>0</v>
      </c>
      <c r="H525">
        <v>0</v>
      </c>
      <c r="I525">
        <v>0</v>
      </c>
      <c r="J525">
        <v>0</v>
      </c>
      <c r="K525">
        <v>2</v>
      </c>
      <c r="L525">
        <v>0</v>
      </c>
      <c r="M525">
        <v>0</v>
      </c>
      <c r="N525">
        <v>0</v>
      </c>
      <c r="O525">
        <v>0</v>
      </c>
      <c r="P525">
        <v>12</v>
      </c>
      <c r="Q525">
        <v>41</v>
      </c>
      <c r="R525">
        <v>0</v>
      </c>
      <c r="S525">
        <v>0</v>
      </c>
      <c r="T525">
        <v>20</v>
      </c>
      <c r="U525">
        <v>16</v>
      </c>
      <c r="V525">
        <v>13</v>
      </c>
      <c r="W525">
        <v>0</v>
      </c>
      <c r="X525">
        <v>0</v>
      </c>
    </row>
    <row r="526" spans="1:24" x14ac:dyDescent="0.2">
      <c r="A526">
        <v>6020300</v>
      </c>
      <c r="B526" t="s">
        <v>525</v>
      </c>
      <c r="C526">
        <v>300</v>
      </c>
      <c r="D526">
        <v>300</v>
      </c>
      <c r="E526">
        <v>10000</v>
      </c>
      <c r="F526">
        <v>138</v>
      </c>
      <c r="G526">
        <v>0</v>
      </c>
      <c r="H526">
        <v>0</v>
      </c>
      <c r="I526">
        <v>0</v>
      </c>
      <c r="J526">
        <v>0</v>
      </c>
      <c r="K526">
        <v>8</v>
      </c>
      <c r="L526">
        <v>0</v>
      </c>
      <c r="M526">
        <v>0</v>
      </c>
      <c r="N526">
        <v>0</v>
      </c>
      <c r="O526">
        <v>0</v>
      </c>
      <c r="P526">
        <v>47</v>
      </c>
      <c r="Q526">
        <v>42</v>
      </c>
      <c r="R526">
        <v>0</v>
      </c>
      <c r="S526">
        <v>0</v>
      </c>
      <c r="T526">
        <v>20</v>
      </c>
      <c r="U526">
        <v>16</v>
      </c>
      <c r="V526">
        <v>13</v>
      </c>
      <c r="W526">
        <v>0</v>
      </c>
      <c r="X526">
        <v>0</v>
      </c>
    </row>
    <row r="527" spans="1:24" x14ac:dyDescent="0.2">
      <c r="A527">
        <v>6020400</v>
      </c>
      <c r="B527" t="s">
        <v>526</v>
      </c>
      <c r="C527">
        <v>500</v>
      </c>
      <c r="D527">
        <v>500</v>
      </c>
      <c r="E527">
        <v>10000</v>
      </c>
      <c r="F527">
        <v>134</v>
      </c>
      <c r="G527">
        <v>134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40</v>
      </c>
      <c r="Q527">
        <v>35</v>
      </c>
      <c r="R527">
        <v>75</v>
      </c>
      <c r="S527">
        <v>0</v>
      </c>
      <c r="T527">
        <v>20</v>
      </c>
      <c r="U527">
        <v>16</v>
      </c>
      <c r="V527">
        <v>13</v>
      </c>
      <c r="W527">
        <v>0</v>
      </c>
      <c r="X527">
        <v>0</v>
      </c>
    </row>
    <row r="528" spans="1:24" x14ac:dyDescent="0.2">
      <c r="A528">
        <v>6020500</v>
      </c>
      <c r="B528" t="s">
        <v>527</v>
      </c>
      <c r="C528">
        <v>400</v>
      </c>
      <c r="D528">
        <v>400</v>
      </c>
      <c r="E528">
        <v>10000</v>
      </c>
      <c r="F528">
        <v>134</v>
      </c>
      <c r="G528">
        <v>134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</v>
      </c>
      <c r="Q528">
        <v>35</v>
      </c>
      <c r="R528">
        <v>75</v>
      </c>
      <c r="S528">
        <v>0</v>
      </c>
      <c r="T528">
        <v>20</v>
      </c>
      <c r="U528">
        <v>16</v>
      </c>
      <c r="V528">
        <v>13</v>
      </c>
      <c r="W528">
        <v>0</v>
      </c>
      <c r="X528">
        <v>0</v>
      </c>
    </row>
    <row r="529" spans="1:24" x14ac:dyDescent="0.2">
      <c r="A529">
        <v>6020600</v>
      </c>
      <c r="B529" t="s">
        <v>528</v>
      </c>
      <c r="C529">
        <v>600</v>
      </c>
      <c r="D529">
        <v>600</v>
      </c>
      <c r="E529">
        <v>10000</v>
      </c>
      <c r="F529">
        <v>126</v>
      </c>
      <c r="G529">
        <v>0</v>
      </c>
      <c r="H529">
        <v>126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40</v>
      </c>
      <c r="Q529">
        <v>35</v>
      </c>
      <c r="R529">
        <v>0</v>
      </c>
      <c r="S529">
        <v>0</v>
      </c>
      <c r="T529">
        <v>20</v>
      </c>
      <c r="U529">
        <v>16</v>
      </c>
      <c r="V529">
        <v>13</v>
      </c>
      <c r="W529">
        <v>0</v>
      </c>
      <c r="X529">
        <v>0</v>
      </c>
    </row>
    <row r="530" spans="1:24" x14ac:dyDescent="0.2">
      <c r="A530">
        <v>6020700</v>
      </c>
      <c r="B530" t="s">
        <v>529</v>
      </c>
      <c r="C530">
        <v>700</v>
      </c>
      <c r="D530">
        <v>700</v>
      </c>
      <c r="E530">
        <v>10000</v>
      </c>
      <c r="F530">
        <v>134</v>
      </c>
      <c r="G530">
        <v>0</v>
      </c>
      <c r="H530">
        <v>134</v>
      </c>
      <c r="I530">
        <v>0</v>
      </c>
      <c r="J530">
        <v>0</v>
      </c>
      <c r="K530">
        <v>0</v>
      </c>
      <c r="L530">
        <v>0</v>
      </c>
      <c r="M530">
        <v>4</v>
      </c>
      <c r="N530">
        <v>0</v>
      </c>
      <c r="O530">
        <v>0</v>
      </c>
      <c r="P530">
        <v>40</v>
      </c>
      <c r="Q530">
        <v>35</v>
      </c>
      <c r="R530">
        <v>75</v>
      </c>
      <c r="S530">
        <v>75</v>
      </c>
      <c r="T530">
        <v>20</v>
      </c>
      <c r="U530">
        <v>16</v>
      </c>
      <c r="V530">
        <v>13</v>
      </c>
      <c r="W530">
        <v>0</v>
      </c>
      <c r="X530">
        <v>0</v>
      </c>
    </row>
    <row r="531" spans="1:24" x14ac:dyDescent="0.2">
      <c r="A531">
        <v>6020800</v>
      </c>
      <c r="B531" t="s">
        <v>530</v>
      </c>
      <c r="C531">
        <v>800</v>
      </c>
      <c r="D531">
        <v>800</v>
      </c>
      <c r="E531">
        <v>10000</v>
      </c>
      <c r="F531">
        <v>134</v>
      </c>
      <c r="G531">
        <v>0</v>
      </c>
      <c r="H531">
        <v>0</v>
      </c>
      <c r="I531">
        <v>134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40</v>
      </c>
      <c r="Q531">
        <v>35</v>
      </c>
      <c r="R531">
        <v>0</v>
      </c>
      <c r="S531">
        <v>75</v>
      </c>
      <c r="T531">
        <v>20</v>
      </c>
      <c r="U531">
        <v>16</v>
      </c>
      <c r="V531">
        <v>13</v>
      </c>
      <c r="W531">
        <v>0</v>
      </c>
      <c r="X531">
        <v>0</v>
      </c>
    </row>
    <row r="532" spans="1:24" x14ac:dyDescent="0.2">
      <c r="A532">
        <v>6020900</v>
      </c>
      <c r="B532" t="s">
        <v>531</v>
      </c>
      <c r="C532">
        <v>900</v>
      </c>
      <c r="D532">
        <v>900</v>
      </c>
      <c r="E532">
        <v>10000</v>
      </c>
      <c r="F532">
        <v>126</v>
      </c>
      <c r="G532">
        <v>0</v>
      </c>
      <c r="H532">
        <v>0</v>
      </c>
      <c r="I532">
        <v>0</v>
      </c>
      <c r="J532">
        <v>126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40</v>
      </c>
      <c r="Q532">
        <v>35</v>
      </c>
      <c r="R532">
        <v>0</v>
      </c>
      <c r="S532">
        <v>0</v>
      </c>
      <c r="T532">
        <v>20</v>
      </c>
      <c r="U532">
        <v>16</v>
      </c>
      <c r="V532">
        <v>13</v>
      </c>
      <c r="W532">
        <v>0</v>
      </c>
      <c r="X532">
        <v>0</v>
      </c>
    </row>
    <row r="533" spans="1:24" x14ac:dyDescent="0.2">
      <c r="A533">
        <v>6021000</v>
      </c>
      <c r="B533" t="s">
        <v>532</v>
      </c>
      <c r="C533">
        <v>1000</v>
      </c>
      <c r="D533">
        <v>1000</v>
      </c>
      <c r="E533">
        <v>10000</v>
      </c>
      <c r="F533">
        <v>134</v>
      </c>
      <c r="G533">
        <v>0</v>
      </c>
      <c r="H533">
        <v>0</v>
      </c>
      <c r="I533">
        <v>0</v>
      </c>
      <c r="J533">
        <v>134</v>
      </c>
      <c r="K533">
        <v>0</v>
      </c>
      <c r="L533">
        <v>0</v>
      </c>
      <c r="M533">
        <v>0</v>
      </c>
      <c r="N533">
        <v>0</v>
      </c>
      <c r="O533">
        <v>4</v>
      </c>
      <c r="P533">
        <v>40</v>
      </c>
      <c r="Q533">
        <v>35</v>
      </c>
      <c r="R533">
        <v>75</v>
      </c>
      <c r="S533">
        <v>75</v>
      </c>
      <c r="T533">
        <v>20</v>
      </c>
      <c r="U533">
        <v>16</v>
      </c>
      <c r="V533">
        <v>13</v>
      </c>
      <c r="W533">
        <v>0</v>
      </c>
      <c r="X533">
        <v>0</v>
      </c>
    </row>
    <row r="534" spans="1:24" x14ac:dyDescent="0.2">
      <c r="A534">
        <v>6021100</v>
      </c>
      <c r="B534" t="s">
        <v>533</v>
      </c>
      <c r="C534">
        <v>1100</v>
      </c>
      <c r="D534">
        <v>1100</v>
      </c>
      <c r="E534">
        <v>10000</v>
      </c>
      <c r="F534">
        <v>138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40</v>
      </c>
      <c r="Q534">
        <v>35</v>
      </c>
      <c r="R534">
        <v>0</v>
      </c>
      <c r="S534">
        <v>0</v>
      </c>
      <c r="T534">
        <v>20</v>
      </c>
      <c r="U534">
        <v>16</v>
      </c>
      <c r="V534">
        <v>13</v>
      </c>
      <c r="W534">
        <v>0</v>
      </c>
      <c r="X534">
        <v>0</v>
      </c>
    </row>
    <row r="535" spans="1:24" x14ac:dyDescent="0.2">
      <c r="A535">
        <v>6021200</v>
      </c>
      <c r="B535" t="s">
        <v>534</v>
      </c>
      <c r="C535">
        <v>1200</v>
      </c>
      <c r="D535">
        <v>1200</v>
      </c>
      <c r="E535">
        <v>10000</v>
      </c>
      <c r="F535">
        <v>138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40</v>
      </c>
      <c r="Q535">
        <v>35</v>
      </c>
      <c r="R535">
        <v>0</v>
      </c>
      <c r="S535">
        <v>0</v>
      </c>
      <c r="T535">
        <v>20</v>
      </c>
      <c r="U535">
        <v>16</v>
      </c>
      <c r="V535">
        <v>13</v>
      </c>
      <c r="W535">
        <v>0</v>
      </c>
      <c r="X535">
        <v>0</v>
      </c>
    </row>
    <row r="536" spans="1:24" x14ac:dyDescent="0.2">
      <c r="A536">
        <v>6021300</v>
      </c>
      <c r="B536" t="s">
        <v>535</v>
      </c>
      <c r="C536">
        <v>1300</v>
      </c>
      <c r="D536">
        <v>1300</v>
      </c>
      <c r="E536">
        <v>10000</v>
      </c>
      <c r="F536">
        <v>144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40</v>
      </c>
      <c r="Q536">
        <v>35</v>
      </c>
      <c r="R536">
        <v>0</v>
      </c>
      <c r="S536">
        <v>0</v>
      </c>
      <c r="T536">
        <v>20</v>
      </c>
      <c r="U536">
        <v>16</v>
      </c>
      <c r="V536">
        <v>13</v>
      </c>
      <c r="W536">
        <v>0</v>
      </c>
      <c r="X536">
        <v>0</v>
      </c>
    </row>
    <row r="537" spans="1:24" x14ac:dyDescent="0.2">
      <c r="A537">
        <v>6021400</v>
      </c>
      <c r="B537" t="s">
        <v>536</v>
      </c>
      <c r="C537">
        <v>1400</v>
      </c>
      <c r="D537">
        <v>1400</v>
      </c>
      <c r="E537">
        <v>10014</v>
      </c>
      <c r="F537">
        <v>134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40</v>
      </c>
      <c r="Q537">
        <v>35</v>
      </c>
      <c r="R537">
        <v>0</v>
      </c>
      <c r="S537">
        <v>75</v>
      </c>
      <c r="T537">
        <v>20</v>
      </c>
      <c r="U537">
        <v>16</v>
      </c>
      <c r="V537">
        <v>13</v>
      </c>
      <c r="W537">
        <v>0</v>
      </c>
      <c r="X537">
        <v>0</v>
      </c>
    </row>
    <row r="538" spans="1:24" x14ac:dyDescent="0.2">
      <c r="A538">
        <v>6021500</v>
      </c>
      <c r="B538" t="s">
        <v>537</v>
      </c>
      <c r="C538">
        <v>1500</v>
      </c>
      <c r="D538">
        <v>1500</v>
      </c>
      <c r="E538">
        <v>10015</v>
      </c>
      <c r="F538">
        <v>138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40</v>
      </c>
      <c r="Q538">
        <v>35</v>
      </c>
      <c r="R538">
        <v>0</v>
      </c>
      <c r="S538">
        <v>0</v>
      </c>
      <c r="T538">
        <v>20</v>
      </c>
      <c r="U538">
        <v>16</v>
      </c>
      <c r="V538">
        <v>13</v>
      </c>
      <c r="W538">
        <v>0</v>
      </c>
      <c r="X538">
        <v>0</v>
      </c>
    </row>
    <row r="539" spans="1:24" x14ac:dyDescent="0.2">
      <c r="A539">
        <v>6040000</v>
      </c>
      <c r="B539" t="s">
        <v>538</v>
      </c>
      <c r="C539">
        <v>0</v>
      </c>
      <c r="D539">
        <v>0</v>
      </c>
      <c r="E539">
        <v>10000</v>
      </c>
      <c r="F539">
        <v>145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50</v>
      </c>
      <c r="Q539">
        <v>35</v>
      </c>
      <c r="R539">
        <v>0</v>
      </c>
      <c r="S539">
        <v>0</v>
      </c>
      <c r="T539">
        <v>25</v>
      </c>
      <c r="U539">
        <v>19</v>
      </c>
      <c r="V539">
        <v>11</v>
      </c>
      <c r="W539">
        <v>0</v>
      </c>
      <c r="X539">
        <v>0</v>
      </c>
    </row>
    <row r="540" spans="1:24" x14ac:dyDescent="0.2">
      <c r="A540">
        <v>6040100</v>
      </c>
      <c r="B540" t="s">
        <v>539</v>
      </c>
      <c r="C540">
        <v>200</v>
      </c>
      <c r="D540">
        <v>100</v>
      </c>
      <c r="E540">
        <v>10000</v>
      </c>
      <c r="F540">
        <v>145</v>
      </c>
      <c r="G540">
        <v>0</v>
      </c>
      <c r="H540">
        <v>0</v>
      </c>
      <c r="I540">
        <v>0</v>
      </c>
      <c r="J540">
        <v>0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48</v>
      </c>
      <c r="Q540">
        <v>0</v>
      </c>
      <c r="R540">
        <v>0</v>
      </c>
      <c r="S540">
        <v>0</v>
      </c>
      <c r="T540">
        <v>25</v>
      </c>
      <c r="U540">
        <v>19</v>
      </c>
      <c r="V540">
        <v>11</v>
      </c>
      <c r="W540">
        <v>0</v>
      </c>
      <c r="X540">
        <v>0</v>
      </c>
    </row>
    <row r="541" spans="1:24" x14ac:dyDescent="0.2">
      <c r="A541">
        <v>6040200</v>
      </c>
      <c r="B541" t="s">
        <v>540</v>
      </c>
      <c r="C541">
        <v>100</v>
      </c>
      <c r="D541">
        <v>200</v>
      </c>
      <c r="E541">
        <v>10000</v>
      </c>
      <c r="F541">
        <v>145</v>
      </c>
      <c r="G541">
        <v>0</v>
      </c>
      <c r="H541">
        <v>0</v>
      </c>
      <c r="I541">
        <v>0</v>
      </c>
      <c r="J541">
        <v>0</v>
      </c>
      <c r="K541">
        <v>2</v>
      </c>
      <c r="L541">
        <v>0</v>
      </c>
      <c r="M541">
        <v>0</v>
      </c>
      <c r="N541">
        <v>0</v>
      </c>
      <c r="O541">
        <v>0</v>
      </c>
      <c r="P541">
        <v>14</v>
      </c>
      <c r="Q541">
        <v>43</v>
      </c>
      <c r="R541">
        <v>0</v>
      </c>
      <c r="S541">
        <v>0</v>
      </c>
      <c r="T541">
        <v>25</v>
      </c>
      <c r="U541">
        <v>19</v>
      </c>
      <c r="V541">
        <v>11</v>
      </c>
      <c r="W541">
        <v>0</v>
      </c>
      <c r="X541">
        <v>0</v>
      </c>
    </row>
    <row r="542" spans="1:24" x14ac:dyDescent="0.2">
      <c r="A542">
        <v>6040300</v>
      </c>
      <c r="B542" t="s">
        <v>541</v>
      </c>
      <c r="C542">
        <v>300</v>
      </c>
      <c r="D542">
        <v>300</v>
      </c>
      <c r="E542">
        <v>10000</v>
      </c>
      <c r="F542">
        <v>145</v>
      </c>
      <c r="G542">
        <v>0</v>
      </c>
      <c r="H542">
        <v>0</v>
      </c>
      <c r="I542">
        <v>0</v>
      </c>
      <c r="J542">
        <v>0</v>
      </c>
      <c r="K542">
        <v>8</v>
      </c>
      <c r="L542">
        <v>0</v>
      </c>
      <c r="M542">
        <v>0</v>
      </c>
      <c r="N542">
        <v>0</v>
      </c>
      <c r="O542">
        <v>0</v>
      </c>
      <c r="P542">
        <v>52</v>
      </c>
      <c r="Q542">
        <v>47</v>
      </c>
      <c r="R542">
        <v>0</v>
      </c>
      <c r="S542">
        <v>0</v>
      </c>
      <c r="T542">
        <v>25</v>
      </c>
      <c r="U542">
        <v>19</v>
      </c>
      <c r="V542">
        <v>11</v>
      </c>
      <c r="W542">
        <v>0</v>
      </c>
      <c r="X542">
        <v>0</v>
      </c>
    </row>
    <row r="543" spans="1:24" x14ac:dyDescent="0.2">
      <c r="A543">
        <v>6040400</v>
      </c>
      <c r="B543" t="s">
        <v>542</v>
      </c>
      <c r="C543">
        <v>500</v>
      </c>
      <c r="D543">
        <v>500</v>
      </c>
      <c r="E543">
        <v>10000</v>
      </c>
      <c r="F543">
        <v>140</v>
      </c>
      <c r="G543">
        <v>140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50</v>
      </c>
      <c r="Q543">
        <v>35</v>
      </c>
      <c r="R543">
        <v>85</v>
      </c>
      <c r="S543">
        <v>0</v>
      </c>
      <c r="T543">
        <v>25</v>
      </c>
      <c r="U543">
        <v>19</v>
      </c>
      <c r="V543">
        <v>11</v>
      </c>
      <c r="W543">
        <v>0</v>
      </c>
      <c r="X543">
        <v>0</v>
      </c>
    </row>
    <row r="544" spans="1:24" x14ac:dyDescent="0.2">
      <c r="A544">
        <v>6040500</v>
      </c>
      <c r="B544" t="s">
        <v>543</v>
      </c>
      <c r="C544">
        <v>400</v>
      </c>
      <c r="D544">
        <v>400</v>
      </c>
      <c r="E544">
        <v>10000</v>
      </c>
      <c r="F544">
        <v>140</v>
      </c>
      <c r="G544">
        <v>140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50</v>
      </c>
      <c r="Q544">
        <v>35</v>
      </c>
      <c r="R544">
        <v>85</v>
      </c>
      <c r="S544">
        <v>0</v>
      </c>
      <c r="T544">
        <v>25</v>
      </c>
      <c r="U544">
        <v>19</v>
      </c>
      <c r="V544">
        <v>11</v>
      </c>
      <c r="W544">
        <v>0</v>
      </c>
      <c r="X544">
        <v>0</v>
      </c>
    </row>
    <row r="545" spans="1:24" x14ac:dyDescent="0.2">
      <c r="A545">
        <v>6040600</v>
      </c>
      <c r="B545" t="s">
        <v>544</v>
      </c>
      <c r="C545">
        <v>600</v>
      </c>
      <c r="D545">
        <v>600</v>
      </c>
      <c r="E545">
        <v>10000</v>
      </c>
      <c r="F545">
        <v>132</v>
      </c>
      <c r="G545">
        <v>0</v>
      </c>
      <c r="H545">
        <v>132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50</v>
      </c>
      <c r="Q545">
        <v>35</v>
      </c>
      <c r="R545">
        <v>0</v>
      </c>
      <c r="S545">
        <v>0</v>
      </c>
      <c r="T545">
        <v>25</v>
      </c>
      <c r="U545">
        <v>19</v>
      </c>
      <c r="V545">
        <v>11</v>
      </c>
      <c r="W545">
        <v>0</v>
      </c>
      <c r="X545">
        <v>0</v>
      </c>
    </row>
    <row r="546" spans="1:24" x14ac:dyDescent="0.2">
      <c r="A546">
        <v>6040700</v>
      </c>
      <c r="B546" t="s">
        <v>545</v>
      </c>
      <c r="C546">
        <v>700</v>
      </c>
      <c r="D546">
        <v>700</v>
      </c>
      <c r="E546">
        <v>10000</v>
      </c>
      <c r="F546">
        <v>140</v>
      </c>
      <c r="G546">
        <v>0</v>
      </c>
      <c r="H546">
        <v>140</v>
      </c>
      <c r="I546">
        <v>0</v>
      </c>
      <c r="J546">
        <v>0</v>
      </c>
      <c r="K546">
        <v>0</v>
      </c>
      <c r="L546">
        <v>0</v>
      </c>
      <c r="M546">
        <v>4</v>
      </c>
      <c r="N546">
        <v>0</v>
      </c>
      <c r="O546">
        <v>0</v>
      </c>
      <c r="P546">
        <v>50</v>
      </c>
      <c r="Q546">
        <v>35</v>
      </c>
      <c r="R546">
        <v>85</v>
      </c>
      <c r="S546">
        <v>85</v>
      </c>
      <c r="T546">
        <v>25</v>
      </c>
      <c r="U546">
        <v>19</v>
      </c>
      <c r="V546">
        <v>11</v>
      </c>
      <c r="W546">
        <v>0</v>
      </c>
      <c r="X546">
        <v>0</v>
      </c>
    </row>
    <row r="547" spans="1:24" x14ac:dyDescent="0.2">
      <c r="A547">
        <v>6040800</v>
      </c>
      <c r="B547" t="s">
        <v>546</v>
      </c>
      <c r="C547">
        <v>800</v>
      </c>
      <c r="D547">
        <v>800</v>
      </c>
      <c r="E547">
        <v>10000</v>
      </c>
      <c r="F547">
        <v>140</v>
      </c>
      <c r="G547">
        <v>0</v>
      </c>
      <c r="H547">
        <v>0</v>
      </c>
      <c r="I547">
        <v>140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50</v>
      </c>
      <c r="Q547">
        <v>35</v>
      </c>
      <c r="R547">
        <v>0</v>
      </c>
      <c r="S547">
        <v>85</v>
      </c>
      <c r="T547">
        <v>25</v>
      </c>
      <c r="U547">
        <v>19</v>
      </c>
      <c r="V547">
        <v>11</v>
      </c>
      <c r="W547">
        <v>0</v>
      </c>
      <c r="X547">
        <v>0</v>
      </c>
    </row>
    <row r="548" spans="1:24" x14ac:dyDescent="0.2">
      <c r="A548">
        <v>6040900</v>
      </c>
      <c r="B548" t="s">
        <v>547</v>
      </c>
      <c r="C548">
        <v>900</v>
      </c>
      <c r="D548">
        <v>900</v>
      </c>
      <c r="E548">
        <v>10000</v>
      </c>
      <c r="F548">
        <v>132</v>
      </c>
      <c r="G548">
        <v>0</v>
      </c>
      <c r="H548">
        <v>0</v>
      </c>
      <c r="I548">
        <v>0</v>
      </c>
      <c r="J548">
        <v>132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50</v>
      </c>
      <c r="Q548">
        <v>35</v>
      </c>
      <c r="R548">
        <v>0</v>
      </c>
      <c r="S548">
        <v>0</v>
      </c>
      <c r="T548">
        <v>25</v>
      </c>
      <c r="U548">
        <v>19</v>
      </c>
      <c r="V548">
        <v>11</v>
      </c>
      <c r="W548">
        <v>0</v>
      </c>
      <c r="X548">
        <v>0</v>
      </c>
    </row>
    <row r="549" spans="1:24" x14ac:dyDescent="0.2">
      <c r="A549">
        <v>6041000</v>
      </c>
      <c r="B549" t="s">
        <v>548</v>
      </c>
      <c r="C549">
        <v>1000</v>
      </c>
      <c r="D549">
        <v>1000</v>
      </c>
      <c r="E549">
        <v>10000</v>
      </c>
      <c r="F549">
        <v>140</v>
      </c>
      <c r="G549">
        <v>0</v>
      </c>
      <c r="H549">
        <v>0</v>
      </c>
      <c r="I549">
        <v>0</v>
      </c>
      <c r="J549">
        <v>140</v>
      </c>
      <c r="K549">
        <v>0</v>
      </c>
      <c r="L549">
        <v>0</v>
      </c>
      <c r="M549">
        <v>0</v>
      </c>
      <c r="N549">
        <v>0</v>
      </c>
      <c r="O549">
        <v>4</v>
      </c>
      <c r="P549">
        <v>50</v>
      </c>
      <c r="Q549">
        <v>35</v>
      </c>
      <c r="R549">
        <v>85</v>
      </c>
      <c r="S549">
        <v>85</v>
      </c>
      <c r="T549">
        <v>25</v>
      </c>
      <c r="U549">
        <v>19</v>
      </c>
      <c r="V549">
        <v>11</v>
      </c>
      <c r="W549">
        <v>0</v>
      </c>
      <c r="X549">
        <v>0</v>
      </c>
    </row>
    <row r="550" spans="1:24" x14ac:dyDescent="0.2">
      <c r="A550">
        <v>6041100</v>
      </c>
      <c r="B550" t="s">
        <v>549</v>
      </c>
      <c r="C550">
        <v>1100</v>
      </c>
      <c r="D550">
        <v>1100</v>
      </c>
      <c r="E550">
        <v>10000</v>
      </c>
      <c r="F550">
        <v>145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50</v>
      </c>
      <c r="Q550">
        <v>35</v>
      </c>
      <c r="R550">
        <v>0</v>
      </c>
      <c r="S550">
        <v>0</v>
      </c>
      <c r="T550">
        <v>25</v>
      </c>
      <c r="U550">
        <v>19</v>
      </c>
      <c r="V550">
        <v>11</v>
      </c>
      <c r="W550">
        <v>0</v>
      </c>
      <c r="X550">
        <v>0</v>
      </c>
    </row>
    <row r="551" spans="1:24" x14ac:dyDescent="0.2">
      <c r="A551">
        <v>6041200</v>
      </c>
      <c r="B551" t="s">
        <v>550</v>
      </c>
      <c r="C551">
        <v>1200</v>
      </c>
      <c r="D551">
        <v>1200</v>
      </c>
      <c r="E551">
        <v>10000</v>
      </c>
      <c r="F551">
        <v>145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50</v>
      </c>
      <c r="Q551">
        <v>35</v>
      </c>
      <c r="R551">
        <v>0</v>
      </c>
      <c r="S551">
        <v>0</v>
      </c>
      <c r="T551">
        <v>25</v>
      </c>
      <c r="U551">
        <v>19</v>
      </c>
      <c r="V551">
        <v>11</v>
      </c>
      <c r="W551">
        <v>0</v>
      </c>
      <c r="X551">
        <v>0</v>
      </c>
    </row>
    <row r="552" spans="1:24" x14ac:dyDescent="0.2">
      <c r="A552">
        <v>6041300</v>
      </c>
      <c r="B552" t="s">
        <v>551</v>
      </c>
      <c r="C552">
        <v>1300</v>
      </c>
      <c r="D552">
        <v>1300</v>
      </c>
      <c r="E552">
        <v>10000</v>
      </c>
      <c r="F552">
        <v>157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50</v>
      </c>
      <c r="Q552">
        <v>35</v>
      </c>
      <c r="R552">
        <v>0</v>
      </c>
      <c r="S552">
        <v>0</v>
      </c>
      <c r="T552">
        <v>25</v>
      </c>
      <c r="U552">
        <v>19</v>
      </c>
      <c r="V552">
        <v>11</v>
      </c>
      <c r="W552">
        <v>0</v>
      </c>
      <c r="X552">
        <v>0</v>
      </c>
    </row>
    <row r="553" spans="1:24" x14ac:dyDescent="0.2">
      <c r="A553">
        <v>6041400</v>
      </c>
      <c r="B553" t="s">
        <v>552</v>
      </c>
      <c r="C553">
        <v>1400</v>
      </c>
      <c r="D553">
        <v>1400</v>
      </c>
      <c r="E553">
        <v>10014</v>
      </c>
      <c r="F553">
        <v>140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50</v>
      </c>
      <c r="Q553">
        <v>35</v>
      </c>
      <c r="R553">
        <v>0</v>
      </c>
      <c r="S553">
        <v>85</v>
      </c>
      <c r="T553">
        <v>25</v>
      </c>
      <c r="U553">
        <v>19</v>
      </c>
      <c r="V553">
        <v>11</v>
      </c>
      <c r="W553">
        <v>0</v>
      </c>
      <c r="X553">
        <v>0</v>
      </c>
    </row>
    <row r="554" spans="1:24" x14ac:dyDescent="0.2">
      <c r="A554">
        <v>6041500</v>
      </c>
      <c r="B554" t="s">
        <v>553</v>
      </c>
      <c r="C554">
        <v>1500</v>
      </c>
      <c r="D554">
        <v>1500</v>
      </c>
      <c r="E554">
        <v>10015</v>
      </c>
      <c r="F554">
        <v>145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50</v>
      </c>
      <c r="Q554">
        <v>35</v>
      </c>
      <c r="R554">
        <v>0</v>
      </c>
      <c r="S554">
        <v>0</v>
      </c>
      <c r="T554">
        <v>25</v>
      </c>
      <c r="U554">
        <v>19</v>
      </c>
      <c r="V554">
        <v>11</v>
      </c>
      <c r="W554">
        <v>0</v>
      </c>
      <c r="X554">
        <v>0</v>
      </c>
    </row>
    <row r="555" spans="1:24" x14ac:dyDescent="0.2">
      <c r="A555">
        <v>6050000</v>
      </c>
      <c r="B555" t="s">
        <v>554</v>
      </c>
      <c r="C555">
        <v>0</v>
      </c>
      <c r="D555">
        <v>0</v>
      </c>
      <c r="E555">
        <v>10000</v>
      </c>
      <c r="F555">
        <v>159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50</v>
      </c>
      <c r="Q555">
        <v>30</v>
      </c>
      <c r="R555">
        <v>0</v>
      </c>
      <c r="S555">
        <v>0</v>
      </c>
      <c r="T555">
        <v>24</v>
      </c>
      <c r="U555">
        <v>28</v>
      </c>
      <c r="V555">
        <v>10</v>
      </c>
      <c r="W555">
        <v>0</v>
      </c>
      <c r="X555">
        <v>0</v>
      </c>
    </row>
    <row r="556" spans="1:24" x14ac:dyDescent="0.2">
      <c r="A556">
        <v>6050100</v>
      </c>
      <c r="B556" t="s">
        <v>555</v>
      </c>
      <c r="C556">
        <v>200</v>
      </c>
      <c r="D556">
        <v>100</v>
      </c>
      <c r="E556">
        <v>10000</v>
      </c>
      <c r="F556">
        <v>159</v>
      </c>
      <c r="G556">
        <v>0</v>
      </c>
      <c r="H556">
        <v>0</v>
      </c>
      <c r="I556">
        <v>0</v>
      </c>
      <c r="J556">
        <v>0</v>
      </c>
      <c r="K556">
        <v>1</v>
      </c>
      <c r="L556">
        <v>0</v>
      </c>
      <c r="M556">
        <v>0</v>
      </c>
      <c r="N556">
        <v>0</v>
      </c>
      <c r="O556">
        <v>0</v>
      </c>
      <c r="P556">
        <v>50</v>
      </c>
      <c r="Q556">
        <v>0</v>
      </c>
      <c r="R556">
        <v>0</v>
      </c>
      <c r="S556">
        <v>0</v>
      </c>
      <c r="T556">
        <v>24</v>
      </c>
      <c r="U556">
        <v>28</v>
      </c>
      <c r="V556">
        <v>10</v>
      </c>
      <c r="W556">
        <v>0</v>
      </c>
      <c r="X556">
        <v>0</v>
      </c>
    </row>
    <row r="557" spans="1:24" x14ac:dyDescent="0.2">
      <c r="A557">
        <v>6050200</v>
      </c>
      <c r="B557" t="s">
        <v>556</v>
      </c>
      <c r="C557">
        <v>100</v>
      </c>
      <c r="D557">
        <v>200</v>
      </c>
      <c r="E557">
        <v>10000</v>
      </c>
      <c r="F557">
        <v>159</v>
      </c>
      <c r="G557">
        <v>0</v>
      </c>
      <c r="H557">
        <v>0</v>
      </c>
      <c r="I557">
        <v>0</v>
      </c>
      <c r="J557">
        <v>0</v>
      </c>
      <c r="K557">
        <v>2</v>
      </c>
      <c r="L557">
        <v>0</v>
      </c>
      <c r="M557">
        <v>0</v>
      </c>
      <c r="N557">
        <v>0</v>
      </c>
      <c r="O557">
        <v>0</v>
      </c>
      <c r="P557">
        <v>16</v>
      </c>
      <c r="Q557">
        <v>41</v>
      </c>
      <c r="R557">
        <v>0</v>
      </c>
      <c r="S557">
        <v>0</v>
      </c>
      <c r="T557">
        <v>24</v>
      </c>
      <c r="U557">
        <v>28</v>
      </c>
      <c r="V557">
        <v>10</v>
      </c>
      <c r="W557">
        <v>0</v>
      </c>
      <c r="X557">
        <v>0</v>
      </c>
    </row>
    <row r="558" spans="1:24" x14ac:dyDescent="0.2">
      <c r="A558">
        <v>6050300</v>
      </c>
      <c r="B558" t="s">
        <v>557</v>
      </c>
      <c r="C558">
        <v>300</v>
      </c>
      <c r="D558">
        <v>300</v>
      </c>
      <c r="E558">
        <v>10000</v>
      </c>
      <c r="F558">
        <v>159</v>
      </c>
      <c r="G558">
        <v>0</v>
      </c>
      <c r="H558">
        <v>0</v>
      </c>
      <c r="I558">
        <v>0</v>
      </c>
      <c r="J558">
        <v>0</v>
      </c>
      <c r="K558">
        <v>8</v>
      </c>
      <c r="L558">
        <v>0</v>
      </c>
      <c r="M558">
        <v>0</v>
      </c>
      <c r="N558">
        <v>0</v>
      </c>
      <c r="O558">
        <v>0</v>
      </c>
      <c r="P558">
        <v>50</v>
      </c>
      <c r="Q558">
        <v>45</v>
      </c>
      <c r="R558">
        <v>0</v>
      </c>
      <c r="S558">
        <v>0</v>
      </c>
      <c r="T558">
        <v>24</v>
      </c>
      <c r="U558">
        <v>28</v>
      </c>
      <c r="V558">
        <v>10</v>
      </c>
      <c r="W558">
        <v>0</v>
      </c>
      <c r="X558">
        <v>0</v>
      </c>
    </row>
    <row r="559" spans="1:24" x14ac:dyDescent="0.2">
      <c r="A559">
        <v>6050400</v>
      </c>
      <c r="B559" t="s">
        <v>558</v>
      </c>
      <c r="C559">
        <v>500</v>
      </c>
      <c r="D559">
        <v>500</v>
      </c>
      <c r="E559">
        <v>10000</v>
      </c>
      <c r="F559">
        <v>154</v>
      </c>
      <c r="G559">
        <v>154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50</v>
      </c>
      <c r="Q559">
        <v>30</v>
      </c>
      <c r="R559">
        <v>80</v>
      </c>
      <c r="S559">
        <v>0</v>
      </c>
      <c r="T559">
        <v>24</v>
      </c>
      <c r="U559">
        <v>28</v>
      </c>
      <c r="V559">
        <v>10</v>
      </c>
      <c r="W559">
        <v>0</v>
      </c>
      <c r="X559">
        <v>0</v>
      </c>
    </row>
    <row r="560" spans="1:24" x14ac:dyDescent="0.2">
      <c r="A560">
        <v>6050500</v>
      </c>
      <c r="B560" t="s">
        <v>559</v>
      </c>
      <c r="C560">
        <v>400</v>
      </c>
      <c r="D560">
        <v>400</v>
      </c>
      <c r="E560">
        <v>10000</v>
      </c>
      <c r="F560">
        <v>154</v>
      </c>
      <c r="G560">
        <v>154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50</v>
      </c>
      <c r="Q560">
        <v>30</v>
      </c>
      <c r="R560">
        <v>80</v>
      </c>
      <c r="S560">
        <v>0</v>
      </c>
      <c r="T560">
        <v>24</v>
      </c>
      <c r="U560">
        <v>28</v>
      </c>
      <c r="V560">
        <v>10</v>
      </c>
      <c r="W560">
        <v>0</v>
      </c>
      <c r="X560">
        <v>0</v>
      </c>
    </row>
    <row r="561" spans="1:24" x14ac:dyDescent="0.2">
      <c r="A561">
        <v>6050600</v>
      </c>
      <c r="B561" t="s">
        <v>560</v>
      </c>
      <c r="C561">
        <v>600</v>
      </c>
      <c r="D561">
        <v>600</v>
      </c>
      <c r="E561">
        <v>10000</v>
      </c>
      <c r="F561">
        <v>154</v>
      </c>
      <c r="G561">
        <v>0</v>
      </c>
      <c r="H561">
        <v>154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50</v>
      </c>
      <c r="Q561">
        <v>30</v>
      </c>
      <c r="R561">
        <v>0</v>
      </c>
      <c r="S561">
        <v>0</v>
      </c>
      <c r="T561">
        <v>24</v>
      </c>
      <c r="U561">
        <v>28</v>
      </c>
      <c r="V561">
        <v>10</v>
      </c>
      <c r="W561">
        <v>0</v>
      </c>
      <c r="X561">
        <v>0</v>
      </c>
    </row>
    <row r="562" spans="1:24" x14ac:dyDescent="0.2">
      <c r="A562">
        <v>6050700</v>
      </c>
      <c r="B562" t="s">
        <v>561</v>
      </c>
      <c r="C562">
        <v>700</v>
      </c>
      <c r="D562">
        <v>700</v>
      </c>
      <c r="E562">
        <v>10000</v>
      </c>
      <c r="F562">
        <v>154</v>
      </c>
      <c r="G562">
        <v>0</v>
      </c>
      <c r="H562">
        <v>154</v>
      </c>
      <c r="I562">
        <v>0</v>
      </c>
      <c r="J562">
        <v>0</v>
      </c>
      <c r="K562">
        <v>0</v>
      </c>
      <c r="L562">
        <v>0</v>
      </c>
      <c r="M562">
        <v>4</v>
      </c>
      <c r="N562">
        <v>0</v>
      </c>
      <c r="O562">
        <v>0</v>
      </c>
      <c r="P562">
        <v>50</v>
      </c>
      <c r="Q562">
        <v>30</v>
      </c>
      <c r="R562">
        <v>80</v>
      </c>
      <c r="S562">
        <v>80</v>
      </c>
      <c r="T562">
        <v>24</v>
      </c>
      <c r="U562">
        <v>28</v>
      </c>
      <c r="V562">
        <v>10</v>
      </c>
      <c r="W562">
        <v>0</v>
      </c>
      <c r="X562">
        <v>0</v>
      </c>
    </row>
    <row r="563" spans="1:24" x14ac:dyDescent="0.2">
      <c r="A563">
        <v>6050800</v>
      </c>
      <c r="B563" t="s">
        <v>562</v>
      </c>
      <c r="C563">
        <v>800</v>
      </c>
      <c r="D563">
        <v>800</v>
      </c>
      <c r="E563">
        <v>10000</v>
      </c>
      <c r="F563">
        <v>154</v>
      </c>
      <c r="G563">
        <v>0</v>
      </c>
      <c r="H563">
        <v>0</v>
      </c>
      <c r="I563">
        <v>154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50</v>
      </c>
      <c r="Q563">
        <v>30</v>
      </c>
      <c r="R563">
        <v>0</v>
      </c>
      <c r="S563">
        <v>80</v>
      </c>
      <c r="T563">
        <v>24</v>
      </c>
      <c r="U563">
        <v>28</v>
      </c>
      <c r="V563">
        <v>10</v>
      </c>
      <c r="W563">
        <v>0</v>
      </c>
      <c r="X563">
        <v>0</v>
      </c>
    </row>
    <row r="564" spans="1:24" x14ac:dyDescent="0.2">
      <c r="A564">
        <v>6050900</v>
      </c>
      <c r="B564" t="s">
        <v>563</v>
      </c>
      <c r="C564">
        <v>900</v>
      </c>
      <c r="D564">
        <v>900</v>
      </c>
      <c r="E564">
        <v>10000</v>
      </c>
      <c r="F564">
        <v>154</v>
      </c>
      <c r="G564">
        <v>0</v>
      </c>
      <c r="H564">
        <v>0</v>
      </c>
      <c r="I564">
        <v>0</v>
      </c>
      <c r="J564">
        <v>154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50</v>
      </c>
      <c r="Q564">
        <v>30</v>
      </c>
      <c r="R564">
        <v>0</v>
      </c>
      <c r="S564">
        <v>0</v>
      </c>
      <c r="T564">
        <v>24</v>
      </c>
      <c r="U564">
        <v>28</v>
      </c>
      <c r="V564">
        <v>10</v>
      </c>
      <c r="W564">
        <v>0</v>
      </c>
      <c r="X564">
        <v>0</v>
      </c>
    </row>
    <row r="565" spans="1:24" x14ac:dyDescent="0.2">
      <c r="A565">
        <v>6051000</v>
      </c>
      <c r="B565" t="s">
        <v>564</v>
      </c>
      <c r="C565">
        <v>1000</v>
      </c>
      <c r="D565">
        <v>1000</v>
      </c>
      <c r="E565">
        <v>10000</v>
      </c>
      <c r="F565">
        <v>154</v>
      </c>
      <c r="G565">
        <v>0</v>
      </c>
      <c r="H565">
        <v>0</v>
      </c>
      <c r="I565">
        <v>0</v>
      </c>
      <c r="J565">
        <v>154</v>
      </c>
      <c r="K565">
        <v>0</v>
      </c>
      <c r="L565">
        <v>0</v>
      </c>
      <c r="M565">
        <v>0</v>
      </c>
      <c r="N565">
        <v>0</v>
      </c>
      <c r="O565">
        <v>4</v>
      </c>
      <c r="P565">
        <v>50</v>
      </c>
      <c r="Q565">
        <v>30</v>
      </c>
      <c r="R565">
        <v>80</v>
      </c>
      <c r="S565">
        <v>80</v>
      </c>
      <c r="T565">
        <v>24</v>
      </c>
      <c r="U565">
        <v>28</v>
      </c>
      <c r="V565">
        <v>10</v>
      </c>
      <c r="W565">
        <v>0</v>
      </c>
      <c r="X565">
        <v>0</v>
      </c>
    </row>
    <row r="566" spans="1:24" x14ac:dyDescent="0.2">
      <c r="A566">
        <v>6051100</v>
      </c>
      <c r="B566" t="s">
        <v>565</v>
      </c>
      <c r="C566">
        <v>1100</v>
      </c>
      <c r="D566">
        <v>1100</v>
      </c>
      <c r="E566">
        <v>10000</v>
      </c>
      <c r="F566">
        <v>159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50</v>
      </c>
      <c r="Q566">
        <v>30</v>
      </c>
      <c r="R566">
        <v>0</v>
      </c>
      <c r="S566">
        <v>0</v>
      </c>
      <c r="T566">
        <v>24</v>
      </c>
      <c r="U566">
        <v>28</v>
      </c>
      <c r="V566">
        <v>10</v>
      </c>
      <c r="W566">
        <v>0</v>
      </c>
      <c r="X566">
        <v>0</v>
      </c>
    </row>
    <row r="567" spans="1:24" x14ac:dyDescent="0.2">
      <c r="A567">
        <v>6051200</v>
      </c>
      <c r="B567" t="s">
        <v>566</v>
      </c>
      <c r="C567">
        <v>1200</v>
      </c>
      <c r="D567">
        <v>1200</v>
      </c>
      <c r="E567">
        <v>10000</v>
      </c>
      <c r="F567">
        <v>159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50</v>
      </c>
      <c r="Q567">
        <v>30</v>
      </c>
      <c r="R567">
        <v>0</v>
      </c>
      <c r="S567">
        <v>0</v>
      </c>
      <c r="T567">
        <v>24</v>
      </c>
      <c r="U567">
        <v>28</v>
      </c>
      <c r="V567">
        <v>10</v>
      </c>
      <c r="W567">
        <v>0</v>
      </c>
      <c r="X567">
        <v>0</v>
      </c>
    </row>
    <row r="568" spans="1:24" x14ac:dyDescent="0.2">
      <c r="A568">
        <v>6051300</v>
      </c>
      <c r="B568" t="s">
        <v>567</v>
      </c>
      <c r="C568">
        <v>1300</v>
      </c>
      <c r="D568">
        <v>1300</v>
      </c>
      <c r="E568">
        <v>10000</v>
      </c>
      <c r="F568">
        <v>184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50</v>
      </c>
      <c r="Q568">
        <v>30</v>
      </c>
      <c r="R568">
        <v>0</v>
      </c>
      <c r="S568">
        <v>0</v>
      </c>
      <c r="T568">
        <v>24</v>
      </c>
      <c r="U568">
        <v>28</v>
      </c>
      <c r="V568">
        <v>10</v>
      </c>
      <c r="W568">
        <v>0</v>
      </c>
      <c r="X568">
        <v>0</v>
      </c>
    </row>
    <row r="569" spans="1:24" x14ac:dyDescent="0.2">
      <c r="A569">
        <v>6051400</v>
      </c>
      <c r="B569" t="s">
        <v>568</v>
      </c>
      <c r="C569">
        <v>1400</v>
      </c>
      <c r="D569">
        <v>1400</v>
      </c>
      <c r="E569">
        <v>10014</v>
      </c>
      <c r="F569">
        <v>154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50</v>
      </c>
      <c r="Q569">
        <v>30</v>
      </c>
      <c r="R569">
        <v>0</v>
      </c>
      <c r="S569">
        <v>80</v>
      </c>
      <c r="T569">
        <v>24</v>
      </c>
      <c r="U569">
        <v>28</v>
      </c>
      <c r="V569">
        <v>10</v>
      </c>
      <c r="W569">
        <v>0</v>
      </c>
      <c r="X569">
        <v>0</v>
      </c>
    </row>
    <row r="570" spans="1:24" x14ac:dyDescent="0.2">
      <c r="A570">
        <v>6051500</v>
      </c>
      <c r="B570" t="s">
        <v>569</v>
      </c>
      <c r="C570">
        <v>1500</v>
      </c>
      <c r="D570">
        <v>1500</v>
      </c>
      <c r="E570">
        <v>10015</v>
      </c>
      <c r="F570">
        <v>159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50</v>
      </c>
      <c r="Q570">
        <v>30</v>
      </c>
      <c r="R570">
        <v>0</v>
      </c>
      <c r="S570">
        <v>0</v>
      </c>
      <c r="T570">
        <v>24</v>
      </c>
      <c r="U570">
        <v>28</v>
      </c>
      <c r="V570">
        <v>10</v>
      </c>
      <c r="W570">
        <v>0</v>
      </c>
      <c r="X570">
        <v>0</v>
      </c>
    </row>
    <row r="571" spans="1:24" x14ac:dyDescent="0.2">
      <c r="A571">
        <v>6070000</v>
      </c>
      <c r="B571" t="s">
        <v>570</v>
      </c>
      <c r="C571">
        <v>0</v>
      </c>
      <c r="D571">
        <v>0</v>
      </c>
      <c r="E571">
        <v>10000</v>
      </c>
      <c r="F571">
        <v>132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45</v>
      </c>
      <c r="Q571">
        <v>51</v>
      </c>
      <c r="R571">
        <v>0</v>
      </c>
      <c r="S571">
        <v>0</v>
      </c>
      <c r="T571">
        <v>28</v>
      </c>
      <c r="U571">
        <v>16</v>
      </c>
      <c r="V571">
        <v>18</v>
      </c>
      <c r="W571">
        <v>0</v>
      </c>
      <c r="X571">
        <v>0</v>
      </c>
    </row>
    <row r="572" spans="1:24" x14ac:dyDescent="0.2">
      <c r="A572">
        <v>6070100</v>
      </c>
      <c r="B572" t="s">
        <v>571</v>
      </c>
      <c r="C572">
        <v>200</v>
      </c>
      <c r="D572">
        <v>100</v>
      </c>
      <c r="E572">
        <v>10000</v>
      </c>
      <c r="F572">
        <v>132</v>
      </c>
      <c r="G572">
        <v>0</v>
      </c>
      <c r="H572">
        <v>0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0</v>
      </c>
      <c r="P572">
        <v>48</v>
      </c>
      <c r="Q572">
        <v>0</v>
      </c>
      <c r="R572">
        <v>0</v>
      </c>
      <c r="S572">
        <v>0</v>
      </c>
      <c r="T572">
        <v>28</v>
      </c>
      <c r="U572">
        <v>16</v>
      </c>
      <c r="V572">
        <v>18</v>
      </c>
      <c r="W572">
        <v>0</v>
      </c>
      <c r="X572">
        <v>0</v>
      </c>
    </row>
    <row r="573" spans="1:24" x14ac:dyDescent="0.2">
      <c r="A573">
        <v>6070200</v>
      </c>
      <c r="B573" t="s">
        <v>572</v>
      </c>
      <c r="C573">
        <v>100</v>
      </c>
      <c r="D573">
        <v>5000</v>
      </c>
      <c r="E573">
        <v>10000</v>
      </c>
      <c r="F573">
        <v>132</v>
      </c>
      <c r="G573">
        <v>0</v>
      </c>
      <c r="H573">
        <v>0</v>
      </c>
      <c r="I573">
        <v>0</v>
      </c>
      <c r="J573">
        <v>0</v>
      </c>
      <c r="K573">
        <v>2</v>
      </c>
      <c r="L573">
        <v>0</v>
      </c>
      <c r="M573">
        <v>0</v>
      </c>
      <c r="N573">
        <v>0</v>
      </c>
      <c r="O573">
        <v>0</v>
      </c>
      <c r="P573">
        <v>24</v>
      </c>
      <c r="Q573">
        <v>66</v>
      </c>
      <c r="R573">
        <v>0</v>
      </c>
      <c r="S573">
        <v>0</v>
      </c>
      <c r="T573">
        <v>28</v>
      </c>
      <c r="U573">
        <v>16</v>
      </c>
      <c r="V573">
        <v>18</v>
      </c>
      <c r="W573">
        <v>0</v>
      </c>
      <c r="X573">
        <v>0</v>
      </c>
    </row>
    <row r="574" spans="1:24" x14ac:dyDescent="0.2">
      <c r="A574">
        <v>6070300</v>
      </c>
      <c r="B574" t="s">
        <v>573</v>
      </c>
      <c r="C574">
        <v>300</v>
      </c>
      <c r="D574">
        <v>300</v>
      </c>
      <c r="E574">
        <v>10000</v>
      </c>
      <c r="F574">
        <v>132</v>
      </c>
      <c r="G574">
        <v>0</v>
      </c>
      <c r="H574">
        <v>0</v>
      </c>
      <c r="I574">
        <v>0</v>
      </c>
      <c r="J574">
        <v>0</v>
      </c>
      <c r="K574">
        <v>8</v>
      </c>
      <c r="L574">
        <v>0</v>
      </c>
      <c r="M574">
        <v>0</v>
      </c>
      <c r="N574">
        <v>0</v>
      </c>
      <c r="O574">
        <v>0</v>
      </c>
      <c r="P574">
        <v>53</v>
      </c>
      <c r="Q574">
        <v>58</v>
      </c>
      <c r="R574">
        <v>0</v>
      </c>
      <c r="S574">
        <v>0</v>
      </c>
      <c r="T574">
        <v>28</v>
      </c>
      <c r="U574">
        <v>16</v>
      </c>
      <c r="V574">
        <v>18</v>
      </c>
      <c r="W574">
        <v>0</v>
      </c>
      <c r="X574">
        <v>0</v>
      </c>
    </row>
    <row r="575" spans="1:24" x14ac:dyDescent="0.2">
      <c r="A575">
        <v>6070400</v>
      </c>
      <c r="B575" t="s">
        <v>574</v>
      </c>
      <c r="C575">
        <v>500</v>
      </c>
      <c r="D575">
        <v>500</v>
      </c>
      <c r="E575">
        <v>10000</v>
      </c>
      <c r="F575">
        <v>127</v>
      </c>
      <c r="G575">
        <v>127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45</v>
      </c>
      <c r="Q575">
        <v>51</v>
      </c>
      <c r="R575">
        <v>96</v>
      </c>
      <c r="S575">
        <v>0</v>
      </c>
      <c r="T575">
        <v>28</v>
      </c>
      <c r="U575">
        <v>16</v>
      </c>
      <c r="V575">
        <v>18</v>
      </c>
      <c r="W575">
        <v>0</v>
      </c>
      <c r="X575">
        <v>0</v>
      </c>
    </row>
    <row r="576" spans="1:24" x14ac:dyDescent="0.2">
      <c r="A576">
        <v>6070500</v>
      </c>
      <c r="B576" t="s">
        <v>575</v>
      </c>
      <c r="C576">
        <v>400</v>
      </c>
      <c r="D576">
        <v>400</v>
      </c>
      <c r="E576">
        <v>10000</v>
      </c>
      <c r="F576">
        <v>127</v>
      </c>
      <c r="G576">
        <v>127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45</v>
      </c>
      <c r="Q576">
        <v>51</v>
      </c>
      <c r="R576">
        <v>96</v>
      </c>
      <c r="S576">
        <v>0</v>
      </c>
      <c r="T576">
        <v>28</v>
      </c>
      <c r="U576">
        <v>16</v>
      </c>
      <c r="V576">
        <v>18</v>
      </c>
      <c r="W576">
        <v>0</v>
      </c>
      <c r="X576">
        <v>0</v>
      </c>
    </row>
    <row r="577" spans="1:24" x14ac:dyDescent="0.2">
      <c r="A577">
        <v>6070600</v>
      </c>
      <c r="B577" t="s">
        <v>576</v>
      </c>
      <c r="C577">
        <v>600</v>
      </c>
      <c r="D577">
        <v>600</v>
      </c>
      <c r="E577">
        <v>10000</v>
      </c>
      <c r="F577">
        <v>137</v>
      </c>
      <c r="G577">
        <v>0</v>
      </c>
      <c r="H577">
        <v>137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45</v>
      </c>
      <c r="Q577">
        <v>51</v>
      </c>
      <c r="R577">
        <v>0</v>
      </c>
      <c r="S577">
        <v>0</v>
      </c>
      <c r="T577">
        <v>28</v>
      </c>
      <c r="U577">
        <v>16</v>
      </c>
      <c r="V577">
        <v>18</v>
      </c>
      <c r="W577">
        <v>0</v>
      </c>
      <c r="X577">
        <v>0</v>
      </c>
    </row>
    <row r="578" spans="1:24" x14ac:dyDescent="0.2">
      <c r="A578">
        <v>6070700</v>
      </c>
      <c r="B578" t="s">
        <v>577</v>
      </c>
      <c r="C578">
        <v>700</v>
      </c>
      <c r="D578">
        <v>700</v>
      </c>
      <c r="E578">
        <v>10000</v>
      </c>
      <c r="F578">
        <v>127</v>
      </c>
      <c r="G578">
        <v>0</v>
      </c>
      <c r="H578">
        <v>127</v>
      </c>
      <c r="I578">
        <v>0</v>
      </c>
      <c r="J578">
        <v>0</v>
      </c>
      <c r="K578">
        <v>0</v>
      </c>
      <c r="L578">
        <v>0</v>
      </c>
      <c r="M578">
        <v>4</v>
      </c>
      <c r="N578">
        <v>0</v>
      </c>
      <c r="O578">
        <v>0</v>
      </c>
      <c r="P578">
        <v>45</v>
      </c>
      <c r="Q578">
        <v>51</v>
      </c>
      <c r="R578">
        <v>96</v>
      </c>
      <c r="S578">
        <v>96</v>
      </c>
      <c r="T578">
        <v>28</v>
      </c>
      <c r="U578">
        <v>16</v>
      </c>
      <c r="V578">
        <v>18</v>
      </c>
      <c r="W578">
        <v>0</v>
      </c>
      <c r="X578">
        <v>0</v>
      </c>
    </row>
    <row r="579" spans="1:24" x14ac:dyDescent="0.2">
      <c r="A579">
        <v>6070800</v>
      </c>
      <c r="B579" t="s">
        <v>578</v>
      </c>
      <c r="C579">
        <v>800</v>
      </c>
      <c r="D579">
        <v>800</v>
      </c>
      <c r="E579">
        <v>10000</v>
      </c>
      <c r="F579">
        <v>127</v>
      </c>
      <c r="G579">
        <v>0</v>
      </c>
      <c r="H579">
        <v>0</v>
      </c>
      <c r="I579">
        <v>127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45</v>
      </c>
      <c r="Q579">
        <v>51</v>
      </c>
      <c r="R579">
        <v>0</v>
      </c>
      <c r="S579">
        <v>96</v>
      </c>
      <c r="T579">
        <v>28</v>
      </c>
      <c r="U579">
        <v>16</v>
      </c>
      <c r="V579">
        <v>18</v>
      </c>
      <c r="W579">
        <v>0</v>
      </c>
      <c r="X579">
        <v>0</v>
      </c>
    </row>
    <row r="580" spans="1:24" x14ac:dyDescent="0.2">
      <c r="A580">
        <v>6070900</v>
      </c>
      <c r="B580" t="s">
        <v>579</v>
      </c>
      <c r="C580">
        <v>900</v>
      </c>
      <c r="D580">
        <v>900</v>
      </c>
      <c r="E580">
        <v>10000</v>
      </c>
      <c r="F580">
        <v>137</v>
      </c>
      <c r="G580">
        <v>0</v>
      </c>
      <c r="H580">
        <v>0</v>
      </c>
      <c r="I580">
        <v>0</v>
      </c>
      <c r="J580">
        <v>137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45</v>
      </c>
      <c r="Q580">
        <v>51</v>
      </c>
      <c r="R580">
        <v>0</v>
      </c>
      <c r="S580">
        <v>0</v>
      </c>
      <c r="T580">
        <v>28</v>
      </c>
      <c r="U580">
        <v>16</v>
      </c>
      <c r="V580">
        <v>18</v>
      </c>
      <c r="W580">
        <v>0</v>
      </c>
      <c r="X580">
        <v>0</v>
      </c>
    </row>
    <row r="581" spans="1:24" x14ac:dyDescent="0.2">
      <c r="A581">
        <v>6071000</v>
      </c>
      <c r="B581" t="s">
        <v>580</v>
      </c>
      <c r="C581">
        <v>1000</v>
      </c>
      <c r="D581">
        <v>1000</v>
      </c>
      <c r="E581">
        <v>10000</v>
      </c>
      <c r="F581">
        <v>127</v>
      </c>
      <c r="G581">
        <v>0</v>
      </c>
      <c r="H581">
        <v>0</v>
      </c>
      <c r="I581">
        <v>0</v>
      </c>
      <c r="J581">
        <v>127</v>
      </c>
      <c r="K581">
        <v>0</v>
      </c>
      <c r="L581">
        <v>0</v>
      </c>
      <c r="M581">
        <v>0</v>
      </c>
      <c r="N581">
        <v>0</v>
      </c>
      <c r="O581">
        <v>4</v>
      </c>
      <c r="P581">
        <v>45</v>
      </c>
      <c r="Q581">
        <v>51</v>
      </c>
      <c r="R581">
        <v>96</v>
      </c>
      <c r="S581">
        <v>96</v>
      </c>
      <c r="T581">
        <v>28</v>
      </c>
      <c r="U581">
        <v>16</v>
      </c>
      <c r="V581">
        <v>18</v>
      </c>
      <c r="W581">
        <v>0</v>
      </c>
      <c r="X581">
        <v>0</v>
      </c>
    </row>
    <row r="582" spans="1:24" x14ac:dyDescent="0.2">
      <c r="A582">
        <v>6071100</v>
      </c>
      <c r="B582" t="s">
        <v>581</v>
      </c>
      <c r="C582">
        <v>1100</v>
      </c>
      <c r="D582">
        <v>1100</v>
      </c>
      <c r="E582">
        <v>10000</v>
      </c>
      <c r="F582">
        <v>132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45</v>
      </c>
      <c r="Q582">
        <v>51</v>
      </c>
      <c r="R582">
        <v>0</v>
      </c>
      <c r="S582">
        <v>0</v>
      </c>
      <c r="T582">
        <v>28</v>
      </c>
      <c r="U582">
        <v>16</v>
      </c>
      <c r="V582">
        <v>18</v>
      </c>
      <c r="W582">
        <v>0</v>
      </c>
      <c r="X582">
        <v>0</v>
      </c>
    </row>
    <row r="583" spans="1:24" x14ac:dyDescent="0.2">
      <c r="A583">
        <v>6071200</v>
      </c>
      <c r="B583" t="s">
        <v>582</v>
      </c>
      <c r="C583">
        <v>1200</v>
      </c>
      <c r="D583">
        <v>1200</v>
      </c>
      <c r="E583">
        <v>10000</v>
      </c>
      <c r="F583">
        <v>132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45</v>
      </c>
      <c r="Q583">
        <v>51</v>
      </c>
      <c r="R583">
        <v>0</v>
      </c>
      <c r="S583">
        <v>0</v>
      </c>
      <c r="T583">
        <v>28</v>
      </c>
      <c r="U583">
        <v>16</v>
      </c>
      <c r="V583">
        <v>18</v>
      </c>
      <c r="W583">
        <v>0</v>
      </c>
      <c r="X583">
        <v>0</v>
      </c>
    </row>
    <row r="584" spans="1:24" x14ac:dyDescent="0.2">
      <c r="A584">
        <v>6071300</v>
      </c>
      <c r="B584" t="s">
        <v>583</v>
      </c>
      <c r="C584">
        <v>1300</v>
      </c>
      <c r="D584">
        <v>1300</v>
      </c>
      <c r="E584">
        <v>10000</v>
      </c>
      <c r="F584">
        <v>162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45</v>
      </c>
      <c r="Q584">
        <v>51</v>
      </c>
      <c r="R584">
        <v>0</v>
      </c>
      <c r="S584">
        <v>0</v>
      </c>
      <c r="T584">
        <v>28</v>
      </c>
      <c r="U584">
        <v>16</v>
      </c>
      <c r="V584">
        <v>18</v>
      </c>
      <c r="W584">
        <v>0</v>
      </c>
      <c r="X584">
        <v>0</v>
      </c>
    </row>
    <row r="585" spans="1:24" x14ac:dyDescent="0.2">
      <c r="A585">
        <v>6071400</v>
      </c>
      <c r="B585" t="s">
        <v>584</v>
      </c>
      <c r="C585">
        <v>1400</v>
      </c>
      <c r="D585">
        <v>1400</v>
      </c>
      <c r="E585">
        <v>10014</v>
      </c>
      <c r="F585">
        <v>127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45</v>
      </c>
      <c r="Q585">
        <v>51</v>
      </c>
      <c r="R585">
        <v>0</v>
      </c>
      <c r="S585">
        <v>96</v>
      </c>
      <c r="T585">
        <v>28</v>
      </c>
      <c r="U585">
        <v>16</v>
      </c>
      <c r="V585">
        <v>18</v>
      </c>
      <c r="W585">
        <v>0</v>
      </c>
      <c r="X585">
        <v>0</v>
      </c>
    </row>
    <row r="586" spans="1:24" x14ac:dyDescent="0.2">
      <c r="A586">
        <v>6071500</v>
      </c>
      <c r="B586" t="s">
        <v>585</v>
      </c>
      <c r="C586">
        <v>1500</v>
      </c>
      <c r="D586">
        <v>1500</v>
      </c>
      <c r="E586">
        <v>10015</v>
      </c>
      <c r="F586">
        <v>132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45</v>
      </c>
      <c r="Q586">
        <v>51</v>
      </c>
      <c r="R586">
        <v>0</v>
      </c>
      <c r="S586">
        <v>0</v>
      </c>
      <c r="T586">
        <v>28</v>
      </c>
      <c r="U586">
        <v>16</v>
      </c>
      <c r="V586">
        <v>18</v>
      </c>
      <c r="W586">
        <v>0</v>
      </c>
      <c r="X586">
        <v>0</v>
      </c>
    </row>
    <row r="587" spans="1:24" x14ac:dyDescent="0.2">
      <c r="A587">
        <v>6080000</v>
      </c>
      <c r="B587" t="s">
        <v>586</v>
      </c>
      <c r="C587">
        <v>0</v>
      </c>
      <c r="D587">
        <v>0</v>
      </c>
      <c r="E587">
        <v>10000</v>
      </c>
      <c r="F587">
        <v>132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42</v>
      </c>
      <c r="Q587">
        <v>53</v>
      </c>
      <c r="R587">
        <v>0</v>
      </c>
      <c r="S587">
        <v>0</v>
      </c>
      <c r="T587">
        <v>29</v>
      </c>
      <c r="U587">
        <v>20</v>
      </c>
      <c r="V587">
        <v>18</v>
      </c>
      <c r="W587">
        <v>0</v>
      </c>
      <c r="X587">
        <v>0</v>
      </c>
    </row>
    <row r="588" spans="1:24" x14ac:dyDescent="0.2">
      <c r="A588">
        <v>6080100</v>
      </c>
      <c r="B588" t="s">
        <v>587</v>
      </c>
      <c r="C588">
        <v>200</v>
      </c>
      <c r="D588">
        <v>100</v>
      </c>
      <c r="E588">
        <v>10000</v>
      </c>
      <c r="F588">
        <v>132</v>
      </c>
      <c r="G588">
        <v>0</v>
      </c>
      <c r="H588">
        <v>0</v>
      </c>
      <c r="I588">
        <v>0</v>
      </c>
      <c r="J588">
        <v>0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47</v>
      </c>
      <c r="Q588">
        <v>0</v>
      </c>
      <c r="R588">
        <v>0</v>
      </c>
      <c r="S588">
        <v>0</v>
      </c>
      <c r="T588">
        <v>29</v>
      </c>
      <c r="U588">
        <v>20</v>
      </c>
      <c r="V588">
        <v>18</v>
      </c>
      <c r="W588">
        <v>0</v>
      </c>
      <c r="X588">
        <v>0</v>
      </c>
    </row>
    <row r="589" spans="1:24" x14ac:dyDescent="0.2">
      <c r="A589">
        <v>6080200</v>
      </c>
      <c r="B589" t="s">
        <v>588</v>
      </c>
      <c r="C589">
        <v>100</v>
      </c>
      <c r="D589">
        <v>5000</v>
      </c>
      <c r="E589">
        <v>10000</v>
      </c>
      <c r="F589">
        <v>132</v>
      </c>
      <c r="G589">
        <v>0</v>
      </c>
      <c r="H589">
        <v>0</v>
      </c>
      <c r="I589">
        <v>0</v>
      </c>
      <c r="J589">
        <v>0</v>
      </c>
      <c r="K589">
        <v>2</v>
      </c>
      <c r="L589">
        <v>0</v>
      </c>
      <c r="M589">
        <v>0</v>
      </c>
      <c r="N589">
        <v>0</v>
      </c>
      <c r="O589">
        <v>0</v>
      </c>
      <c r="P589">
        <v>19</v>
      </c>
      <c r="Q589">
        <v>65</v>
      </c>
      <c r="R589">
        <v>0</v>
      </c>
      <c r="S589">
        <v>0</v>
      </c>
      <c r="T589">
        <v>29</v>
      </c>
      <c r="U589">
        <v>20</v>
      </c>
      <c r="V589">
        <v>18</v>
      </c>
      <c r="W589">
        <v>0</v>
      </c>
      <c r="X589">
        <v>0</v>
      </c>
    </row>
    <row r="590" spans="1:24" x14ac:dyDescent="0.2">
      <c r="A590">
        <v>6080300</v>
      </c>
      <c r="B590" t="s">
        <v>589</v>
      </c>
      <c r="C590">
        <v>300</v>
      </c>
      <c r="D590">
        <v>300</v>
      </c>
      <c r="E590">
        <v>10000</v>
      </c>
      <c r="F590">
        <v>132</v>
      </c>
      <c r="G590">
        <v>0</v>
      </c>
      <c r="H590">
        <v>0</v>
      </c>
      <c r="I590">
        <v>0</v>
      </c>
      <c r="J590">
        <v>0</v>
      </c>
      <c r="K590">
        <v>8</v>
      </c>
      <c r="L590">
        <v>0</v>
      </c>
      <c r="M590">
        <v>0</v>
      </c>
      <c r="N590">
        <v>0</v>
      </c>
      <c r="O590">
        <v>0</v>
      </c>
      <c r="P590">
        <v>52</v>
      </c>
      <c r="Q590">
        <v>57</v>
      </c>
      <c r="R590">
        <v>0</v>
      </c>
      <c r="S590">
        <v>0</v>
      </c>
      <c r="T590">
        <v>29</v>
      </c>
      <c r="U590">
        <v>20</v>
      </c>
      <c r="V590">
        <v>18</v>
      </c>
      <c r="W590">
        <v>0</v>
      </c>
      <c r="X590">
        <v>0</v>
      </c>
    </row>
    <row r="591" spans="1:24" x14ac:dyDescent="0.2">
      <c r="A591">
        <v>6080400</v>
      </c>
      <c r="B591" t="s">
        <v>590</v>
      </c>
      <c r="C591">
        <v>500</v>
      </c>
      <c r="D591">
        <v>500</v>
      </c>
      <c r="E591">
        <v>10000</v>
      </c>
      <c r="F591">
        <v>125</v>
      </c>
      <c r="G591">
        <v>125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42</v>
      </c>
      <c r="Q591">
        <v>53</v>
      </c>
      <c r="R591">
        <v>95</v>
      </c>
      <c r="S591">
        <v>0</v>
      </c>
      <c r="T591">
        <v>29</v>
      </c>
      <c r="U591">
        <v>20</v>
      </c>
      <c r="V591">
        <v>18</v>
      </c>
      <c r="W591">
        <v>0</v>
      </c>
      <c r="X591">
        <v>0</v>
      </c>
    </row>
    <row r="592" spans="1:24" x14ac:dyDescent="0.2">
      <c r="A592">
        <v>6080500</v>
      </c>
      <c r="B592" t="s">
        <v>591</v>
      </c>
      <c r="C592">
        <v>400</v>
      </c>
      <c r="D592">
        <v>400</v>
      </c>
      <c r="E592">
        <v>10000</v>
      </c>
      <c r="F592">
        <v>125</v>
      </c>
      <c r="G592">
        <v>125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42</v>
      </c>
      <c r="Q592">
        <v>53</v>
      </c>
      <c r="R592">
        <v>95</v>
      </c>
      <c r="S592">
        <v>0</v>
      </c>
      <c r="T592">
        <v>29</v>
      </c>
      <c r="U592">
        <v>20</v>
      </c>
      <c r="V592">
        <v>18</v>
      </c>
      <c r="W592">
        <v>0</v>
      </c>
      <c r="X592">
        <v>0</v>
      </c>
    </row>
    <row r="593" spans="1:24" x14ac:dyDescent="0.2">
      <c r="A593">
        <v>6080600</v>
      </c>
      <c r="B593" t="s">
        <v>592</v>
      </c>
      <c r="C593">
        <v>600</v>
      </c>
      <c r="D593">
        <v>600</v>
      </c>
      <c r="E593">
        <v>10000</v>
      </c>
      <c r="F593">
        <v>132</v>
      </c>
      <c r="G593">
        <v>0</v>
      </c>
      <c r="H593">
        <v>132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42</v>
      </c>
      <c r="Q593">
        <v>53</v>
      </c>
      <c r="R593">
        <v>0</v>
      </c>
      <c r="S593">
        <v>0</v>
      </c>
      <c r="T593">
        <v>29</v>
      </c>
      <c r="U593">
        <v>20</v>
      </c>
      <c r="V593">
        <v>18</v>
      </c>
      <c r="W593">
        <v>0</v>
      </c>
      <c r="X593">
        <v>0</v>
      </c>
    </row>
    <row r="594" spans="1:24" x14ac:dyDescent="0.2">
      <c r="A594">
        <v>6080700</v>
      </c>
      <c r="B594" t="s">
        <v>593</v>
      </c>
      <c r="C594">
        <v>700</v>
      </c>
      <c r="D594">
        <v>700</v>
      </c>
      <c r="E594">
        <v>10000</v>
      </c>
      <c r="F594">
        <v>125</v>
      </c>
      <c r="G594">
        <v>0</v>
      </c>
      <c r="H594">
        <v>125</v>
      </c>
      <c r="I594">
        <v>0</v>
      </c>
      <c r="J594">
        <v>0</v>
      </c>
      <c r="K594">
        <v>0</v>
      </c>
      <c r="L594">
        <v>0</v>
      </c>
      <c r="M594">
        <v>4</v>
      </c>
      <c r="N594">
        <v>0</v>
      </c>
      <c r="O594">
        <v>0</v>
      </c>
      <c r="P594">
        <v>42</v>
      </c>
      <c r="Q594">
        <v>53</v>
      </c>
      <c r="R594">
        <v>95</v>
      </c>
      <c r="S594">
        <v>95</v>
      </c>
      <c r="T594">
        <v>29</v>
      </c>
      <c r="U594">
        <v>20</v>
      </c>
      <c r="V594">
        <v>18</v>
      </c>
      <c r="W594">
        <v>0</v>
      </c>
      <c r="X594">
        <v>0</v>
      </c>
    </row>
    <row r="595" spans="1:24" x14ac:dyDescent="0.2">
      <c r="A595">
        <v>6080800</v>
      </c>
      <c r="B595" t="s">
        <v>594</v>
      </c>
      <c r="C595">
        <v>800</v>
      </c>
      <c r="D595">
        <v>800</v>
      </c>
      <c r="E595">
        <v>10000</v>
      </c>
      <c r="F595">
        <v>125</v>
      </c>
      <c r="G595">
        <v>0</v>
      </c>
      <c r="H595">
        <v>0</v>
      </c>
      <c r="I595">
        <v>125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42</v>
      </c>
      <c r="Q595">
        <v>53</v>
      </c>
      <c r="R595">
        <v>0</v>
      </c>
      <c r="S595">
        <v>95</v>
      </c>
      <c r="T595">
        <v>29</v>
      </c>
      <c r="U595">
        <v>20</v>
      </c>
      <c r="V595">
        <v>18</v>
      </c>
      <c r="W595">
        <v>0</v>
      </c>
      <c r="X595">
        <v>0</v>
      </c>
    </row>
    <row r="596" spans="1:24" x14ac:dyDescent="0.2">
      <c r="A596">
        <v>6080900</v>
      </c>
      <c r="B596" t="s">
        <v>595</v>
      </c>
      <c r="C596">
        <v>900</v>
      </c>
      <c r="D596">
        <v>900</v>
      </c>
      <c r="E596">
        <v>10000</v>
      </c>
      <c r="F596">
        <v>132</v>
      </c>
      <c r="G596">
        <v>0</v>
      </c>
      <c r="H596">
        <v>0</v>
      </c>
      <c r="I596">
        <v>0</v>
      </c>
      <c r="J596">
        <v>132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42</v>
      </c>
      <c r="Q596">
        <v>53</v>
      </c>
      <c r="R596">
        <v>0</v>
      </c>
      <c r="S596">
        <v>0</v>
      </c>
      <c r="T596">
        <v>29</v>
      </c>
      <c r="U596">
        <v>20</v>
      </c>
      <c r="V596">
        <v>18</v>
      </c>
      <c r="W596">
        <v>0</v>
      </c>
      <c r="X596">
        <v>0</v>
      </c>
    </row>
    <row r="597" spans="1:24" x14ac:dyDescent="0.2">
      <c r="A597">
        <v>6081000</v>
      </c>
      <c r="B597" t="s">
        <v>596</v>
      </c>
      <c r="C597">
        <v>1000</v>
      </c>
      <c r="D597">
        <v>1000</v>
      </c>
      <c r="E597">
        <v>10000</v>
      </c>
      <c r="F597">
        <v>125</v>
      </c>
      <c r="G597">
        <v>0</v>
      </c>
      <c r="H597">
        <v>0</v>
      </c>
      <c r="I597">
        <v>0</v>
      </c>
      <c r="J597">
        <v>125</v>
      </c>
      <c r="K597">
        <v>0</v>
      </c>
      <c r="L597">
        <v>0</v>
      </c>
      <c r="M597">
        <v>0</v>
      </c>
      <c r="N597">
        <v>0</v>
      </c>
      <c r="O597">
        <v>4</v>
      </c>
      <c r="P597">
        <v>42</v>
      </c>
      <c r="Q597">
        <v>53</v>
      </c>
      <c r="R597">
        <v>95</v>
      </c>
      <c r="S597">
        <v>95</v>
      </c>
      <c r="T597">
        <v>29</v>
      </c>
      <c r="U597">
        <v>20</v>
      </c>
      <c r="V597">
        <v>18</v>
      </c>
      <c r="W597">
        <v>0</v>
      </c>
      <c r="X597">
        <v>0</v>
      </c>
    </row>
    <row r="598" spans="1:24" x14ac:dyDescent="0.2">
      <c r="A598">
        <v>6081100</v>
      </c>
      <c r="B598" t="s">
        <v>597</v>
      </c>
      <c r="C598">
        <v>1100</v>
      </c>
      <c r="D598">
        <v>1100</v>
      </c>
      <c r="E598">
        <v>10000</v>
      </c>
      <c r="F598">
        <v>132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42</v>
      </c>
      <c r="Q598">
        <v>53</v>
      </c>
      <c r="R598">
        <v>0</v>
      </c>
      <c r="S598">
        <v>0</v>
      </c>
      <c r="T598">
        <v>29</v>
      </c>
      <c r="U598">
        <v>20</v>
      </c>
      <c r="V598">
        <v>18</v>
      </c>
      <c r="W598">
        <v>0</v>
      </c>
      <c r="X598">
        <v>0</v>
      </c>
    </row>
    <row r="599" spans="1:24" x14ac:dyDescent="0.2">
      <c r="A599">
        <v>6081200</v>
      </c>
      <c r="B599" t="s">
        <v>598</v>
      </c>
      <c r="C599">
        <v>1200</v>
      </c>
      <c r="D599">
        <v>1200</v>
      </c>
      <c r="E599">
        <v>10000</v>
      </c>
      <c r="F599">
        <v>132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42</v>
      </c>
      <c r="Q599">
        <v>53</v>
      </c>
      <c r="R599">
        <v>0</v>
      </c>
      <c r="S599">
        <v>0</v>
      </c>
      <c r="T599">
        <v>29</v>
      </c>
      <c r="U599">
        <v>20</v>
      </c>
      <c r="V599">
        <v>18</v>
      </c>
      <c r="W599">
        <v>0</v>
      </c>
      <c r="X599">
        <v>0</v>
      </c>
    </row>
    <row r="600" spans="1:24" x14ac:dyDescent="0.2">
      <c r="A600">
        <v>6081300</v>
      </c>
      <c r="B600" t="s">
        <v>599</v>
      </c>
      <c r="C600">
        <v>1300</v>
      </c>
      <c r="D600">
        <v>1300</v>
      </c>
      <c r="E600">
        <v>10000</v>
      </c>
      <c r="F600">
        <v>157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42</v>
      </c>
      <c r="Q600">
        <v>53</v>
      </c>
      <c r="R600">
        <v>0</v>
      </c>
      <c r="S600">
        <v>0</v>
      </c>
      <c r="T600">
        <v>29</v>
      </c>
      <c r="U600">
        <v>20</v>
      </c>
      <c r="V600">
        <v>18</v>
      </c>
      <c r="W600">
        <v>0</v>
      </c>
      <c r="X600">
        <v>0</v>
      </c>
    </row>
    <row r="601" spans="1:24" x14ac:dyDescent="0.2">
      <c r="A601">
        <v>6081400</v>
      </c>
      <c r="B601" t="s">
        <v>600</v>
      </c>
      <c r="C601">
        <v>1400</v>
      </c>
      <c r="D601">
        <v>1400</v>
      </c>
      <c r="E601">
        <v>10014</v>
      </c>
      <c r="F601">
        <v>125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42</v>
      </c>
      <c r="Q601">
        <v>53</v>
      </c>
      <c r="R601">
        <v>0</v>
      </c>
      <c r="S601">
        <v>95</v>
      </c>
      <c r="T601">
        <v>29</v>
      </c>
      <c r="U601">
        <v>20</v>
      </c>
      <c r="V601">
        <v>18</v>
      </c>
      <c r="W601">
        <v>0</v>
      </c>
      <c r="X601">
        <v>0</v>
      </c>
    </row>
    <row r="602" spans="1:24" x14ac:dyDescent="0.2">
      <c r="A602">
        <v>6081500</v>
      </c>
      <c r="B602" t="s">
        <v>601</v>
      </c>
      <c r="C602">
        <v>1500</v>
      </c>
      <c r="D602">
        <v>1500</v>
      </c>
      <c r="E602">
        <v>10015</v>
      </c>
      <c r="F602">
        <v>132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42</v>
      </c>
      <c r="Q602">
        <v>53</v>
      </c>
      <c r="R602">
        <v>0</v>
      </c>
      <c r="S602">
        <v>0</v>
      </c>
      <c r="T602">
        <v>29</v>
      </c>
      <c r="U602">
        <v>20</v>
      </c>
      <c r="V602">
        <v>18</v>
      </c>
      <c r="W602">
        <v>0</v>
      </c>
      <c r="X602">
        <v>0</v>
      </c>
    </row>
    <row r="603" spans="1:24" x14ac:dyDescent="0.2">
      <c r="A603">
        <v>6100000</v>
      </c>
      <c r="B603" t="s">
        <v>602</v>
      </c>
      <c r="C603">
        <v>0</v>
      </c>
      <c r="D603">
        <v>0</v>
      </c>
      <c r="E603">
        <v>10000</v>
      </c>
      <c r="F603">
        <v>131</v>
      </c>
      <c r="G603">
        <v>0</v>
      </c>
      <c r="H603">
        <v>0</v>
      </c>
      <c r="I603">
        <v>87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31</v>
      </c>
      <c r="Q603">
        <v>45</v>
      </c>
      <c r="R603">
        <v>0</v>
      </c>
      <c r="S603">
        <v>0</v>
      </c>
      <c r="T603">
        <v>23</v>
      </c>
      <c r="U603">
        <v>24</v>
      </c>
      <c r="V603">
        <v>16</v>
      </c>
      <c r="W603">
        <v>0</v>
      </c>
      <c r="X603">
        <v>0</v>
      </c>
    </row>
    <row r="604" spans="1:24" x14ac:dyDescent="0.2">
      <c r="A604">
        <v>6100100</v>
      </c>
      <c r="B604" t="s">
        <v>603</v>
      </c>
      <c r="C604">
        <v>200</v>
      </c>
      <c r="D604">
        <v>100</v>
      </c>
      <c r="E604">
        <v>10000</v>
      </c>
      <c r="F604">
        <v>131</v>
      </c>
      <c r="G604">
        <v>0</v>
      </c>
      <c r="H604">
        <v>0</v>
      </c>
      <c r="I604">
        <v>87</v>
      </c>
      <c r="J604">
        <v>0</v>
      </c>
      <c r="K604">
        <v>1</v>
      </c>
      <c r="L604">
        <v>0</v>
      </c>
      <c r="M604">
        <v>0</v>
      </c>
      <c r="N604">
        <v>0</v>
      </c>
      <c r="O604">
        <v>0</v>
      </c>
      <c r="P604">
        <v>45</v>
      </c>
      <c r="Q604">
        <v>0</v>
      </c>
      <c r="R604">
        <v>0</v>
      </c>
      <c r="S604">
        <v>0</v>
      </c>
      <c r="T604">
        <v>23</v>
      </c>
      <c r="U604">
        <v>24</v>
      </c>
      <c r="V604">
        <v>16</v>
      </c>
      <c r="W604">
        <v>0</v>
      </c>
      <c r="X604">
        <v>0</v>
      </c>
    </row>
    <row r="605" spans="1:24" x14ac:dyDescent="0.2">
      <c r="A605">
        <v>6100200</v>
      </c>
      <c r="B605" t="s">
        <v>604</v>
      </c>
      <c r="C605">
        <v>100</v>
      </c>
      <c r="D605">
        <v>5000</v>
      </c>
      <c r="E605">
        <v>10000</v>
      </c>
      <c r="F605">
        <v>131</v>
      </c>
      <c r="G605">
        <v>0</v>
      </c>
      <c r="H605">
        <v>0</v>
      </c>
      <c r="I605">
        <v>87</v>
      </c>
      <c r="J605">
        <v>0</v>
      </c>
      <c r="K605">
        <v>2</v>
      </c>
      <c r="L605">
        <v>0</v>
      </c>
      <c r="M605">
        <v>0</v>
      </c>
      <c r="N605">
        <v>0</v>
      </c>
      <c r="O605">
        <v>0</v>
      </c>
      <c r="P605">
        <v>20</v>
      </c>
      <c r="Q605">
        <v>54</v>
      </c>
      <c r="R605">
        <v>0</v>
      </c>
      <c r="S605">
        <v>0</v>
      </c>
      <c r="T605">
        <v>23</v>
      </c>
      <c r="U605">
        <v>24</v>
      </c>
      <c r="V605">
        <v>16</v>
      </c>
      <c r="W605">
        <v>0</v>
      </c>
      <c r="X605">
        <v>0</v>
      </c>
    </row>
    <row r="606" spans="1:24" x14ac:dyDescent="0.2">
      <c r="A606">
        <v>6100300</v>
      </c>
      <c r="B606" t="s">
        <v>605</v>
      </c>
      <c r="C606">
        <v>300</v>
      </c>
      <c r="D606">
        <v>300</v>
      </c>
      <c r="E606">
        <v>10000</v>
      </c>
      <c r="F606">
        <v>131</v>
      </c>
      <c r="G606">
        <v>0</v>
      </c>
      <c r="H606">
        <v>0</v>
      </c>
      <c r="I606">
        <v>87</v>
      </c>
      <c r="J606">
        <v>0</v>
      </c>
      <c r="K606">
        <v>8</v>
      </c>
      <c r="L606">
        <v>0</v>
      </c>
      <c r="M606">
        <v>0</v>
      </c>
      <c r="N606">
        <v>0</v>
      </c>
      <c r="O606">
        <v>0</v>
      </c>
      <c r="P606">
        <v>43</v>
      </c>
      <c r="Q606">
        <v>48</v>
      </c>
      <c r="R606">
        <v>0</v>
      </c>
      <c r="S606">
        <v>0</v>
      </c>
      <c r="T606">
        <v>23</v>
      </c>
      <c r="U606">
        <v>24</v>
      </c>
      <c r="V606">
        <v>16</v>
      </c>
      <c r="W606">
        <v>0</v>
      </c>
      <c r="X606">
        <v>0</v>
      </c>
    </row>
    <row r="607" spans="1:24" x14ac:dyDescent="0.2">
      <c r="A607">
        <v>6100400</v>
      </c>
      <c r="B607" t="s">
        <v>606</v>
      </c>
      <c r="C607">
        <v>500</v>
      </c>
      <c r="D607">
        <v>500</v>
      </c>
      <c r="E607">
        <v>10000</v>
      </c>
      <c r="F607">
        <v>143</v>
      </c>
      <c r="G607">
        <v>143</v>
      </c>
      <c r="H607">
        <v>0</v>
      </c>
      <c r="I607">
        <v>87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31</v>
      </c>
      <c r="Q607">
        <v>45</v>
      </c>
      <c r="R607">
        <v>76</v>
      </c>
      <c r="S607">
        <v>0</v>
      </c>
      <c r="T607">
        <v>23</v>
      </c>
      <c r="U607">
        <v>24</v>
      </c>
      <c r="V607">
        <v>16</v>
      </c>
      <c r="W607">
        <v>0</v>
      </c>
      <c r="X607">
        <v>0</v>
      </c>
    </row>
    <row r="608" spans="1:24" x14ac:dyDescent="0.2">
      <c r="A608">
        <v>6100500</v>
      </c>
      <c r="B608" t="s">
        <v>607</v>
      </c>
      <c r="C608">
        <v>400</v>
      </c>
      <c r="D608">
        <v>400</v>
      </c>
      <c r="E608">
        <v>10000</v>
      </c>
      <c r="F608">
        <v>143</v>
      </c>
      <c r="G608">
        <v>143</v>
      </c>
      <c r="H608">
        <v>0</v>
      </c>
      <c r="I608">
        <v>87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31</v>
      </c>
      <c r="Q608">
        <v>45</v>
      </c>
      <c r="R608">
        <v>76</v>
      </c>
      <c r="S608">
        <v>0</v>
      </c>
      <c r="T608">
        <v>23</v>
      </c>
      <c r="U608">
        <v>24</v>
      </c>
      <c r="V608">
        <v>16</v>
      </c>
      <c r="W608">
        <v>0</v>
      </c>
      <c r="X608">
        <v>0</v>
      </c>
    </row>
    <row r="609" spans="1:24" x14ac:dyDescent="0.2">
      <c r="A609">
        <v>6100600</v>
      </c>
      <c r="B609" t="s">
        <v>608</v>
      </c>
      <c r="C609">
        <v>600</v>
      </c>
      <c r="D609">
        <v>600</v>
      </c>
      <c r="E609">
        <v>10000</v>
      </c>
      <c r="F609">
        <v>136</v>
      </c>
      <c r="G609">
        <v>0</v>
      </c>
      <c r="H609">
        <v>136</v>
      </c>
      <c r="I609">
        <v>87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31</v>
      </c>
      <c r="Q609">
        <v>45</v>
      </c>
      <c r="R609">
        <v>0</v>
      </c>
      <c r="S609">
        <v>0</v>
      </c>
      <c r="T609">
        <v>23</v>
      </c>
      <c r="U609">
        <v>24</v>
      </c>
      <c r="V609">
        <v>16</v>
      </c>
      <c r="W609">
        <v>0</v>
      </c>
      <c r="X609">
        <v>0</v>
      </c>
    </row>
    <row r="610" spans="1:24" x14ac:dyDescent="0.2">
      <c r="A610">
        <v>6100700</v>
      </c>
      <c r="B610" t="s">
        <v>609</v>
      </c>
      <c r="C610">
        <v>700</v>
      </c>
      <c r="D610">
        <v>700</v>
      </c>
      <c r="E610">
        <v>10000</v>
      </c>
      <c r="F610">
        <v>135</v>
      </c>
      <c r="G610">
        <v>0</v>
      </c>
      <c r="H610">
        <v>135</v>
      </c>
      <c r="I610">
        <v>87</v>
      </c>
      <c r="J610">
        <v>0</v>
      </c>
      <c r="K610">
        <v>0</v>
      </c>
      <c r="L610">
        <v>0</v>
      </c>
      <c r="M610">
        <v>4</v>
      </c>
      <c r="N610">
        <v>0</v>
      </c>
      <c r="O610">
        <v>0</v>
      </c>
      <c r="P610">
        <v>31</v>
      </c>
      <c r="Q610">
        <v>45</v>
      </c>
      <c r="R610">
        <v>76</v>
      </c>
      <c r="S610">
        <v>76</v>
      </c>
      <c r="T610">
        <v>23</v>
      </c>
      <c r="U610">
        <v>24</v>
      </c>
      <c r="V610">
        <v>16</v>
      </c>
      <c r="W610">
        <v>0</v>
      </c>
      <c r="X610">
        <v>0</v>
      </c>
    </row>
    <row r="611" spans="1:24" x14ac:dyDescent="0.2">
      <c r="A611">
        <v>6100800</v>
      </c>
      <c r="B611" t="s">
        <v>610</v>
      </c>
      <c r="C611">
        <v>800</v>
      </c>
      <c r="D611">
        <v>800</v>
      </c>
      <c r="E611">
        <v>10000</v>
      </c>
      <c r="F611">
        <v>121</v>
      </c>
      <c r="G611">
        <v>0</v>
      </c>
      <c r="H611">
        <v>0</v>
      </c>
      <c r="I611">
        <v>178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31</v>
      </c>
      <c r="Q611">
        <v>45</v>
      </c>
      <c r="R611">
        <v>0</v>
      </c>
      <c r="S611">
        <v>76</v>
      </c>
      <c r="T611">
        <v>23</v>
      </c>
      <c r="U611">
        <v>24</v>
      </c>
      <c r="V611">
        <v>16</v>
      </c>
      <c r="W611">
        <v>0</v>
      </c>
      <c r="X611">
        <v>0</v>
      </c>
    </row>
    <row r="612" spans="1:24" x14ac:dyDescent="0.2">
      <c r="A612">
        <v>6100900</v>
      </c>
      <c r="B612" t="s">
        <v>611</v>
      </c>
      <c r="C612">
        <v>900</v>
      </c>
      <c r="D612">
        <v>900</v>
      </c>
      <c r="E612">
        <v>10000</v>
      </c>
      <c r="F612">
        <v>136</v>
      </c>
      <c r="G612">
        <v>0</v>
      </c>
      <c r="H612">
        <v>0</v>
      </c>
      <c r="I612">
        <v>87</v>
      </c>
      <c r="J612">
        <v>136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31</v>
      </c>
      <c r="Q612">
        <v>45</v>
      </c>
      <c r="R612">
        <v>0</v>
      </c>
      <c r="S612">
        <v>0</v>
      </c>
      <c r="T612">
        <v>23</v>
      </c>
      <c r="U612">
        <v>24</v>
      </c>
      <c r="V612">
        <v>16</v>
      </c>
      <c r="W612">
        <v>0</v>
      </c>
      <c r="X612">
        <v>0</v>
      </c>
    </row>
    <row r="613" spans="1:24" x14ac:dyDescent="0.2">
      <c r="A613">
        <v>6101000</v>
      </c>
      <c r="B613" t="s">
        <v>612</v>
      </c>
      <c r="C613">
        <v>1000</v>
      </c>
      <c r="D613">
        <v>1000</v>
      </c>
      <c r="E613">
        <v>10000</v>
      </c>
      <c r="F613">
        <v>135</v>
      </c>
      <c r="G613">
        <v>0</v>
      </c>
      <c r="H613">
        <v>0</v>
      </c>
      <c r="I613">
        <v>87</v>
      </c>
      <c r="J613">
        <v>135</v>
      </c>
      <c r="K613">
        <v>0</v>
      </c>
      <c r="L613">
        <v>0</v>
      </c>
      <c r="M613">
        <v>0</v>
      </c>
      <c r="N613">
        <v>0</v>
      </c>
      <c r="O613">
        <v>4</v>
      </c>
      <c r="P613">
        <v>31</v>
      </c>
      <c r="Q613">
        <v>45</v>
      </c>
      <c r="R613">
        <v>76</v>
      </c>
      <c r="S613">
        <v>76</v>
      </c>
      <c r="T613">
        <v>23</v>
      </c>
      <c r="U613">
        <v>24</v>
      </c>
      <c r="V613">
        <v>16</v>
      </c>
      <c r="W613">
        <v>0</v>
      </c>
      <c r="X613">
        <v>0</v>
      </c>
    </row>
    <row r="614" spans="1:24" x14ac:dyDescent="0.2">
      <c r="A614">
        <v>6101100</v>
      </c>
      <c r="B614" t="s">
        <v>613</v>
      </c>
      <c r="C614">
        <v>1100</v>
      </c>
      <c r="D614">
        <v>1100</v>
      </c>
      <c r="E614">
        <v>10000</v>
      </c>
      <c r="F614">
        <v>131</v>
      </c>
      <c r="G614">
        <v>0</v>
      </c>
      <c r="H614">
        <v>0</v>
      </c>
      <c r="I614">
        <v>87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31</v>
      </c>
      <c r="Q614">
        <v>45</v>
      </c>
      <c r="R614">
        <v>0</v>
      </c>
      <c r="S614">
        <v>0</v>
      </c>
      <c r="T614">
        <v>23</v>
      </c>
      <c r="U614">
        <v>24</v>
      </c>
      <c r="V614">
        <v>16</v>
      </c>
      <c r="W614">
        <v>0</v>
      </c>
      <c r="X614">
        <v>0</v>
      </c>
    </row>
    <row r="615" spans="1:24" x14ac:dyDescent="0.2">
      <c r="A615">
        <v>6101200</v>
      </c>
      <c r="B615" t="s">
        <v>614</v>
      </c>
      <c r="C615">
        <v>1200</v>
      </c>
      <c r="D615">
        <v>1200</v>
      </c>
      <c r="E615">
        <v>10000</v>
      </c>
      <c r="F615">
        <v>131</v>
      </c>
      <c r="G615">
        <v>0</v>
      </c>
      <c r="H615">
        <v>0</v>
      </c>
      <c r="I615">
        <v>87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31</v>
      </c>
      <c r="Q615">
        <v>45</v>
      </c>
      <c r="R615">
        <v>0</v>
      </c>
      <c r="S615">
        <v>0</v>
      </c>
      <c r="T615">
        <v>23</v>
      </c>
      <c r="U615">
        <v>24</v>
      </c>
      <c r="V615">
        <v>16</v>
      </c>
      <c r="W615">
        <v>0</v>
      </c>
      <c r="X615">
        <v>0</v>
      </c>
    </row>
    <row r="616" spans="1:24" x14ac:dyDescent="0.2">
      <c r="A616">
        <v>6101300</v>
      </c>
      <c r="B616" t="s">
        <v>615</v>
      </c>
      <c r="C616">
        <v>1300</v>
      </c>
      <c r="D616">
        <v>1300</v>
      </c>
      <c r="E616">
        <v>10000</v>
      </c>
      <c r="F616">
        <v>131</v>
      </c>
      <c r="G616">
        <v>0</v>
      </c>
      <c r="H616">
        <v>0</v>
      </c>
      <c r="I616">
        <v>87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31</v>
      </c>
      <c r="Q616">
        <v>45</v>
      </c>
      <c r="R616">
        <v>0</v>
      </c>
      <c r="S616">
        <v>0</v>
      </c>
      <c r="T616">
        <v>23</v>
      </c>
      <c r="U616">
        <v>24</v>
      </c>
      <c r="V616">
        <v>16</v>
      </c>
      <c r="W616">
        <v>0</v>
      </c>
      <c r="X616">
        <v>0</v>
      </c>
    </row>
    <row r="617" spans="1:24" x14ac:dyDescent="0.2">
      <c r="A617">
        <v>6101400</v>
      </c>
      <c r="B617" t="s">
        <v>616</v>
      </c>
      <c r="C617">
        <v>1400</v>
      </c>
      <c r="D617">
        <v>1400</v>
      </c>
      <c r="E617">
        <v>10014</v>
      </c>
      <c r="F617">
        <v>143</v>
      </c>
      <c r="G617">
        <v>0</v>
      </c>
      <c r="H617">
        <v>0</v>
      </c>
      <c r="I617">
        <v>87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31</v>
      </c>
      <c r="Q617">
        <v>45</v>
      </c>
      <c r="R617">
        <v>0</v>
      </c>
      <c r="S617">
        <v>76</v>
      </c>
      <c r="T617">
        <v>23</v>
      </c>
      <c r="U617">
        <v>24</v>
      </c>
      <c r="V617">
        <v>16</v>
      </c>
      <c r="W617">
        <v>0</v>
      </c>
      <c r="X617">
        <v>0</v>
      </c>
    </row>
    <row r="618" spans="1:24" x14ac:dyDescent="0.2">
      <c r="A618">
        <v>6101500</v>
      </c>
      <c r="B618" t="s">
        <v>617</v>
      </c>
      <c r="C618">
        <v>1500</v>
      </c>
      <c r="D618">
        <v>1500</v>
      </c>
      <c r="E618">
        <v>10015</v>
      </c>
      <c r="F618">
        <v>131</v>
      </c>
      <c r="G618">
        <v>0</v>
      </c>
      <c r="H618">
        <v>0</v>
      </c>
      <c r="I618">
        <v>87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31</v>
      </c>
      <c r="Q618">
        <v>45</v>
      </c>
      <c r="R618">
        <v>0</v>
      </c>
      <c r="S618">
        <v>0</v>
      </c>
      <c r="T618">
        <v>23</v>
      </c>
      <c r="U618">
        <v>24</v>
      </c>
      <c r="V618">
        <v>16</v>
      </c>
      <c r="W618">
        <v>0</v>
      </c>
      <c r="X618">
        <v>0</v>
      </c>
    </row>
    <row r="619" spans="1:24" x14ac:dyDescent="0.2">
      <c r="A619">
        <v>6130000</v>
      </c>
      <c r="B619" t="s">
        <v>618</v>
      </c>
      <c r="C619">
        <v>2200</v>
      </c>
      <c r="D619">
        <v>2200</v>
      </c>
      <c r="E619">
        <v>10000</v>
      </c>
      <c r="F619">
        <v>161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61</v>
      </c>
      <c r="Q619">
        <v>25</v>
      </c>
      <c r="R619">
        <v>0</v>
      </c>
      <c r="S619">
        <v>0</v>
      </c>
      <c r="T619">
        <v>26</v>
      </c>
      <c r="U619">
        <v>30</v>
      </c>
      <c r="V619">
        <v>18</v>
      </c>
      <c r="W619">
        <v>0</v>
      </c>
      <c r="X619">
        <v>0</v>
      </c>
    </row>
    <row r="620" spans="1:24" x14ac:dyDescent="0.2">
      <c r="A620">
        <v>6140000</v>
      </c>
      <c r="B620" t="s">
        <v>619</v>
      </c>
      <c r="C620">
        <v>0</v>
      </c>
      <c r="D620">
        <v>0</v>
      </c>
      <c r="E620">
        <v>10000</v>
      </c>
      <c r="F620">
        <v>158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25</v>
      </c>
      <c r="Q620">
        <v>21</v>
      </c>
      <c r="R620">
        <v>0</v>
      </c>
      <c r="S620">
        <v>0</v>
      </c>
      <c r="T620">
        <v>12</v>
      </c>
      <c r="U620">
        <v>15</v>
      </c>
      <c r="V620">
        <v>14</v>
      </c>
      <c r="W620">
        <v>0</v>
      </c>
      <c r="X620">
        <v>0</v>
      </c>
    </row>
    <row r="621" spans="1:24" x14ac:dyDescent="0.2">
      <c r="A621">
        <v>6140100</v>
      </c>
      <c r="B621" t="s">
        <v>620</v>
      </c>
      <c r="C621">
        <v>200</v>
      </c>
      <c r="D621">
        <v>100</v>
      </c>
      <c r="E621">
        <v>10000</v>
      </c>
      <c r="F621">
        <v>158</v>
      </c>
      <c r="G621">
        <v>0</v>
      </c>
      <c r="H621">
        <v>0</v>
      </c>
      <c r="I621">
        <v>0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0</v>
      </c>
      <c r="P621">
        <v>30</v>
      </c>
      <c r="Q621">
        <v>0</v>
      </c>
      <c r="R621">
        <v>0</v>
      </c>
      <c r="S621">
        <v>0</v>
      </c>
      <c r="T621">
        <v>12</v>
      </c>
      <c r="U621">
        <v>15</v>
      </c>
      <c r="V621">
        <v>14</v>
      </c>
      <c r="W621">
        <v>0</v>
      </c>
      <c r="X621">
        <v>0</v>
      </c>
    </row>
    <row r="622" spans="1:24" x14ac:dyDescent="0.2">
      <c r="A622">
        <v>6140200</v>
      </c>
      <c r="B622" t="s">
        <v>621</v>
      </c>
      <c r="C622">
        <v>100</v>
      </c>
      <c r="D622">
        <v>200</v>
      </c>
      <c r="E622">
        <v>10000</v>
      </c>
      <c r="F622">
        <v>158</v>
      </c>
      <c r="G622">
        <v>0</v>
      </c>
      <c r="H622">
        <v>0</v>
      </c>
      <c r="I622">
        <v>0</v>
      </c>
      <c r="J622">
        <v>0</v>
      </c>
      <c r="K622">
        <v>2</v>
      </c>
      <c r="L622">
        <v>0</v>
      </c>
      <c r="M622">
        <v>0</v>
      </c>
      <c r="N622">
        <v>0</v>
      </c>
      <c r="O622">
        <v>0</v>
      </c>
      <c r="P622">
        <v>9</v>
      </c>
      <c r="Q622">
        <v>31</v>
      </c>
      <c r="R622">
        <v>0</v>
      </c>
      <c r="S622">
        <v>0</v>
      </c>
      <c r="T622">
        <v>12</v>
      </c>
      <c r="U622">
        <v>15</v>
      </c>
      <c r="V622">
        <v>14</v>
      </c>
      <c r="W622">
        <v>0</v>
      </c>
      <c r="X622">
        <v>0</v>
      </c>
    </row>
    <row r="623" spans="1:24" x14ac:dyDescent="0.2">
      <c r="A623">
        <v>6140300</v>
      </c>
      <c r="B623" t="s">
        <v>622</v>
      </c>
      <c r="C623">
        <v>300</v>
      </c>
      <c r="D623">
        <v>300</v>
      </c>
      <c r="E623">
        <v>10000</v>
      </c>
      <c r="F623">
        <v>158</v>
      </c>
      <c r="G623">
        <v>0</v>
      </c>
      <c r="H623">
        <v>0</v>
      </c>
      <c r="I623">
        <v>0</v>
      </c>
      <c r="J623">
        <v>0</v>
      </c>
      <c r="K623">
        <v>8</v>
      </c>
      <c r="L623">
        <v>0</v>
      </c>
      <c r="M623">
        <v>0</v>
      </c>
      <c r="N623">
        <v>0</v>
      </c>
      <c r="O623">
        <v>0</v>
      </c>
      <c r="P623">
        <v>33</v>
      </c>
      <c r="Q623">
        <v>33</v>
      </c>
      <c r="R623">
        <v>0</v>
      </c>
      <c r="S623">
        <v>0</v>
      </c>
      <c r="T623">
        <v>12</v>
      </c>
      <c r="U623">
        <v>15</v>
      </c>
      <c r="V623">
        <v>14</v>
      </c>
      <c r="W623">
        <v>0</v>
      </c>
      <c r="X623">
        <v>0</v>
      </c>
    </row>
    <row r="624" spans="1:24" x14ac:dyDescent="0.2">
      <c r="A624">
        <v>6140400</v>
      </c>
      <c r="B624" t="s">
        <v>623</v>
      </c>
      <c r="C624">
        <v>500</v>
      </c>
      <c r="D624">
        <v>500</v>
      </c>
      <c r="E624">
        <v>10000</v>
      </c>
      <c r="F624">
        <v>157</v>
      </c>
      <c r="G624">
        <v>157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25</v>
      </c>
      <c r="Q624">
        <v>21</v>
      </c>
      <c r="R624">
        <v>46</v>
      </c>
      <c r="S624">
        <v>0</v>
      </c>
      <c r="T624">
        <v>12</v>
      </c>
      <c r="U624">
        <v>15</v>
      </c>
      <c r="V624">
        <v>14</v>
      </c>
      <c r="W624">
        <v>0</v>
      </c>
      <c r="X624">
        <v>0</v>
      </c>
    </row>
    <row r="625" spans="1:24" x14ac:dyDescent="0.2">
      <c r="A625">
        <v>6140500</v>
      </c>
      <c r="B625" t="s">
        <v>624</v>
      </c>
      <c r="C625">
        <v>400</v>
      </c>
      <c r="D625">
        <v>400</v>
      </c>
      <c r="E625">
        <v>10000</v>
      </c>
      <c r="F625">
        <v>157</v>
      </c>
      <c r="G625">
        <v>157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25</v>
      </c>
      <c r="Q625">
        <v>21</v>
      </c>
      <c r="R625">
        <v>46</v>
      </c>
      <c r="S625">
        <v>0</v>
      </c>
      <c r="T625">
        <v>12</v>
      </c>
      <c r="U625">
        <v>15</v>
      </c>
      <c r="V625">
        <v>14</v>
      </c>
      <c r="W625">
        <v>0</v>
      </c>
      <c r="X625">
        <v>0</v>
      </c>
    </row>
    <row r="626" spans="1:24" x14ac:dyDescent="0.2">
      <c r="A626">
        <v>6140600</v>
      </c>
      <c r="B626" t="s">
        <v>625</v>
      </c>
      <c r="C626">
        <v>600</v>
      </c>
      <c r="D626">
        <v>600</v>
      </c>
      <c r="E626">
        <v>10000</v>
      </c>
      <c r="F626">
        <v>123</v>
      </c>
      <c r="G626">
        <v>0</v>
      </c>
      <c r="H626">
        <v>123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25</v>
      </c>
      <c r="Q626">
        <v>21</v>
      </c>
      <c r="R626">
        <v>0</v>
      </c>
      <c r="S626">
        <v>0</v>
      </c>
      <c r="T626">
        <v>12</v>
      </c>
      <c r="U626">
        <v>15</v>
      </c>
      <c r="V626">
        <v>14</v>
      </c>
      <c r="W626">
        <v>0</v>
      </c>
      <c r="X626">
        <v>0</v>
      </c>
    </row>
    <row r="627" spans="1:24" x14ac:dyDescent="0.2">
      <c r="A627">
        <v>6140700</v>
      </c>
      <c r="B627" t="s">
        <v>626</v>
      </c>
      <c r="C627">
        <v>700</v>
      </c>
      <c r="D627">
        <v>700</v>
      </c>
      <c r="E627">
        <v>10000</v>
      </c>
      <c r="F627">
        <v>154</v>
      </c>
      <c r="G627">
        <v>0</v>
      </c>
      <c r="H627">
        <v>154</v>
      </c>
      <c r="I627">
        <v>0</v>
      </c>
      <c r="J627">
        <v>0</v>
      </c>
      <c r="K627">
        <v>0</v>
      </c>
      <c r="L627">
        <v>0</v>
      </c>
      <c r="M627">
        <v>4</v>
      </c>
      <c r="N627">
        <v>0</v>
      </c>
      <c r="O627">
        <v>0</v>
      </c>
      <c r="P627">
        <v>25</v>
      </c>
      <c r="Q627">
        <v>21</v>
      </c>
      <c r="R627">
        <v>46</v>
      </c>
      <c r="S627">
        <v>46</v>
      </c>
      <c r="T627">
        <v>12</v>
      </c>
      <c r="U627">
        <v>15</v>
      </c>
      <c r="V627">
        <v>14</v>
      </c>
      <c r="W627">
        <v>0</v>
      </c>
      <c r="X627">
        <v>0</v>
      </c>
    </row>
    <row r="628" spans="1:24" x14ac:dyDescent="0.2">
      <c r="A628">
        <v>6140800</v>
      </c>
      <c r="B628" t="s">
        <v>627</v>
      </c>
      <c r="C628">
        <v>800</v>
      </c>
      <c r="D628">
        <v>800</v>
      </c>
      <c r="E628">
        <v>10000</v>
      </c>
      <c r="F628">
        <v>154</v>
      </c>
      <c r="G628">
        <v>0</v>
      </c>
      <c r="H628">
        <v>0</v>
      </c>
      <c r="I628">
        <v>154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25</v>
      </c>
      <c r="Q628">
        <v>21</v>
      </c>
      <c r="R628">
        <v>0</v>
      </c>
      <c r="S628">
        <v>46</v>
      </c>
      <c r="T628">
        <v>12</v>
      </c>
      <c r="U628">
        <v>15</v>
      </c>
      <c r="V628">
        <v>14</v>
      </c>
      <c r="W628">
        <v>0</v>
      </c>
      <c r="X628">
        <v>0</v>
      </c>
    </row>
    <row r="629" spans="1:24" x14ac:dyDescent="0.2">
      <c r="A629">
        <v>6140900</v>
      </c>
      <c r="B629" t="s">
        <v>628</v>
      </c>
      <c r="C629">
        <v>900</v>
      </c>
      <c r="D629">
        <v>900</v>
      </c>
      <c r="E629">
        <v>10000</v>
      </c>
      <c r="F629">
        <v>123</v>
      </c>
      <c r="G629">
        <v>0</v>
      </c>
      <c r="H629">
        <v>0</v>
      </c>
      <c r="I629">
        <v>0</v>
      </c>
      <c r="J629">
        <v>123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25</v>
      </c>
      <c r="Q629">
        <v>21</v>
      </c>
      <c r="R629">
        <v>0</v>
      </c>
      <c r="S629">
        <v>0</v>
      </c>
      <c r="T629">
        <v>12</v>
      </c>
      <c r="U629">
        <v>15</v>
      </c>
      <c r="V629">
        <v>14</v>
      </c>
      <c r="W629">
        <v>0</v>
      </c>
      <c r="X629">
        <v>0</v>
      </c>
    </row>
    <row r="630" spans="1:24" x14ac:dyDescent="0.2">
      <c r="A630">
        <v>6141000</v>
      </c>
      <c r="B630" t="s">
        <v>629</v>
      </c>
      <c r="C630">
        <v>1000</v>
      </c>
      <c r="D630">
        <v>1000</v>
      </c>
      <c r="E630">
        <v>10000</v>
      </c>
      <c r="F630">
        <v>154</v>
      </c>
      <c r="G630">
        <v>0</v>
      </c>
      <c r="H630">
        <v>0</v>
      </c>
      <c r="I630">
        <v>0</v>
      </c>
      <c r="J630">
        <v>154</v>
      </c>
      <c r="K630">
        <v>0</v>
      </c>
      <c r="L630">
        <v>0</v>
      </c>
      <c r="M630">
        <v>0</v>
      </c>
      <c r="N630">
        <v>0</v>
      </c>
      <c r="O630">
        <v>4</v>
      </c>
      <c r="P630">
        <v>25</v>
      </c>
      <c r="Q630">
        <v>21</v>
      </c>
      <c r="R630">
        <v>46</v>
      </c>
      <c r="S630">
        <v>46</v>
      </c>
      <c r="T630">
        <v>12</v>
      </c>
      <c r="U630">
        <v>15</v>
      </c>
      <c r="V630">
        <v>14</v>
      </c>
      <c r="W630">
        <v>0</v>
      </c>
      <c r="X630">
        <v>0</v>
      </c>
    </row>
    <row r="631" spans="1:24" x14ac:dyDescent="0.2">
      <c r="A631">
        <v>6141100</v>
      </c>
      <c r="B631" t="s">
        <v>630</v>
      </c>
      <c r="C631">
        <v>1100</v>
      </c>
      <c r="D631">
        <v>1100</v>
      </c>
      <c r="E631">
        <v>10000</v>
      </c>
      <c r="F631">
        <v>158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25</v>
      </c>
      <c r="Q631">
        <v>21</v>
      </c>
      <c r="R631">
        <v>0</v>
      </c>
      <c r="S631">
        <v>0</v>
      </c>
      <c r="T631">
        <v>12</v>
      </c>
      <c r="U631">
        <v>15</v>
      </c>
      <c r="V631">
        <v>14</v>
      </c>
      <c r="W631">
        <v>0</v>
      </c>
      <c r="X631">
        <v>0</v>
      </c>
    </row>
    <row r="632" spans="1:24" x14ac:dyDescent="0.2">
      <c r="A632">
        <v>6141200</v>
      </c>
      <c r="B632" t="s">
        <v>631</v>
      </c>
      <c r="C632">
        <v>1200</v>
      </c>
      <c r="D632">
        <v>1200</v>
      </c>
      <c r="E632">
        <v>10000</v>
      </c>
      <c r="F632">
        <v>158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25</v>
      </c>
      <c r="Q632">
        <v>21</v>
      </c>
      <c r="R632">
        <v>0</v>
      </c>
      <c r="S632">
        <v>0</v>
      </c>
      <c r="T632">
        <v>12</v>
      </c>
      <c r="U632">
        <v>15</v>
      </c>
      <c r="V632">
        <v>14</v>
      </c>
      <c r="W632">
        <v>0</v>
      </c>
      <c r="X632">
        <v>0</v>
      </c>
    </row>
    <row r="633" spans="1:24" x14ac:dyDescent="0.2">
      <c r="A633">
        <v>6141300</v>
      </c>
      <c r="B633" t="s">
        <v>632</v>
      </c>
      <c r="C633">
        <v>1300</v>
      </c>
      <c r="D633">
        <v>1300</v>
      </c>
      <c r="E633">
        <v>10000</v>
      </c>
      <c r="F633">
        <v>143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25</v>
      </c>
      <c r="Q633">
        <v>21</v>
      </c>
      <c r="R633">
        <v>0</v>
      </c>
      <c r="S633">
        <v>0</v>
      </c>
      <c r="T633">
        <v>12</v>
      </c>
      <c r="U633">
        <v>15</v>
      </c>
      <c r="V633">
        <v>14</v>
      </c>
      <c r="W633">
        <v>0</v>
      </c>
      <c r="X633">
        <v>0</v>
      </c>
    </row>
    <row r="634" spans="1:24" x14ac:dyDescent="0.2">
      <c r="A634">
        <v>6141400</v>
      </c>
      <c r="B634" t="s">
        <v>633</v>
      </c>
      <c r="C634">
        <v>1400</v>
      </c>
      <c r="D634">
        <v>1400</v>
      </c>
      <c r="E634">
        <v>10014</v>
      </c>
      <c r="F634">
        <v>154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25</v>
      </c>
      <c r="Q634">
        <v>21</v>
      </c>
      <c r="R634">
        <v>0</v>
      </c>
      <c r="S634">
        <v>46</v>
      </c>
      <c r="T634">
        <v>12</v>
      </c>
      <c r="U634">
        <v>15</v>
      </c>
      <c r="V634">
        <v>14</v>
      </c>
      <c r="W634">
        <v>0</v>
      </c>
      <c r="X634">
        <v>0</v>
      </c>
    </row>
    <row r="635" spans="1:24" x14ac:dyDescent="0.2">
      <c r="A635">
        <v>6141500</v>
      </c>
      <c r="B635" t="s">
        <v>634</v>
      </c>
      <c r="C635">
        <v>1500</v>
      </c>
      <c r="D635">
        <v>1500</v>
      </c>
      <c r="E635">
        <v>10015</v>
      </c>
      <c r="F635">
        <v>158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25</v>
      </c>
      <c r="Q635">
        <v>21</v>
      </c>
      <c r="R635">
        <v>0</v>
      </c>
      <c r="S635">
        <v>0</v>
      </c>
      <c r="T635">
        <v>12</v>
      </c>
      <c r="U635">
        <v>15</v>
      </c>
      <c r="V635">
        <v>14</v>
      </c>
      <c r="W635">
        <v>0</v>
      </c>
      <c r="X635">
        <v>0</v>
      </c>
    </row>
    <row r="636" spans="1:24" x14ac:dyDescent="0.2">
      <c r="A636">
        <v>6150000</v>
      </c>
      <c r="B636" t="s">
        <v>635</v>
      </c>
      <c r="C636">
        <v>0</v>
      </c>
      <c r="D636">
        <v>0</v>
      </c>
      <c r="E636">
        <v>10000</v>
      </c>
      <c r="F636">
        <v>148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60</v>
      </c>
      <c r="Q636">
        <v>25</v>
      </c>
      <c r="R636">
        <v>0</v>
      </c>
      <c r="S636">
        <v>0</v>
      </c>
      <c r="T636">
        <v>25</v>
      </c>
      <c r="U636">
        <v>24</v>
      </c>
      <c r="V636">
        <v>16</v>
      </c>
      <c r="W636">
        <v>0</v>
      </c>
      <c r="X636">
        <v>0</v>
      </c>
    </row>
    <row r="637" spans="1:24" x14ac:dyDescent="0.2">
      <c r="A637">
        <v>6150100</v>
      </c>
      <c r="B637" t="s">
        <v>636</v>
      </c>
      <c r="C637">
        <v>200</v>
      </c>
      <c r="D637">
        <v>100</v>
      </c>
      <c r="E637">
        <v>10000</v>
      </c>
      <c r="F637">
        <v>148</v>
      </c>
      <c r="G637">
        <v>0</v>
      </c>
      <c r="H637">
        <v>0</v>
      </c>
      <c r="I637">
        <v>0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0</v>
      </c>
      <c r="P637">
        <v>54</v>
      </c>
      <c r="Q637">
        <v>0</v>
      </c>
      <c r="R637">
        <v>0</v>
      </c>
      <c r="S637">
        <v>0</v>
      </c>
      <c r="T637">
        <v>25</v>
      </c>
      <c r="U637">
        <v>24</v>
      </c>
      <c r="V637">
        <v>16</v>
      </c>
      <c r="W637">
        <v>0</v>
      </c>
      <c r="X637">
        <v>0</v>
      </c>
    </row>
    <row r="638" spans="1:24" x14ac:dyDescent="0.2">
      <c r="A638">
        <v>6150200</v>
      </c>
      <c r="B638" t="s">
        <v>637</v>
      </c>
      <c r="C638">
        <v>100</v>
      </c>
      <c r="D638">
        <v>200</v>
      </c>
      <c r="E638">
        <v>10000</v>
      </c>
      <c r="F638">
        <v>148</v>
      </c>
      <c r="G638">
        <v>0</v>
      </c>
      <c r="H638">
        <v>0</v>
      </c>
      <c r="I638">
        <v>0</v>
      </c>
      <c r="J638">
        <v>0</v>
      </c>
      <c r="K638">
        <v>2</v>
      </c>
      <c r="L638">
        <v>0</v>
      </c>
      <c r="M638">
        <v>0</v>
      </c>
      <c r="N638">
        <v>0</v>
      </c>
      <c r="O638">
        <v>0</v>
      </c>
      <c r="P638">
        <v>60</v>
      </c>
      <c r="Q638">
        <v>25</v>
      </c>
      <c r="R638">
        <v>0</v>
      </c>
      <c r="S638">
        <v>0</v>
      </c>
      <c r="T638">
        <v>25</v>
      </c>
      <c r="U638">
        <v>24</v>
      </c>
      <c r="V638">
        <v>16</v>
      </c>
      <c r="W638">
        <v>0</v>
      </c>
      <c r="X638">
        <v>0</v>
      </c>
    </row>
    <row r="639" spans="1:24" x14ac:dyDescent="0.2">
      <c r="A639">
        <v>6150300</v>
      </c>
      <c r="B639" t="s">
        <v>638</v>
      </c>
      <c r="C639">
        <v>300</v>
      </c>
      <c r="D639">
        <v>300</v>
      </c>
      <c r="E639">
        <v>10000</v>
      </c>
      <c r="F639">
        <v>148</v>
      </c>
      <c r="G639">
        <v>0</v>
      </c>
      <c r="H639">
        <v>0</v>
      </c>
      <c r="I639">
        <v>0</v>
      </c>
      <c r="J639">
        <v>0</v>
      </c>
      <c r="K639">
        <v>8</v>
      </c>
      <c r="L639">
        <v>0</v>
      </c>
      <c r="M639">
        <v>0</v>
      </c>
      <c r="N639">
        <v>0</v>
      </c>
      <c r="O639">
        <v>0</v>
      </c>
      <c r="P639">
        <v>52</v>
      </c>
      <c r="Q639">
        <v>52</v>
      </c>
      <c r="R639">
        <v>0</v>
      </c>
      <c r="S639">
        <v>0</v>
      </c>
      <c r="T639">
        <v>25</v>
      </c>
      <c r="U639">
        <v>24</v>
      </c>
      <c r="V639">
        <v>16</v>
      </c>
      <c r="W639">
        <v>0</v>
      </c>
      <c r="X639">
        <v>0</v>
      </c>
    </row>
    <row r="640" spans="1:24" x14ac:dyDescent="0.2">
      <c r="A640">
        <v>6150400</v>
      </c>
      <c r="B640" t="s">
        <v>639</v>
      </c>
      <c r="C640">
        <v>500</v>
      </c>
      <c r="D640">
        <v>500</v>
      </c>
      <c r="E640">
        <v>10000</v>
      </c>
      <c r="F640">
        <v>147</v>
      </c>
      <c r="G640">
        <v>147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60</v>
      </c>
      <c r="Q640">
        <v>25</v>
      </c>
      <c r="R640">
        <v>85</v>
      </c>
      <c r="S640">
        <v>0</v>
      </c>
      <c r="T640">
        <v>25</v>
      </c>
      <c r="U640">
        <v>24</v>
      </c>
      <c r="V640">
        <v>16</v>
      </c>
      <c r="W640">
        <v>0</v>
      </c>
      <c r="X640">
        <v>0</v>
      </c>
    </row>
    <row r="641" spans="1:24" x14ac:dyDescent="0.2">
      <c r="A641">
        <v>6150500</v>
      </c>
      <c r="B641" t="s">
        <v>640</v>
      </c>
      <c r="C641">
        <v>400</v>
      </c>
      <c r="D641">
        <v>400</v>
      </c>
      <c r="E641">
        <v>10000</v>
      </c>
      <c r="F641">
        <v>147</v>
      </c>
      <c r="G641">
        <v>147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60</v>
      </c>
      <c r="Q641">
        <v>25</v>
      </c>
      <c r="R641">
        <v>85</v>
      </c>
      <c r="S641">
        <v>0</v>
      </c>
      <c r="T641">
        <v>25</v>
      </c>
      <c r="U641">
        <v>24</v>
      </c>
      <c r="V641">
        <v>16</v>
      </c>
      <c r="W641">
        <v>0</v>
      </c>
      <c r="X641">
        <v>0</v>
      </c>
    </row>
    <row r="642" spans="1:24" x14ac:dyDescent="0.2">
      <c r="A642">
        <v>6150600</v>
      </c>
      <c r="B642" t="s">
        <v>641</v>
      </c>
      <c r="C642">
        <v>600</v>
      </c>
      <c r="D642">
        <v>600</v>
      </c>
      <c r="E642">
        <v>10000</v>
      </c>
      <c r="F642">
        <v>143</v>
      </c>
      <c r="G642">
        <v>0</v>
      </c>
      <c r="H642">
        <v>143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60</v>
      </c>
      <c r="Q642">
        <v>25</v>
      </c>
      <c r="R642">
        <v>0</v>
      </c>
      <c r="S642">
        <v>0</v>
      </c>
      <c r="T642">
        <v>25</v>
      </c>
      <c r="U642">
        <v>24</v>
      </c>
      <c r="V642">
        <v>16</v>
      </c>
      <c r="W642">
        <v>0</v>
      </c>
      <c r="X642">
        <v>0</v>
      </c>
    </row>
    <row r="643" spans="1:24" x14ac:dyDescent="0.2">
      <c r="A643">
        <v>6150700</v>
      </c>
      <c r="B643" t="s">
        <v>642</v>
      </c>
      <c r="C643">
        <v>700</v>
      </c>
      <c r="D643">
        <v>700</v>
      </c>
      <c r="E643">
        <v>10000</v>
      </c>
      <c r="F643">
        <v>147</v>
      </c>
      <c r="G643">
        <v>0</v>
      </c>
      <c r="H643">
        <v>147</v>
      </c>
      <c r="I643">
        <v>0</v>
      </c>
      <c r="J643">
        <v>0</v>
      </c>
      <c r="K643">
        <v>0</v>
      </c>
      <c r="L643">
        <v>0</v>
      </c>
      <c r="M643">
        <v>4</v>
      </c>
      <c r="N643">
        <v>0</v>
      </c>
      <c r="O643">
        <v>0</v>
      </c>
      <c r="P643">
        <v>60</v>
      </c>
      <c r="Q643">
        <v>25</v>
      </c>
      <c r="R643">
        <v>85</v>
      </c>
      <c r="S643">
        <v>85</v>
      </c>
      <c r="T643">
        <v>25</v>
      </c>
      <c r="U643">
        <v>24</v>
      </c>
      <c r="V643">
        <v>16</v>
      </c>
      <c r="W643">
        <v>0</v>
      </c>
      <c r="X643">
        <v>0</v>
      </c>
    </row>
    <row r="644" spans="1:24" x14ac:dyDescent="0.2">
      <c r="A644">
        <v>6150800</v>
      </c>
      <c r="B644" t="s">
        <v>643</v>
      </c>
      <c r="C644">
        <v>800</v>
      </c>
      <c r="D644">
        <v>800</v>
      </c>
      <c r="E644">
        <v>10000</v>
      </c>
      <c r="F644">
        <v>147</v>
      </c>
      <c r="G644">
        <v>0</v>
      </c>
      <c r="H644">
        <v>0</v>
      </c>
      <c r="I644">
        <v>147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60</v>
      </c>
      <c r="Q644">
        <v>25</v>
      </c>
      <c r="R644">
        <v>0</v>
      </c>
      <c r="S644">
        <v>85</v>
      </c>
      <c r="T644">
        <v>25</v>
      </c>
      <c r="U644">
        <v>24</v>
      </c>
      <c r="V644">
        <v>16</v>
      </c>
      <c r="W644">
        <v>0</v>
      </c>
      <c r="X644">
        <v>0</v>
      </c>
    </row>
    <row r="645" spans="1:24" x14ac:dyDescent="0.2">
      <c r="A645">
        <v>6150900</v>
      </c>
      <c r="B645" t="s">
        <v>644</v>
      </c>
      <c r="C645">
        <v>900</v>
      </c>
      <c r="D645">
        <v>900</v>
      </c>
      <c r="E645">
        <v>10000</v>
      </c>
      <c r="F645">
        <v>143</v>
      </c>
      <c r="G645">
        <v>0</v>
      </c>
      <c r="H645">
        <v>0</v>
      </c>
      <c r="I645">
        <v>0</v>
      </c>
      <c r="J645">
        <v>143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60</v>
      </c>
      <c r="Q645">
        <v>25</v>
      </c>
      <c r="R645">
        <v>0</v>
      </c>
      <c r="S645">
        <v>0</v>
      </c>
      <c r="T645">
        <v>25</v>
      </c>
      <c r="U645">
        <v>24</v>
      </c>
      <c r="V645">
        <v>16</v>
      </c>
      <c r="W645">
        <v>0</v>
      </c>
      <c r="X645">
        <v>0</v>
      </c>
    </row>
    <row r="646" spans="1:24" x14ac:dyDescent="0.2">
      <c r="A646">
        <v>6151000</v>
      </c>
      <c r="B646" t="s">
        <v>645</v>
      </c>
      <c r="C646">
        <v>1000</v>
      </c>
      <c r="D646">
        <v>1000</v>
      </c>
      <c r="E646">
        <v>10000</v>
      </c>
      <c r="F646">
        <v>147</v>
      </c>
      <c r="G646">
        <v>0</v>
      </c>
      <c r="H646">
        <v>0</v>
      </c>
      <c r="I646">
        <v>0</v>
      </c>
      <c r="J646">
        <v>147</v>
      </c>
      <c r="K646">
        <v>0</v>
      </c>
      <c r="L646">
        <v>0</v>
      </c>
      <c r="M646">
        <v>0</v>
      </c>
      <c r="N646">
        <v>0</v>
      </c>
      <c r="O646">
        <v>4</v>
      </c>
      <c r="P646">
        <v>60</v>
      </c>
      <c r="Q646">
        <v>25</v>
      </c>
      <c r="R646">
        <v>85</v>
      </c>
      <c r="S646">
        <v>85</v>
      </c>
      <c r="T646">
        <v>25</v>
      </c>
      <c r="U646">
        <v>24</v>
      </c>
      <c r="V646">
        <v>16</v>
      </c>
      <c r="W646">
        <v>0</v>
      </c>
      <c r="X646">
        <v>0</v>
      </c>
    </row>
    <row r="647" spans="1:24" x14ac:dyDescent="0.2">
      <c r="A647">
        <v>6151100</v>
      </c>
      <c r="B647" t="s">
        <v>646</v>
      </c>
      <c r="C647">
        <v>1100</v>
      </c>
      <c r="D647">
        <v>1100</v>
      </c>
      <c r="E647">
        <v>10000</v>
      </c>
      <c r="F647">
        <v>148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60</v>
      </c>
      <c r="Q647">
        <v>25</v>
      </c>
      <c r="R647">
        <v>0</v>
      </c>
      <c r="S647">
        <v>0</v>
      </c>
      <c r="T647">
        <v>25</v>
      </c>
      <c r="U647">
        <v>24</v>
      </c>
      <c r="V647">
        <v>16</v>
      </c>
      <c r="W647">
        <v>0</v>
      </c>
      <c r="X647">
        <v>0</v>
      </c>
    </row>
    <row r="648" spans="1:24" x14ac:dyDescent="0.2">
      <c r="A648">
        <v>6151200</v>
      </c>
      <c r="B648" t="s">
        <v>647</v>
      </c>
      <c r="C648">
        <v>1200</v>
      </c>
      <c r="D648">
        <v>1200</v>
      </c>
      <c r="E648">
        <v>10000</v>
      </c>
      <c r="F648">
        <v>148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60</v>
      </c>
      <c r="Q648">
        <v>25</v>
      </c>
      <c r="R648">
        <v>0</v>
      </c>
      <c r="S648">
        <v>0</v>
      </c>
      <c r="T648">
        <v>25</v>
      </c>
      <c r="U648">
        <v>24</v>
      </c>
      <c r="V648">
        <v>16</v>
      </c>
      <c r="W648">
        <v>0</v>
      </c>
      <c r="X648">
        <v>0</v>
      </c>
    </row>
    <row r="649" spans="1:24" x14ac:dyDescent="0.2">
      <c r="A649">
        <v>6151300</v>
      </c>
      <c r="B649" t="s">
        <v>648</v>
      </c>
      <c r="C649">
        <v>1300</v>
      </c>
      <c r="D649">
        <v>1300</v>
      </c>
      <c r="E649">
        <v>10000</v>
      </c>
      <c r="F649">
        <v>163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60</v>
      </c>
      <c r="Q649">
        <v>25</v>
      </c>
      <c r="R649">
        <v>0</v>
      </c>
      <c r="S649">
        <v>0</v>
      </c>
      <c r="T649">
        <v>25</v>
      </c>
      <c r="U649">
        <v>24</v>
      </c>
      <c r="V649">
        <v>16</v>
      </c>
      <c r="W649">
        <v>0</v>
      </c>
      <c r="X649">
        <v>0</v>
      </c>
    </row>
    <row r="650" spans="1:24" x14ac:dyDescent="0.2">
      <c r="A650">
        <v>6151400</v>
      </c>
      <c r="B650" t="s">
        <v>649</v>
      </c>
      <c r="C650">
        <v>1400</v>
      </c>
      <c r="D650">
        <v>1400</v>
      </c>
      <c r="E650">
        <v>10014</v>
      </c>
      <c r="F650">
        <v>147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60</v>
      </c>
      <c r="Q650">
        <v>25</v>
      </c>
      <c r="R650">
        <v>0</v>
      </c>
      <c r="S650">
        <v>85</v>
      </c>
      <c r="T650">
        <v>25</v>
      </c>
      <c r="U650">
        <v>24</v>
      </c>
      <c r="V650">
        <v>16</v>
      </c>
      <c r="W650">
        <v>0</v>
      </c>
      <c r="X650">
        <v>0</v>
      </c>
    </row>
    <row r="651" spans="1:24" x14ac:dyDescent="0.2">
      <c r="A651">
        <v>6151500</v>
      </c>
      <c r="B651" t="s">
        <v>650</v>
      </c>
      <c r="C651">
        <v>1500</v>
      </c>
      <c r="D651">
        <v>1500</v>
      </c>
      <c r="E651">
        <v>10015</v>
      </c>
      <c r="F651">
        <v>148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60</v>
      </c>
      <c r="Q651">
        <v>25</v>
      </c>
      <c r="R651">
        <v>0</v>
      </c>
      <c r="S651">
        <v>0</v>
      </c>
      <c r="T651">
        <v>25</v>
      </c>
      <c r="U651">
        <v>24</v>
      </c>
      <c r="V651">
        <v>16</v>
      </c>
      <c r="W651">
        <v>0</v>
      </c>
      <c r="X651">
        <v>0</v>
      </c>
    </row>
    <row r="652" spans="1:24" x14ac:dyDescent="0.2">
      <c r="A652">
        <v>6170000</v>
      </c>
      <c r="B652" t="s">
        <v>651</v>
      </c>
      <c r="C652">
        <v>2000</v>
      </c>
      <c r="D652">
        <v>2100</v>
      </c>
      <c r="E652">
        <v>10000</v>
      </c>
      <c r="F652">
        <v>100</v>
      </c>
      <c r="G652">
        <v>79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36</v>
      </c>
      <c r="Q652">
        <v>35</v>
      </c>
      <c r="R652">
        <v>56</v>
      </c>
      <c r="S652">
        <v>0</v>
      </c>
      <c r="T652">
        <v>20</v>
      </c>
      <c r="U652">
        <v>17</v>
      </c>
      <c r="V652">
        <v>15</v>
      </c>
      <c r="W652">
        <v>12</v>
      </c>
      <c r="X652">
        <v>0</v>
      </c>
    </row>
    <row r="653" spans="1:24" x14ac:dyDescent="0.2">
      <c r="A653">
        <v>6180000</v>
      </c>
      <c r="B653" t="s">
        <v>652</v>
      </c>
      <c r="C653">
        <v>2000</v>
      </c>
      <c r="D653">
        <v>2100</v>
      </c>
      <c r="E653">
        <v>10000</v>
      </c>
      <c r="F653">
        <v>147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56</v>
      </c>
      <c r="Q653">
        <v>45</v>
      </c>
      <c r="R653">
        <v>0</v>
      </c>
      <c r="S653">
        <v>0</v>
      </c>
      <c r="T653">
        <v>31</v>
      </c>
      <c r="U653">
        <v>22</v>
      </c>
      <c r="V653">
        <v>10</v>
      </c>
      <c r="W653">
        <v>0</v>
      </c>
      <c r="X653">
        <v>0</v>
      </c>
    </row>
    <row r="654" spans="1:24" x14ac:dyDescent="0.2">
      <c r="A654">
        <v>6190000</v>
      </c>
      <c r="B654" t="s">
        <v>653</v>
      </c>
      <c r="C654">
        <v>0</v>
      </c>
      <c r="D654">
        <v>0</v>
      </c>
      <c r="E654">
        <v>10000</v>
      </c>
      <c r="F654">
        <v>149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65</v>
      </c>
      <c r="Q654">
        <v>5</v>
      </c>
      <c r="R654">
        <v>0</v>
      </c>
      <c r="S654">
        <v>0</v>
      </c>
      <c r="T654">
        <v>21</v>
      </c>
      <c r="U654">
        <v>26</v>
      </c>
      <c r="V654">
        <v>10</v>
      </c>
      <c r="W654">
        <v>0</v>
      </c>
      <c r="X654">
        <v>0</v>
      </c>
    </row>
    <row r="655" spans="1:24" x14ac:dyDescent="0.2">
      <c r="A655">
        <v>6190100</v>
      </c>
      <c r="B655" t="s">
        <v>654</v>
      </c>
      <c r="C655">
        <v>200</v>
      </c>
      <c r="D655">
        <v>4000</v>
      </c>
      <c r="E655">
        <v>10000</v>
      </c>
      <c r="F655">
        <v>149</v>
      </c>
      <c r="G655">
        <v>0</v>
      </c>
      <c r="H655">
        <v>0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0</v>
      </c>
      <c r="O655">
        <v>0</v>
      </c>
      <c r="P655">
        <v>62</v>
      </c>
      <c r="Q655">
        <v>0</v>
      </c>
      <c r="R655">
        <v>0</v>
      </c>
      <c r="S655">
        <v>0</v>
      </c>
      <c r="T655">
        <v>21</v>
      </c>
      <c r="U655">
        <v>26</v>
      </c>
      <c r="V655">
        <v>10</v>
      </c>
      <c r="W655">
        <v>0</v>
      </c>
      <c r="X655">
        <v>0</v>
      </c>
    </row>
    <row r="656" spans="1:24" x14ac:dyDescent="0.2">
      <c r="A656">
        <v>6190200</v>
      </c>
      <c r="B656" t="s">
        <v>655</v>
      </c>
      <c r="C656">
        <v>100</v>
      </c>
      <c r="D656">
        <v>200</v>
      </c>
      <c r="E656">
        <v>10000</v>
      </c>
      <c r="F656">
        <v>149</v>
      </c>
      <c r="G656">
        <v>0</v>
      </c>
      <c r="H656">
        <v>0</v>
      </c>
      <c r="I656">
        <v>0</v>
      </c>
      <c r="J656">
        <v>0</v>
      </c>
      <c r="K656">
        <v>2</v>
      </c>
      <c r="L656">
        <v>0</v>
      </c>
      <c r="M656">
        <v>0</v>
      </c>
      <c r="N656">
        <v>0</v>
      </c>
      <c r="O656">
        <v>0</v>
      </c>
      <c r="P656">
        <v>26</v>
      </c>
      <c r="Q656">
        <v>39</v>
      </c>
      <c r="R656">
        <v>0</v>
      </c>
      <c r="S656">
        <v>0</v>
      </c>
      <c r="T656">
        <v>21</v>
      </c>
      <c r="U656">
        <v>26</v>
      </c>
      <c r="V656">
        <v>10</v>
      </c>
      <c r="W656">
        <v>0</v>
      </c>
      <c r="X656">
        <v>0</v>
      </c>
    </row>
    <row r="657" spans="1:24" x14ac:dyDescent="0.2">
      <c r="A657">
        <v>6190300</v>
      </c>
      <c r="B657" t="s">
        <v>656</v>
      </c>
      <c r="C657">
        <v>300</v>
      </c>
      <c r="D657">
        <v>300</v>
      </c>
      <c r="E657">
        <v>10000</v>
      </c>
      <c r="F657">
        <v>149</v>
      </c>
      <c r="G657">
        <v>0</v>
      </c>
      <c r="H657">
        <v>0</v>
      </c>
      <c r="I657">
        <v>0</v>
      </c>
      <c r="J657">
        <v>0</v>
      </c>
      <c r="K657">
        <v>8</v>
      </c>
      <c r="L657">
        <v>0</v>
      </c>
      <c r="M657">
        <v>0</v>
      </c>
      <c r="N657">
        <v>0</v>
      </c>
      <c r="O657">
        <v>0</v>
      </c>
      <c r="P657">
        <v>50</v>
      </c>
      <c r="Q657">
        <v>45</v>
      </c>
      <c r="R657">
        <v>0</v>
      </c>
      <c r="S657">
        <v>0</v>
      </c>
      <c r="T657">
        <v>21</v>
      </c>
      <c r="U657">
        <v>26</v>
      </c>
      <c r="V657">
        <v>10</v>
      </c>
      <c r="W657">
        <v>0</v>
      </c>
      <c r="X657">
        <v>0</v>
      </c>
    </row>
    <row r="658" spans="1:24" x14ac:dyDescent="0.2">
      <c r="A658">
        <v>6190400</v>
      </c>
      <c r="B658" t="s">
        <v>657</v>
      </c>
      <c r="C658">
        <v>500</v>
      </c>
      <c r="D658">
        <v>500</v>
      </c>
      <c r="E658">
        <v>10000</v>
      </c>
      <c r="F658">
        <v>144</v>
      </c>
      <c r="G658">
        <v>144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65</v>
      </c>
      <c r="Q658">
        <v>5</v>
      </c>
      <c r="R658">
        <v>70</v>
      </c>
      <c r="S658">
        <v>0</v>
      </c>
      <c r="T658">
        <v>21</v>
      </c>
      <c r="U658">
        <v>26</v>
      </c>
      <c r="V658">
        <v>10</v>
      </c>
      <c r="W658">
        <v>0</v>
      </c>
      <c r="X658">
        <v>0</v>
      </c>
    </row>
    <row r="659" spans="1:24" x14ac:dyDescent="0.2">
      <c r="A659">
        <v>6190500</v>
      </c>
      <c r="B659" t="s">
        <v>658</v>
      </c>
      <c r="C659">
        <v>400</v>
      </c>
      <c r="D659">
        <v>400</v>
      </c>
      <c r="E659">
        <v>10000</v>
      </c>
      <c r="F659">
        <v>144</v>
      </c>
      <c r="G659">
        <v>144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65</v>
      </c>
      <c r="Q659">
        <v>5</v>
      </c>
      <c r="R659">
        <v>70</v>
      </c>
      <c r="S659">
        <v>0</v>
      </c>
      <c r="T659">
        <v>21</v>
      </c>
      <c r="U659">
        <v>26</v>
      </c>
      <c r="V659">
        <v>10</v>
      </c>
      <c r="W659">
        <v>0</v>
      </c>
      <c r="X659">
        <v>0</v>
      </c>
    </row>
    <row r="660" spans="1:24" x14ac:dyDescent="0.2">
      <c r="A660">
        <v>6190600</v>
      </c>
      <c r="B660" t="s">
        <v>659</v>
      </c>
      <c r="C660">
        <v>600</v>
      </c>
      <c r="D660">
        <v>600</v>
      </c>
      <c r="E660">
        <v>10000</v>
      </c>
      <c r="F660">
        <v>139</v>
      </c>
      <c r="G660">
        <v>0</v>
      </c>
      <c r="H660">
        <v>139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65</v>
      </c>
      <c r="Q660">
        <v>5</v>
      </c>
      <c r="R660">
        <v>0</v>
      </c>
      <c r="S660">
        <v>0</v>
      </c>
      <c r="T660">
        <v>21</v>
      </c>
      <c r="U660">
        <v>26</v>
      </c>
      <c r="V660">
        <v>10</v>
      </c>
      <c r="W660">
        <v>0</v>
      </c>
      <c r="X660">
        <v>0</v>
      </c>
    </row>
    <row r="661" spans="1:24" x14ac:dyDescent="0.2">
      <c r="A661">
        <v>6190700</v>
      </c>
      <c r="B661" t="s">
        <v>660</v>
      </c>
      <c r="C661">
        <v>700</v>
      </c>
      <c r="D661">
        <v>700</v>
      </c>
      <c r="E661">
        <v>10000</v>
      </c>
      <c r="F661">
        <v>144</v>
      </c>
      <c r="G661">
        <v>0</v>
      </c>
      <c r="H661">
        <v>144</v>
      </c>
      <c r="I661">
        <v>0</v>
      </c>
      <c r="J661">
        <v>0</v>
      </c>
      <c r="K661">
        <v>0</v>
      </c>
      <c r="L661">
        <v>0</v>
      </c>
      <c r="M661">
        <v>4</v>
      </c>
      <c r="N661">
        <v>0</v>
      </c>
      <c r="O661">
        <v>0</v>
      </c>
      <c r="P661">
        <v>65</v>
      </c>
      <c r="Q661">
        <v>5</v>
      </c>
      <c r="R661">
        <v>70</v>
      </c>
      <c r="S661">
        <v>70</v>
      </c>
      <c r="T661">
        <v>21</v>
      </c>
      <c r="U661">
        <v>26</v>
      </c>
      <c r="V661">
        <v>10</v>
      </c>
      <c r="W661">
        <v>0</v>
      </c>
      <c r="X661">
        <v>0</v>
      </c>
    </row>
    <row r="662" spans="1:24" x14ac:dyDescent="0.2">
      <c r="A662">
        <v>6190800</v>
      </c>
      <c r="B662" t="s">
        <v>661</v>
      </c>
      <c r="C662">
        <v>800</v>
      </c>
      <c r="D662">
        <v>800</v>
      </c>
      <c r="E662">
        <v>10000</v>
      </c>
      <c r="F662">
        <v>144</v>
      </c>
      <c r="G662">
        <v>0</v>
      </c>
      <c r="H662">
        <v>0</v>
      </c>
      <c r="I662">
        <v>144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65</v>
      </c>
      <c r="Q662">
        <v>5</v>
      </c>
      <c r="R662">
        <v>0</v>
      </c>
      <c r="S662">
        <v>70</v>
      </c>
      <c r="T662">
        <v>21</v>
      </c>
      <c r="U662">
        <v>26</v>
      </c>
      <c r="V662">
        <v>10</v>
      </c>
      <c r="W662">
        <v>0</v>
      </c>
      <c r="X662">
        <v>0</v>
      </c>
    </row>
    <row r="663" spans="1:24" x14ac:dyDescent="0.2">
      <c r="A663">
        <v>6190900</v>
      </c>
      <c r="B663" t="s">
        <v>662</v>
      </c>
      <c r="C663">
        <v>900</v>
      </c>
      <c r="D663">
        <v>900</v>
      </c>
      <c r="E663">
        <v>10000</v>
      </c>
      <c r="F663">
        <v>139</v>
      </c>
      <c r="G663">
        <v>0</v>
      </c>
      <c r="H663">
        <v>0</v>
      </c>
      <c r="I663">
        <v>0</v>
      </c>
      <c r="J663">
        <v>139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65</v>
      </c>
      <c r="Q663">
        <v>5</v>
      </c>
      <c r="R663">
        <v>0</v>
      </c>
      <c r="S663">
        <v>0</v>
      </c>
      <c r="T663">
        <v>21</v>
      </c>
      <c r="U663">
        <v>26</v>
      </c>
      <c r="V663">
        <v>10</v>
      </c>
      <c r="W663">
        <v>0</v>
      </c>
      <c r="X663">
        <v>0</v>
      </c>
    </row>
    <row r="664" spans="1:24" x14ac:dyDescent="0.2">
      <c r="A664">
        <v>6191000</v>
      </c>
      <c r="B664" t="s">
        <v>663</v>
      </c>
      <c r="C664">
        <v>1000</v>
      </c>
      <c r="D664">
        <v>1000</v>
      </c>
      <c r="E664">
        <v>10000</v>
      </c>
      <c r="F664">
        <v>144</v>
      </c>
      <c r="G664">
        <v>0</v>
      </c>
      <c r="H664">
        <v>0</v>
      </c>
      <c r="I664">
        <v>0</v>
      </c>
      <c r="J664">
        <v>144</v>
      </c>
      <c r="K664">
        <v>0</v>
      </c>
      <c r="L664">
        <v>0</v>
      </c>
      <c r="M664">
        <v>0</v>
      </c>
      <c r="N664">
        <v>0</v>
      </c>
      <c r="O664">
        <v>4</v>
      </c>
      <c r="P664">
        <v>65</v>
      </c>
      <c r="Q664">
        <v>5</v>
      </c>
      <c r="R664">
        <v>70</v>
      </c>
      <c r="S664">
        <v>70</v>
      </c>
      <c r="T664">
        <v>21</v>
      </c>
      <c r="U664">
        <v>26</v>
      </c>
      <c r="V664">
        <v>10</v>
      </c>
      <c r="W664">
        <v>0</v>
      </c>
      <c r="X664">
        <v>0</v>
      </c>
    </row>
    <row r="665" spans="1:24" x14ac:dyDescent="0.2">
      <c r="A665">
        <v>6191100</v>
      </c>
      <c r="B665" t="s">
        <v>664</v>
      </c>
      <c r="C665">
        <v>1100</v>
      </c>
      <c r="D665">
        <v>1100</v>
      </c>
      <c r="E665">
        <v>10000</v>
      </c>
      <c r="F665">
        <v>149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65</v>
      </c>
      <c r="Q665">
        <v>5</v>
      </c>
      <c r="R665">
        <v>0</v>
      </c>
      <c r="S665">
        <v>0</v>
      </c>
      <c r="T665">
        <v>21</v>
      </c>
      <c r="U665">
        <v>26</v>
      </c>
      <c r="V665">
        <v>10</v>
      </c>
      <c r="W665">
        <v>0</v>
      </c>
      <c r="X665">
        <v>0</v>
      </c>
    </row>
    <row r="666" spans="1:24" x14ac:dyDescent="0.2">
      <c r="A666">
        <v>6191200</v>
      </c>
      <c r="B666" t="s">
        <v>665</v>
      </c>
      <c r="C666">
        <v>1200</v>
      </c>
      <c r="D666">
        <v>1200</v>
      </c>
      <c r="E666">
        <v>10000</v>
      </c>
      <c r="F666">
        <v>149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65</v>
      </c>
      <c r="Q666">
        <v>5</v>
      </c>
      <c r="R666">
        <v>0</v>
      </c>
      <c r="S666">
        <v>0</v>
      </c>
      <c r="T666">
        <v>21</v>
      </c>
      <c r="U666">
        <v>26</v>
      </c>
      <c r="V666">
        <v>10</v>
      </c>
      <c r="W666">
        <v>0</v>
      </c>
      <c r="X666">
        <v>0</v>
      </c>
    </row>
    <row r="667" spans="1:24" x14ac:dyDescent="0.2">
      <c r="A667">
        <v>6191300</v>
      </c>
      <c r="B667" t="s">
        <v>666</v>
      </c>
      <c r="C667">
        <v>1300</v>
      </c>
      <c r="D667">
        <v>1300</v>
      </c>
      <c r="E667">
        <v>10000</v>
      </c>
      <c r="F667">
        <v>164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65</v>
      </c>
      <c r="Q667">
        <v>5</v>
      </c>
      <c r="R667">
        <v>0</v>
      </c>
      <c r="S667">
        <v>0</v>
      </c>
      <c r="T667">
        <v>21</v>
      </c>
      <c r="U667">
        <v>26</v>
      </c>
      <c r="V667">
        <v>10</v>
      </c>
      <c r="W667">
        <v>0</v>
      </c>
      <c r="X667">
        <v>0</v>
      </c>
    </row>
    <row r="668" spans="1:24" x14ac:dyDescent="0.2">
      <c r="A668">
        <v>6191400</v>
      </c>
      <c r="B668" t="s">
        <v>667</v>
      </c>
      <c r="C668">
        <v>1400</v>
      </c>
      <c r="D668">
        <v>1400</v>
      </c>
      <c r="E668">
        <v>10014</v>
      </c>
      <c r="F668">
        <v>144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65</v>
      </c>
      <c r="Q668">
        <v>5</v>
      </c>
      <c r="R668">
        <v>0</v>
      </c>
      <c r="S668">
        <v>70</v>
      </c>
      <c r="T668">
        <v>21</v>
      </c>
      <c r="U668">
        <v>26</v>
      </c>
      <c r="V668">
        <v>10</v>
      </c>
      <c r="W668">
        <v>0</v>
      </c>
      <c r="X668">
        <v>0</v>
      </c>
    </row>
    <row r="669" spans="1:24" x14ac:dyDescent="0.2">
      <c r="A669">
        <v>6191500</v>
      </c>
      <c r="B669" t="s">
        <v>668</v>
      </c>
      <c r="C669">
        <v>1500</v>
      </c>
      <c r="D669">
        <v>1500</v>
      </c>
      <c r="E669">
        <v>10015</v>
      </c>
      <c r="F669">
        <v>149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65</v>
      </c>
      <c r="Q669">
        <v>5</v>
      </c>
      <c r="R669">
        <v>0</v>
      </c>
      <c r="S669">
        <v>0</v>
      </c>
      <c r="T669">
        <v>21</v>
      </c>
      <c r="U669">
        <v>26</v>
      </c>
      <c r="V669">
        <v>10</v>
      </c>
      <c r="W669">
        <v>0</v>
      </c>
      <c r="X669">
        <v>0</v>
      </c>
    </row>
    <row r="670" spans="1:24" x14ac:dyDescent="0.2">
      <c r="A670">
        <v>6200000</v>
      </c>
      <c r="B670" t="s">
        <v>669</v>
      </c>
      <c r="C670">
        <v>2000</v>
      </c>
      <c r="D670">
        <v>2100</v>
      </c>
      <c r="E670">
        <v>10000</v>
      </c>
      <c r="F670">
        <v>129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41</v>
      </c>
      <c r="Q670">
        <v>73</v>
      </c>
      <c r="R670">
        <v>0</v>
      </c>
      <c r="S670">
        <v>0</v>
      </c>
      <c r="T670">
        <v>34</v>
      </c>
      <c r="U670">
        <v>18</v>
      </c>
      <c r="V670">
        <v>20</v>
      </c>
      <c r="W670">
        <v>0</v>
      </c>
      <c r="X670">
        <v>0</v>
      </c>
    </row>
    <row r="671" spans="1:24" x14ac:dyDescent="0.2">
      <c r="A671">
        <v>6230000</v>
      </c>
      <c r="B671" t="s">
        <v>670</v>
      </c>
      <c r="C671">
        <v>2000</v>
      </c>
      <c r="D671">
        <v>2100</v>
      </c>
      <c r="E671">
        <v>10000</v>
      </c>
      <c r="F671">
        <v>169</v>
      </c>
      <c r="G671">
        <v>0</v>
      </c>
      <c r="H671">
        <v>0</v>
      </c>
      <c r="I671">
        <v>0</v>
      </c>
      <c r="J671">
        <v>0</v>
      </c>
      <c r="K671">
        <v>14</v>
      </c>
      <c r="L671">
        <v>0</v>
      </c>
      <c r="M671">
        <v>0</v>
      </c>
      <c r="N671">
        <v>0</v>
      </c>
      <c r="O671">
        <v>0</v>
      </c>
      <c r="P671">
        <v>78</v>
      </c>
      <c r="Q671">
        <v>0</v>
      </c>
      <c r="R671">
        <v>0</v>
      </c>
      <c r="S671">
        <v>0</v>
      </c>
      <c r="T671">
        <v>23</v>
      </c>
      <c r="U671">
        <v>38</v>
      </c>
      <c r="V671">
        <v>10</v>
      </c>
      <c r="W671">
        <v>0</v>
      </c>
      <c r="X671">
        <v>0</v>
      </c>
    </row>
    <row r="672" spans="1:24" x14ac:dyDescent="0.2">
      <c r="A672">
        <v>6240000</v>
      </c>
      <c r="B672" t="s">
        <v>671</v>
      </c>
      <c r="C672">
        <v>0</v>
      </c>
      <c r="D672">
        <v>0</v>
      </c>
      <c r="E672">
        <v>10000</v>
      </c>
      <c r="F672">
        <v>110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52</v>
      </c>
      <c r="Q672">
        <v>30</v>
      </c>
      <c r="R672">
        <v>0</v>
      </c>
      <c r="S672">
        <v>0</v>
      </c>
      <c r="T672">
        <v>25</v>
      </c>
      <c r="U672">
        <v>16</v>
      </c>
      <c r="V672">
        <v>15</v>
      </c>
      <c r="W672">
        <v>0</v>
      </c>
      <c r="X672">
        <v>0</v>
      </c>
    </row>
    <row r="673" spans="1:24" x14ac:dyDescent="0.2">
      <c r="A673">
        <v>6240100</v>
      </c>
      <c r="B673" t="s">
        <v>672</v>
      </c>
      <c r="C673">
        <v>200</v>
      </c>
      <c r="D673">
        <v>100</v>
      </c>
      <c r="E673">
        <v>10000</v>
      </c>
      <c r="F673">
        <v>110</v>
      </c>
      <c r="G673">
        <v>0</v>
      </c>
      <c r="H673">
        <v>0</v>
      </c>
      <c r="I673">
        <v>0</v>
      </c>
      <c r="J673">
        <v>0</v>
      </c>
      <c r="K673">
        <v>1</v>
      </c>
      <c r="L673">
        <v>0</v>
      </c>
      <c r="M673">
        <v>0</v>
      </c>
      <c r="N673">
        <v>0</v>
      </c>
      <c r="O673">
        <v>0</v>
      </c>
      <c r="P673">
        <v>48</v>
      </c>
      <c r="Q673">
        <v>0</v>
      </c>
      <c r="R673">
        <v>0</v>
      </c>
      <c r="S673">
        <v>0</v>
      </c>
      <c r="T673">
        <v>25</v>
      </c>
      <c r="U673">
        <v>16</v>
      </c>
      <c r="V673">
        <v>15</v>
      </c>
      <c r="W673">
        <v>0</v>
      </c>
      <c r="X673">
        <v>0</v>
      </c>
    </row>
    <row r="674" spans="1:24" x14ac:dyDescent="0.2">
      <c r="A674">
        <v>6240200</v>
      </c>
      <c r="B674" t="s">
        <v>673</v>
      </c>
      <c r="C674">
        <v>100</v>
      </c>
      <c r="D674">
        <v>200</v>
      </c>
      <c r="E674">
        <v>10000</v>
      </c>
      <c r="F674">
        <v>110</v>
      </c>
      <c r="G674">
        <v>0</v>
      </c>
      <c r="H674">
        <v>0</v>
      </c>
      <c r="I674">
        <v>0</v>
      </c>
      <c r="J674">
        <v>0</v>
      </c>
      <c r="K674">
        <v>2</v>
      </c>
      <c r="L674">
        <v>0</v>
      </c>
      <c r="M674">
        <v>0</v>
      </c>
      <c r="N674">
        <v>0</v>
      </c>
      <c r="O674">
        <v>0</v>
      </c>
      <c r="P674">
        <v>16</v>
      </c>
      <c r="Q674">
        <v>42</v>
      </c>
      <c r="R674">
        <v>0</v>
      </c>
      <c r="S674">
        <v>0</v>
      </c>
      <c r="T674">
        <v>25</v>
      </c>
      <c r="U674">
        <v>16</v>
      </c>
      <c r="V674">
        <v>15</v>
      </c>
      <c r="W674">
        <v>0</v>
      </c>
      <c r="X674">
        <v>0</v>
      </c>
    </row>
    <row r="675" spans="1:24" x14ac:dyDescent="0.2">
      <c r="A675">
        <v>6240300</v>
      </c>
      <c r="B675" t="s">
        <v>674</v>
      </c>
      <c r="C675">
        <v>300</v>
      </c>
      <c r="D675">
        <v>300</v>
      </c>
      <c r="E675">
        <v>10000</v>
      </c>
      <c r="F675">
        <v>110</v>
      </c>
      <c r="G675">
        <v>0</v>
      </c>
      <c r="H675">
        <v>0</v>
      </c>
      <c r="I675">
        <v>0</v>
      </c>
      <c r="J675">
        <v>0</v>
      </c>
      <c r="K675">
        <v>8</v>
      </c>
      <c r="L675">
        <v>0</v>
      </c>
      <c r="M675">
        <v>0</v>
      </c>
      <c r="N675">
        <v>0</v>
      </c>
      <c r="O675">
        <v>0</v>
      </c>
      <c r="P675">
        <v>52</v>
      </c>
      <c r="Q675">
        <v>52</v>
      </c>
      <c r="R675">
        <v>0</v>
      </c>
      <c r="S675">
        <v>0</v>
      </c>
      <c r="T675">
        <v>25</v>
      </c>
      <c r="U675">
        <v>16</v>
      </c>
      <c r="V675">
        <v>15</v>
      </c>
      <c r="W675">
        <v>0</v>
      </c>
      <c r="X675">
        <v>0</v>
      </c>
    </row>
    <row r="676" spans="1:24" x14ac:dyDescent="0.2">
      <c r="A676">
        <v>6240400</v>
      </c>
      <c r="B676" t="s">
        <v>675</v>
      </c>
      <c r="C676">
        <v>500</v>
      </c>
      <c r="D676">
        <v>500</v>
      </c>
      <c r="E676">
        <v>10000</v>
      </c>
      <c r="F676">
        <v>105</v>
      </c>
      <c r="G676">
        <v>105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52</v>
      </c>
      <c r="Q676">
        <v>30</v>
      </c>
      <c r="R676">
        <v>82</v>
      </c>
      <c r="S676">
        <v>0</v>
      </c>
      <c r="T676">
        <v>25</v>
      </c>
      <c r="U676">
        <v>16</v>
      </c>
      <c r="V676">
        <v>15</v>
      </c>
      <c r="W676">
        <v>0</v>
      </c>
      <c r="X676">
        <v>0</v>
      </c>
    </row>
    <row r="677" spans="1:24" x14ac:dyDescent="0.2">
      <c r="A677">
        <v>6240500</v>
      </c>
      <c r="B677" t="s">
        <v>676</v>
      </c>
      <c r="C677">
        <v>400</v>
      </c>
      <c r="D677">
        <v>400</v>
      </c>
      <c r="E677">
        <v>10000</v>
      </c>
      <c r="F677">
        <v>105</v>
      </c>
      <c r="G677">
        <v>105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52</v>
      </c>
      <c r="Q677">
        <v>30</v>
      </c>
      <c r="R677">
        <v>82</v>
      </c>
      <c r="S677">
        <v>0</v>
      </c>
      <c r="T677">
        <v>25</v>
      </c>
      <c r="U677">
        <v>16</v>
      </c>
      <c r="V677">
        <v>15</v>
      </c>
      <c r="W677">
        <v>0</v>
      </c>
      <c r="X677">
        <v>0</v>
      </c>
    </row>
    <row r="678" spans="1:24" x14ac:dyDescent="0.2">
      <c r="A678">
        <v>6240600</v>
      </c>
      <c r="B678" t="s">
        <v>677</v>
      </c>
      <c r="C678">
        <v>600</v>
      </c>
      <c r="D678">
        <v>600</v>
      </c>
      <c r="E678">
        <v>10000</v>
      </c>
      <c r="F678">
        <v>105</v>
      </c>
      <c r="G678">
        <v>0</v>
      </c>
      <c r="H678">
        <v>105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52</v>
      </c>
      <c r="Q678">
        <v>30</v>
      </c>
      <c r="R678">
        <v>0</v>
      </c>
      <c r="S678">
        <v>0</v>
      </c>
      <c r="T678">
        <v>25</v>
      </c>
      <c r="U678">
        <v>16</v>
      </c>
      <c r="V678">
        <v>15</v>
      </c>
      <c r="W678">
        <v>0</v>
      </c>
      <c r="X678">
        <v>0</v>
      </c>
    </row>
    <row r="679" spans="1:24" x14ac:dyDescent="0.2">
      <c r="A679">
        <v>6240700</v>
      </c>
      <c r="B679" t="s">
        <v>678</v>
      </c>
      <c r="C679">
        <v>700</v>
      </c>
      <c r="D679">
        <v>700</v>
      </c>
      <c r="E679">
        <v>10000</v>
      </c>
      <c r="F679">
        <v>105</v>
      </c>
      <c r="G679">
        <v>0</v>
      </c>
      <c r="H679">
        <v>105</v>
      </c>
      <c r="I679">
        <v>0</v>
      </c>
      <c r="J679">
        <v>0</v>
      </c>
      <c r="K679">
        <v>0</v>
      </c>
      <c r="L679">
        <v>0</v>
      </c>
      <c r="M679">
        <v>4</v>
      </c>
      <c r="N679">
        <v>0</v>
      </c>
      <c r="O679">
        <v>0</v>
      </c>
      <c r="P679">
        <v>52</v>
      </c>
      <c r="Q679">
        <v>30</v>
      </c>
      <c r="R679">
        <v>82</v>
      </c>
      <c r="S679">
        <v>82</v>
      </c>
      <c r="T679">
        <v>25</v>
      </c>
      <c r="U679">
        <v>16</v>
      </c>
      <c r="V679">
        <v>15</v>
      </c>
      <c r="W679">
        <v>0</v>
      </c>
      <c r="X679">
        <v>0</v>
      </c>
    </row>
    <row r="680" spans="1:24" x14ac:dyDescent="0.2">
      <c r="A680">
        <v>6240800</v>
      </c>
      <c r="B680" t="s">
        <v>679</v>
      </c>
      <c r="C680">
        <v>800</v>
      </c>
      <c r="D680">
        <v>800</v>
      </c>
      <c r="E680">
        <v>10000</v>
      </c>
      <c r="F680">
        <v>105</v>
      </c>
      <c r="G680">
        <v>0</v>
      </c>
      <c r="H680">
        <v>0</v>
      </c>
      <c r="I680">
        <v>105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52</v>
      </c>
      <c r="Q680">
        <v>30</v>
      </c>
      <c r="R680">
        <v>0</v>
      </c>
      <c r="S680">
        <v>82</v>
      </c>
      <c r="T680">
        <v>25</v>
      </c>
      <c r="U680">
        <v>16</v>
      </c>
      <c r="V680">
        <v>15</v>
      </c>
      <c r="W680">
        <v>0</v>
      </c>
      <c r="X680">
        <v>0</v>
      </c>
    </row>
    <row r="681" spans="1:24" x14ac:dyDescent="0.2">
      <c r="A681">
        <v>6240900</v>
      </c>
      <c r="B681" t="s">
        <v>680</v>
      </c>
      <c r="C681">
        <v>900</v>
      </c>
      <c r="D681">
        <v>900</v>
      </c>
      <c r="E681">
        <v>10000</v>
      </c>
      <c r="F681">
        <v>105</v>
      </c>
      <c r="G681">
        <v>0</v>
      </c>
      <c r="H681">
        <v>0</v>
      </c>
      <c r="I681">
        <v>0</v>
      </c>
      <c r="J681">
        <v>105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52</v>
      </c>
      <c r="Q681">
        <v>30</v>
      </c>
      <c r="R681">
        <v>0</v>
      </c>
      <c r="S681">
        <v>0</v>
      </c>
      <c r="T681">
        <v>25</v>
      </c>
      <c r="U681">
        <v>16</v>
      </c>
      <c r="V681">
        <v>15</v>
      </c>
      <c r="W681">
        <v>0</v>
      </c>
      <c r="X681">
        <v>0</v>
      </c>
    </row>
    <row r="682" spans="1:24" x14ac:dyDescent="0.2">
      <c r="A682">
        <v>6241000</v>
      </c>
      <c r="B682" t="s">
        <v>681</v>
      </c>
      <c r="C682">
        <v>1000</v>
      </c>
      <c r="D682">
        <v>1000</v>
      </c>
      <c r="E682">
        <v>10000</v>
      </c>
      <c r="F682">
        <v>105</v>
      </c>
      <c r="G682">
        <v>0</v>
      </c>
      <c r="H682">
        <v>0</v>
      </c>
      <c r="I682">
        <v>0</v>
      </c>
      <c r="J682">
        <v>105</v>
      </c>
      <c r="K682">
        <v>0</v>
      </c>
      <c r="L682">
        <v>0</v>
      </c>
      <c r="M682">
        <v>0</v>
      </c>
      <c r="N682">
        <v>0</v>
      </c>
      <c r="O682">
        <v>4</v>
      </c>
      <c r="P682">
        <v>52</v>
      </c>
      <c r="Q682">
        <v>30</v>
      </c>
      <c r="R682">
        <v>82</v>
      </c>
      <c r="S682">
        <v>82</v>
      </c>
      <c r="T682">
        <v>25</v>
      </c>
      <c r="U682">
        <v>16</v>
      </c>
      <c r="V682">
        <v>15</v>
      </c>
      <c r="W682">
        <v>0</v>
      </c>
      <c r="X682">
        <v>0</v>
      </c>
    </row>
    <row r="683" spans="1:24" x14ac:dyDescent="0.2">
      <c r="A683">
        <v>6241100</v>
      </c>
      <c r="B683" t="s">
        <v>682</v>
      </c>
      <c r="C683">
        <v>1100</v>
      </c>
      <c r="D683">
        <v>1100</v>
      </c>
      <c r="E683">
        <v>10000</v>
      </c>
      <c r="F683">
        <v>110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52</v>
      </c>
      <c r="Q683">
        <v>30</v>
      </c>
      <c r="R683">
        <v>0</v>
      </c>
      <c r="S683">
        <v>0</v>
      </c>
      <c r="T683">
        <v>25</v>
      </c>
      <c r="U683">
        <v>16</v>
      </c>
      <c r="V683">
        <v>15</v>
      </c>
      <c r="W683">
        <v>0</v>
      </c>
      <c r="X683">
        <v>0</v>
      </c>
    </row>
    <row r="684" spans="1:24" x14ac:dyDescent="0.2">
      <c r="A684">
        <v>6241200</v>
      </c>
      <c r="B684" t="s">
        <v>683</v>
      </c>
      <c r="C684">
        <v>1200</v>
      </c>
      <c r="D684">
        <v>1200</v>
      </c>
      <c r="E684">
        <v>10000</v>
      </c>
      <c r="F684">
        <v>110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52</v>
      </c>
      <c r="Q684">
        <v>30</v>
      </c>
      <c r="R684">
        <v>0</v>
      </c>
      <c r="S684">
        <v>0</v>
      </c>
      <c r="T684">
        <v>25</v>
      </c>
      <c r="U684">
        <v>16</v>
      </c>
      <c r="V684">
        <v>15</v>
      </c>
      <c r="W684">
        <v>0</v>
      </c>
      <c r="X684">
        <v>0</v>
      </c>
    </row>
    <row r="685" spans="1:24" x14ac:dyDescent="0.2">
      <c r="A685">
        <v>6241300</v>
      </c>
      <c r="B685" t="s">
        <v>684</v>
      </c>
      <c r="C685">
        <v>1300</v>
      </c>
      <c r="D685">
        <v>1300</v>
      </c>
      <c r="E685">
        <v>10000</v>
      </c>
      <c r="F685">
        <v>115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52</v>
      </c>
      <c r="Q685">
        <v>30</v>
      </c>
      <c r="R685">
        <v>0</v>
      </c>
      <c r="S685">
        <v>0</v>
      </c>
      <c r="T685">
        <v>25</v>
      </c>
      <c r="U685">
        <v>16</v>
      </c>
      <c r="V685">
        <v>15</v>
      </c>
      <c r="W685">
        <v>0</v>
      </c>
      <c r="X685">
        <v>0</v>
      </c>
    </row>
    <row r="686" spans="1:24" x14ac:dyDescent="0.2">
      <c r="A686">
        <v>6241400</v>
      </c>
      <c r="B686" t="s">
        <v>685</v>
      </c>
      <c r="C686">
        <v>1400</v>
      </c>
      <c r="D686">
        <v>1400</v>
      </c>
      <c r="E686">
        <v>10014</v>
      </c>
      <c r="F686">
        <v>105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52</v>
      </c>
      <c r="Q686">
        <v>30</v>
      </c>
      <c r="R686">
        <v>0</v>
      </c>
      <c r="S686">
        <v>82</v>
      </c>
      <c r="T686">
        <v>25</v>
      </c>
      <c r="U686">
        <v>16</v>
      </c>
      <c r="V686">
        <v>15</v>
      </c>
      <c r="W686">
        <v>0</v>
      </c>
      <c r="X686">
        <v>0</v>
      </c>
    </row>
    <row r="687" spans="1:24" x14ac:dyDescent="0.2">
      <c r="A687">
        <v>6241500</v>
      </c>
      <c r="B687" t="s">
        <v>686</v>
      </c>
      <c r="C687">
        <v>1500</v>
      </c>
      <c r="D687">
        <v>1500</v>
      </c>
      <c r="E687">
        <v>10015</v>
      </c>
      <c r="F687">
        <v>110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52</v>
      </c>
      <c r="Q687">
        <v>30</v>
      </c>
      <c r="R687">
        <v>0</v>
      </c>
      <c r="S687">
        <v>0</v>
      </c>
      <c r="T687">
        <v>25</v>
      </c>
      <c r="U687">
        <v>16</v>
      </c>
      <c r="V687">
        <v>15</v>
      </c>
      <c r="W687">
        <v>0</v>
      </c>
      <c r="X687">
        <v>0</v>
      </c>
    </row>
    <row r="688" spans="1:24" x14ac:dyDescent="0.2">
      <c r="A688">
        <v>6250000</v>
      </c>
      <c r="B688" t="s">
        <v>687</v>
      </c>
      <c r="C688">
        <v>2200</v>
      </c>
      <c r="D688">
        <v>2200</v>
      </c>
      <c r="E688">
        <v>10000</v>
      </c>
      <c r="F688">
        <v>151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41</v>
      </c>
      <c r="Q688">
        <v>35</v>
      </c>
      <c r="R688">
        <v>0</v>
      </c>
      <c r="S688">
        <v>0</v>
      </c>
      <c r="T688">
        <v>21</v>
      </c>
      <c r="U688">
        <v>20</v>
      </c>
      <c r="V688">
        <v>18</v>
      </c>
      <c r="W688">
        <v>0</v>
      </c>
      <c r="X688">
        <v>0</v>
      </c>
    </row>
    <row r="689" spans="1:24" x14ac:dyDescent="0.2">
      <c r="A689">
        <v>6260000</v>
      </c>
      <c r="B689" t="s">
        <v>688</v>
      </c>
      <c r="C689">
        <v>2000</v>
      </c>
      <c r="D689">
        <v>2100</v>
      </c>
      <c r="E689">
        <v>10000</v>
      </c>
      <c r="F689">
        <v>138</v>
      </c>
      <c r="G689">
        <v>0</v>
      </c>
      <c r="H689">
        <v>72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46</v>
      </c>
      <c r="Q689">
        <v>30</v>
      </c>
      <c r="R689">
        <v>31</v>
      </c>
      <c r="S689">
        <v>31</v>
      </c>
      <c r="T689">
        <v>23</v>
      </c>
      <c r="U689">
        <v>26</v>
      </c>
      <c r="V689">
        <v>10</v>
      </c>
      <c r="W689">
        <v>0</v>
      </c>
      <c r="X689">
        <v>0</v>
      </c>
    </row>
    <row r="690" spans="1:24" x14ac:dyDescent="0.2">
      <c r="A690">
        <v>6270000</v>
      </c>
      <c r="B690" t="s">
        <v>689</v>
      </c>
      <c r="C690">
        <v>2000</v>
      </c>
      <c r="D690">
        <v>2100</v>
      </c>
      <c r="E690">
        <v>10000</v>
      </c>
      <c r="F690">
        <v>115</v>
      </c>
      <c r="G690">
        <v>0</v>
      </c>
      <c r="H690">
        <v>76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31</v>
      </c>
      <c r="Q690">
        <v>30</v>
      </c>
      <c r="R690">
        <v>26</v>
      </c>
      <c r="S690">
        <v>26</v>
      </c>
      <c r="T690">
        <v>17</v>
      </c>
      <c r="U690">
        <v>22</v>
      </c>
      <c r="V690">
        <v>14</v>
      </c>
      <c r="W690">
        <v>0</v>
      </c>
      <c r="X690">
        <v>0</v>
      </c>
    </row>
    <row r="691" spans="1:24" x14ac:dyDescent="0.2">
      <c r="A691">
        <v>6280000</v>
      </c>
      <c r="B691" t="s">
        <v>690</v>
      </c>
      <c r="C691">
        <v>2000</v>
      </c>
      <c r="D691">
        <v>2100</v>
      </c>
      <c r="E691">
        <v>12000</v>
      </c>
      <c r="F691">
        <v>98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33</v>
      </c>
      <c r="Q691">
        <v>45</v>
      </c>
      <c r="R691">
        <v>0</v>
      </c>
      <c r="S691">
        <v>13</v>
      </c>
      <c r="T691">
        <v>24</v>
      </c>
      <c r="U691">
        <v>10</v>
      </c>
      <c r="V691">
        <v>18</v>
      </c>
      <c r="W691">
        <v>0</v>
      </c>
      <c r="X691">
        <v>14</v>
      </c>
    </row>
    <row r="692" spans="1:24" x14ac:dyDescent="0.2">
      <c r="A692">
        <v>6290000</v>
      </c>
      <c r="B692" t="s">
        <v>691</v>
      </c>
      <c r="C692">
        <v>2000</v>
      </c>
      <c r="D692">
        <v>2100</v>
      </c>
      <c r="E692">
        <v>12000</v>
      </c>
      <c r="F692">
        <v>138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37</v>
      </c>
      <c r="Q692">
        <v>10</v>
      </c>
      <c r="R692">
        <v>0</v>
      </c>
      <c r="S692">
        <v>37</v>
      </c>
      <c r="T692">
        <v>11</v>
      </c>
      <c r="U692">
        <v>13</v>
      </c>
      <c r="V692">
        <v>13</v>
      </c>
      <c r="W692">
        <v>0</v>
      </c>
      <c r="X692">
        <v>13</v>
      </c>
    </row>
    <row r="693" spans="1:24" x14ac:dyDescent="0.2">
      <c r="A693">
        <v>6300000</v>
      </c>
      <c r="B693" t="s">
        <v>692</v>
      </c>
      <c r="C693">
        <v>2000</v>
      </c>
      <c r="D693">
        <v>2100</v>
      </c>
      <c r="E693">
        <v>10000</v>
      </c>
      <c r="F693">
        <v>127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57</v>
      </c>
      <c r="Q693">
        <v>44</v>
      </c>
      <c r="R693">
        <v>0</v>
      </c>
      <c r="S693">
        <v>0</v>
      </c>
      <c r="T693">
        <v>27</v>
      </c>
      <c r="U693">
        <v>24</v>
      </c>
      <c r="V693">
        <v>18</v>
      </c>
      <c r="W693">
        <v>0</v>
      </c>
      <c r="X693">
        <v>0</v>
      </c>
    </row>
    <row r="694" spans="1:24" x14ac:dyDescent="0.2">
      <c r="A694">
        <v>6310000</v>
      </c>
      <c r="B694" t="s">
        <v>693</v>
      </c>
      <c r="C694">
        <v>2000</v>
      </c>
      <c r="D694">
        <v>2100</v>
      </c>
      <c r="E694">
        <v>10000</v>
      </c>
      <c r="F694">
        <v>132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35</v>
      </c>
      <c r="Q694">
        <v>56</v>
      </c>
      <c r="R694">
        <v>0</v>
      </c>
      <c r="S694">
        <v>0</v>
      </c>
      <c r="T694">
        <v>26</v>
      </c>
      <c r="U694">
        <v>14</v>
      </c>
      <c r="V694">
        <v>18</v>
      </c>
      <c r="W694">
        <v>0</v>
      </c>
      <c r="X694">
        <v>0</v>
      </c>
    </row>
    <row r="695" spans="1:24" x14ac:dyDescent="0.2">
      <c r="A695">
        <v>6320000</v>
      </c>
      <c r="B695" t="s">
        <v>694</v>
      </c>
      <c r="C695">
        <v>2000</v>
      </c>
      <c r="D695">
        <v>2100</v>
      </c>
      <c r="E695">
        <v>10000</v>
      </c>
      <c r="F695">
        <v>63</v>
      </c>
      <c r="G695">
        <v>119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13</v>
      </c>
      <c r="Q695">
        <v>0</v>
      </c>
      <c r="R695">
        <v>72</v>
      </c>
      <c r="S695">
        <v>0</v>
      </c>
      <c r="T695">
        <v>2</v>
      </c>
      <c r="U695">
        <v>16</v>
      </c>
      <c r="V695">
        <v>11</v>
      </c>
      <c r="W695">
        <v>26</v>
      </c>
      <c r="X695">
        <v>0</v>
      </c>
    </row>
    <row r="696" spans="1:24" x14ac:dyDescent="0.2">
      <c r="A696">
        <v>6330000</v>
      </c>
      <c r="B696" t="s">
        <v>695</v>
      </c>
      <c r="C696">
        <v>0</v>
      </c>
      <c r="D696">
        <v>0</v>
      </c>
      <c r="E696">
        <v>10000</v>
      </c>
      <c r="F696">
        <v>89</v>
      </c>
      <c r="G696">
        <v>71</v>
      </c>
      <c r="H696">
        <v>0</v>
      </c>
      <c r="I696">
        <v>71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30</v>
      </c>
      <c r="Q696">
        <v>30</v>
      </c>
      <c r="R696">
        <v>0</v>
      </c>
      <c r="S696">
        <v>0</v>
      </c>
      <c r="T696">
        <v>16</v>
      </c>
      <c r="U696">
        <v>18</v>
      </c>
      <c r="V696">
        <v>16</v>
      </c>
      <c r="W696">
        <v>0</v>
      </c>
      <c r="X696">
        <v>0</v>
      </c>
    </row>
    <row r="697" spans="1:24" x14ac:dyDescent="0.2">
      <c r="A697">
        <v>6330100</v>
      </c>
      <c r="B697" t="s">
        <v>696</v>
      </c>
      <c r="C697">
        <v>200</v>
      </c>
      <c r="D697">
        <v>100</v>
      </c>
      <c r="E697">
        <v>10000</v>
      </c>
      <c r="F697">
        <v>89</v>
      </c>
      <c r="G697">
        <v>71</v>
      </c>
      <c r="H697">
        <v>0</v>
      </c>
      <c r="I697">
        <v>71</v>
      </c>
      <c r="J697">
        <v>0</v>
      </c>
      <c r="K697">
        <v>1</v>
      </c>
      <c r="L697">
        <v>0</v>
      </c>
      <c r="M697">
        <v>0</v>
      </c>
      <c r="N697">
        <v>0</v>
      </c>
      <c r="O697">
        <v>0</v>
      </c>
      <c r="P697">
        <v>35</v>
      </c>
      <c r="Q697">
        <v>0</v>
      </c>
      <c r="R697">
        <v>0</v>
      </c>
      <c r="S697">
        <v>0</v>
      </c>
      <c r="T697">
        <v>16</v>
      </c>
      <c r="U697">
        <v>18</v>
      </c>
      <c r="V697">
        <v>16</v>
      </c>
      <c r="W697">
        <v>0</v>
      </c>
      <c r="X697">
        <v>0</v>
      </c>
    </row>
    <row r="698" spans="1:24" x14ac:dyDescent="0.2">
      <c r="A698">
        <v>6330200</v>
      </c>
      <c r="B698" t="s">
        <v>697</v>
      </c>
      <c r="C698">
        <v>100</v>
      </c>
      <c r="D698">
        <v>200</v>
      </c>
      <c r="E698">
        <v>10000</v>
      </c>
      <c r="F698">
        <v>89</v>
      </c>
      <c r="G698">
        <v>71</v>
      </c>
      <c r="H698">
        <v>0</v>
      </c>
      <c r="I698">
        <v>71</v>
      </c>
      <c r="J698">
        <v>0</v>
      </c>
      <c r="K698">
        <v>2</v>
      </c>
      <c r="L698">
        <v>0</v>
      </c>
      <c r="M698">
        <v>0</v>
      </c>
      <c r="N698">
        <v>0</v>
      </c>
      <c r="O698">
        <v>0</v>
      </c>
      <c r="P698">
        <v>30</v>
      </c>
      <c r="Q698">
        <v>30</v>
      </c>
      <c r="R698">
        <v>0</v>
      </c>
      <c r="S698">
        <v>0</v>
      </c>
      <c r="T698">
        <v>16</v>
      </c>
      <c r="U698">
        <v>18</v>
      </c>
      <c r="V698">
        <v>16</v>
      </c>
      <c r="W698">
        <v>0</v>
      </c>
      <c r="X698">
        <v>0</v>
      </c>
    </row>
    <row r="699" spans="1:24" x14ac:dyDescent="0.2">
      <c r="A699">
        <v>6330300</v>
      </c>
      <c r="B699" t="s">
        <v>698</v>
      </c>
      <c r="C699">
        <v>300</v>
      </c>
      <c r="D699">
        <v>300</v>
      </c>
      <c r="E699">
        <v>10000</v>
      </c>
      <c r="F699">
        <v>89</v>
      </c>
      <c r="G699">
        <v>71</v>
      </c>
      <c r="H699">
        <v>0</v>
      </c>
      <c r="I699">
        <v>71</v>
      </c>
      <c r="J699">
        <v>0</v>
      </c>
      <c r="K699">
        <v>8</v>
      </c>
      <c r="L699">
        <v>0</v>
      </c>
      <c r="M699">
        <v>0</v>
      </c>
      <c r="N699">
        <v>0</v>
      </c>
      <c r="O699">
        <v>0</v>
      </c>
      <c r="P699">
        <v>40</v>
      </c>
      <c r="Q699">
        <v>40</v>
      </c>
      <c r="R699">
        <v>0</v>
      </c>
      <c r="S699">
        <v>0</v>
      </c>
      <c r="T699">
        <v>16</v>
      </c>
      <c r="U699">
        <v>18</v>
      </c>
      <c r="V699">
        <v>16</v>
      </c>
      <c r="W699">
        <v>0</v>
      </c>
      <c r="X699">
        <v>0</v>
      </c>
    </row>
    <row r="700" spans="1:24" x14ac:dyDescent="0.2">
      <c r="A700">
        <v>6330400</v>
      </c>
      <c r="B700" t="s">
        <v>699</v>
      </c>
      <c r="C700">
        <v>500</v>
      </c>
      <c r="D700">
        <v>500</v>
      </c>
      <c r="E700">
        <v>10000</v>
      </c>
      <c r="F700">
        <v>89</v>
      </c>
      <c r="G700">
        <v>165</v>
      </c>
      <c r="H700">
        <v>0</v>
      </c>
      <c r="I700">
        <v>71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30</v>
      </c>
      <c r="Q700">
        <v>30</v>
      </c>
      <c r="R700">
        <v>60</v>
      </c>
      <c r="S700">
        <v>0</v>
      </c>
      <c r="T700">
        <v>16</v>
      </c>
      <c r="U700">
        <v>18</v>
      </c>
      <c r="V700">
        <v>16</v>
      </c>
      <c r="W700">
        <v>0</v>
      </c>
      <c r="X700">
        <v>0</v>
      </c>
    </row>
    <row r="701" spans="1:24" x14ac:dyDescent="0.2">
      <c r="A701">
        <v>6330500</v>
      </c>
      <c r="B701" t="s">
        <v>700</v>
      </c>
      <c r="C701">
        <v>400</v>
      </c>
      <c r="D701">
        <v>400</v>
      </c>
      <c r="E701">
        <v>10000</v>
      </c>
      <c r="F701">
        <v>89</v>
      </c>
      <c r="G701">
        <v>165</v>
      </c>
      <c r="H701">
        <v>0</v>
      </c>
      <c r="I701">
        <v>71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30</v>
      </c>
      <c r="Q701">
        <v>30</v>
      </c>
      <c r="R701">
        <v>60</v>
      </c>
      <c r="S701">
        <v>0</v>
      </c>
      <c r="T701">
        <v>16</v>
      </c>
      <c r="U701">
        <v>18</v>
      </c>
      <c r="V701">
        <v>16</v>
      </c>
      <c r="W701">
        <v>0</v>
      </c>
      <c r="X701">
        <v>0</v>
      </c>
    </row>
    <row r="702" spans="1:24" x14ac:dyDescent="0.2">
      <c r="A702">
        <v>6330600</v>
      </c>
      <c r="B702" t="s">
        <v>701</v>
      </c>
      <c r="C702">
        <v>600</v>
      </c>
      <c r="D702">
        <v>600</v>
      </c>
      <c r="E702">
        <v>10000</v>
      </c>
      <c r="F702">
        <v>119</v>
      </c>
      <c r="G702">
        <v>71</v>
      </c>
      <c r="H702">
        <v>119</v>
      </c>
      <c r="I702">
        <v>71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30</v>
      </c>
      <c r="Q702">
        <v>30</v>
      </c>
      <c r="R702">
        <v>0</v>
      </c>
      <c r="S702">
        <v>0</v>
      </c>
      <c r="T702">
        <v>16</v>
      </c>
      <c r="U702">
        <v>18</v>
      </c>
      <c r="V702">
        <v>16</v>
      </c>
      <c r="W702">
        <v>0</v>
      </c>
      <c r="X702">
        <v>0</v>
      </c>
    </row>
    <row r="703" spans="1:24" x14ac:dyDescent="0.2">
      <c r="A703">
        <v>6330700</v>
      </c>
      <c r="B703" t="s">
        <v>702</v>
      </c>
      <c r="C703">
        <v>700</v>
      </c>
      <c r="D703">
        <v>700</v>
      </c>
      <c r="E703">
        <v>10000</v>
      </c>
      <c r="F703">
        <v>121</v>
      </c>
      <c r="G703">
        <v>71</v>
      </c>
      <c r="H703">
        <v>121</v>
      </c>
      <c r="I703">
        <v>71</v>
      </c>
      <c r="J703">
        <v>0</v>
      </c>
      <c r="K703">
        <v>0</v>
      </c>
      <c r="L703">
        <v>0</v>
      </c>
      <c r="M703">
        <v>4</v>
      </c>
      <c r="N703">
        <v>0</v>
      </c>
      <c r="O703">
        <v>0</v>
      </c>
      <c r="P703">
        <v>30</v>
      </c>
      <c r="Q703">
        <v>30</v>
      </c>
      <c r="R703">
        <v>60</v>
      </c>
      <c r="S703">
        <v>60</v>
      </c>
      <c r="T703">
        <v>16</v>
      </c>
      <c r="U703">
        <v>18</v>
      </c>
      <c r="V703">
        <v>16</v>
      </c>
      <c r="W703">
        <v>0</v>
      </c>
      <c r="X703">
        <v>0</v>
      </c>
    </row>
    <row r="704" spans="1:24" x14ac:dyDescent="0.2">
      <c r="A704">
        <v>6330800</v>
      </c>
      <c r="B704" t="s">
        <v>703</v>
      </c>
      <c r="C704">
        <v>800</v>
      </c>
      <c r="D704">
        <v>800</v>
      </c>
      <c r="E704">
        <v>10000</v>
      </c>
      <c r="F704">
        <v>89</v>
      </c>
      <c r="G704">
        <v>71</v>
      </c>
      <c r="H704">
        <v>0</v>
      </c>
      <c r="I704">
        <v>165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30</v>
      </c>
      <c r="Q704">
        <v>30</v>
      </c>
      <c r="R704">
        <v>0</v>
      </c>
      <c r="S704">
        <v>60</v>
      </c>
      <c r="T704">
        <v>16</v>
      </c>
      <c r="U704">
        <v>18</v>
      </c>
      <c r="V704">
        <v>16</v>
      </c>
      <c r="W704">
        <v>0</v>
      </c>
      <c r="X704">
        <v>0</v>
      </c>
    </row>
    <row r="705" spans="1:24" x14ac:dyDescent="0.2">
      <c r="A705">
        <v>6330900</v>
      </c>
      <c r="B705" t="s">
        <v>704</v>
      </c>
      <c r="C705">
        <v>900</v>
      </c>
      <c r="D705">
        <v>900</v>
      </c>
      <c r="E705">
        <v>10000</v>
      </c>
      <c r="F705">
        <v>119</v>
      </c>
      <c r="G705">
        <v>71</v>
      </c>
      <c r="H705">
        <v>0</v>
      </c>
      <c r="I705">
        <v>71</v>
      </c>
      <c r="J705">
        <v>119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30</v>
      </c>
      <c r="Q705">
        <v>30</v>
      </c>
      <c r="R705">
        <v>0</v>
      </c>
      <c r="S705">
        <v>0</v>
      </c>
      <c r="T705">
        <v>16</v>
      </c>
      <c r="U705">
        <v>18</v>
      </c>
      <c r="V705">
        <v>16</v>
      </c>
      <c r="W705">
        <v>0</v>
      </c>
      <c r="X705">
        <v>0</v>
      </c>
    </row>
    <row r="706" spans="1:24" x14ac:dyDescent="0.2">
      <c r="A706">
        <v>6331000</v>
      </c>
      <c r="B706" t="s">
        <v>705</v>
      </c>
      <c r="C706">
        <v>1000</v>
      </c>
      <c r="D706">
        <v>1000</v>
      </c>
      <c r="E706">
        <v>10000</v>
      </c>
      <c r="F706">
        <v>121</v>
      </c>
      <c r="G706">
        <v>71</v>
      </c>
      <c r="H706">
        <v>0</v>
      </c>
      <c r="I706">
        <v>71</v>
      </c>
      <c r="J706">
        <v>121</v>
      </c>
      <c r="K706">
        <v>0</v>
      </c>
      <c r="L706">
        <v>0</v>
      </c>
      <c r="M706">
        <v>0</v>
      </c>
      <c r="N706">
        <v>0</v>
      </c>
      <c r="O706">
        <v>4</v>
      </c>
      <c r="P706">
        <v>30</v>
      </c>
      <c r="Q706">
        <v>30</v>
      </c>
      <c r="R706">
        <v>60</v>
      </c>
      <c r="S706">
        <v>60</v>
      </c>
      <c r="T706">
        <v>16</v>
      </c>
      <c r="U706">
        <v>18</v>
      </c>
      <c r="V706">
        <v>16</v>
      </c>
      <c r="W706">
        <v>0</v>
      </c>
      <c r="X706">
        <v>0</v>
      </c>
    </row>
    <row r="707" spans="1:24" x14ac:dyDescent="0.2">
      <c r="A707">
        <v>6331100</v>
      </c>
      <c r="B707" t="s">
        <v>706</v>
      </c>
      <c r="C707">
        <v>1100</v>
      </c>
      <c r="D707">
        <v>1100</v>
      </c>
      <c r="E707">
        <v>10000</v>
      </c>
      <c r="F707">
        <v>89</v>
      </c>
      <c r="G707">
        <v>71</v>
      </c>
      <c r="H707">
        <v>0</v>
      </c>
      <c r="I707">
        <v>71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30</v>
      </c>
      <c r="Q707">
        <v>30</v>
      </c>
      <c r="R707">
        <v>0</v>
      </c>
      <c r="S707">
        <v>0</v>
      </c>
      <c r="T707">
        <v>16</v>
      </c>
      <c r="U707">
        <v>18</v>
      </c>
      <c r="V707">
        <v>16</v>
      </c>
      <c r="W707">
        <v>0</v>
      </c>
      <c r="X707">
        <v>0</v>
      </c>
    </row>
    <row r="708" spans="1:24" x14ac:dyDescent="0.2">
      <c r="A708">
        <v>6331200</v>
      </c>
      <c r="B708" t="s">
        <v>707</v>
      </c>
      <c r="C708">
        <v>1200</v>
      </c>
      <c r="D708">
        <v>1200</v>
      </c>
      <c r="E708">
        <v>10000</v>
      </c>
      <c r="F708">
        <v>89</v>
      </c>
      <c r="G708">
        <v>71</v>
      </c>
      <c r="H708">
        <v>0</v>
      </c>
      <c r="I708">
        <v>71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30</v>
      </c>
      <c r="Q708">
        <v>30</v>
      </c>
      <c r="R708">
        <v>0</v>
      </c>
      <c r="S708">
        <v>0</v>
      </c>
      <c r="T708">
        <v>16</v>
      </c>
      <c r="U708">
        <v>18</v>
      </c>
      <c r="V708">
        <v>16</v>
      </c>
      <c r="W708">
        <v>0</v>
      </c>
      <c r="X708">
        <v>0</v>
      </c>
    </row>
    <row r="709" spans="1:24" x14ac:dyDescent="0.2">
      <c r="A709">
        <v>6331300</v>
      </c>
      <c r="B709" t="s">
        <v>708</v>
      </c>
      <c r="C709">
        <v>1300</v>
      </c>
      <c r="D709">
        <v>1300</v>
      </c>
      <c r="E709">
        <v>10000</v>
      </c>
      <c r="F709">
        <v>89</v>
      </c>
      <c r="G709">
        <v>71</v>
      </c>
      <c r="H709">
        <v>0</v>
      </c>
      <c r="I709">
        <v>71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30</v>
      </c>
      <c r="Q709">
        <v>30</v>
      </c>
      <c r="R709">
        <v>0</v>
      </c>
      <c r="S709">
        <v>0</v>
      </c>
      <c r="T709">
        <v>16</v>
      </c>
      <c r="U709">
        <v>18</v>
      </c>
      <c r="V709">
        <v>16</v>
      </c>
      <c r="W709">
        <v>0</v>
      </c>
      <c r="X709">
        <v>0</v>
      </c>
    </row>
    <row r="710" spans="1:24" x14ac:dyDescent="0.2">
      <c r="A710">
        <v>6331400</v>
      </c>
      <c r="B710" t="s">
        <v>709</v>
      </c>
      <c r="C710">
        <v>1400</v>
      </c>
      <c r="D710">
        <v>1400</v>
      </c>
      <c r="E710">
        <v>10014</v>
      </c>
      <c r="F710">
        <v>122</v>
      </c>
      <c r="G710">
        <v>71</v>
      </c>
      <c r="H710">
        <v>0</v>
      </c>
      <c r="I710">
        <v>71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30</v>
      </c>
      <c r="Q710">
        <v>30</v>
      </c>
      <c r="R710">
        <v>0</v>
      </c>
      <c r="S710">
        <v>60</v>
      </c>
      <c r="T710">
        <v>16</v>
      </c>
      <c r="U710">
        <v>18</v>
      </c>
      <c r="V710">
        <v>16</v>
      </c>
      <c r="W710">
        <v>0</v>
      </c>
      <c r="X710">
        <v>0</v>
      </c>
    </row>
    <row r="711" spans="1:24" x14ac:dyDescent="0.2">
      <c r="A711">
        <v>6331500</v>
      </c>
      <c r="B711" t="s">
        <v>710</v>
      </c>
      <c r="C711">
        <v>1500</v>
      </c>
      <c r="D711">
        <v>1500</v>
      </c>
      <c r="E711">
        <v>10015</v>
      </c>
      <c r="F711">
        <v>89</v>
      </c>
      <c r="G711">
        <v>71</v>
      </c>
      <c r="H711">
        <v>0</v>
      </c>
      <c r="I711">
        <v>71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30</v>
      </c>
      <c r="Q711">
        <v>30</v>
      </c>
      <c r="R711">
        <v>0</v>
      </c>
      <c r="S711">
        <v>0</v>
      </c>
      <c r="T711">
        <v>16</v>
      </c>
      <c r="U711">
        <v>18</v>
      </c>
      <c r="V711">
        <v>16</v>
      </c>
      <c r="W711">
        <v>0</v>
      </c>
      <c r="X711">
        <v>0</v>
      </c>
    </row>
    <row r="712" spans="1:24" x14ac:dyDescent="0.2">
      <c r="A712">
        <v>6340000</v>
      </c>
      <c r="B712" t="s">
        <v>711</v>
      </c>
      <c r="C712">
        <v>2000</v>
      </c>
      <c r="D712">
        <v>2100</v>
      </c>
      <c r="E712">
        <v>10000</v>
      </c>
      <c r="F712">
        <v>117</v>
      </c>
      <c r="G712">
        <v>0</v>
      </c>
      <c r="H712">
        <v>81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31</v>
      </c>
      <c r="Q712">
        <v>29</v>
      </c>
      <c r="R712">
        <v>0</v>
      </c>
      <c r="S712">
        <v>0</v>
      </c>
      <c r="T712">
        <v>17</v>
      </c>
      <c r="U712">
        <v>20</v>
      </c>
      <c r="V712">
        <v>10</v>
      </c>
      <c r="W712">
        <v>10</v>
      </c>
      <c r="X712">
        <v>10</v>
      </c>
    </row>
    <row r="713" spans="1:24" x14ac:dyDescent="0.2">
      <c r="A713">
        <v>6350000</v>
      </c>
      <c r="B713" t="s">
        <v>712</v>
      </c>
      <c r="C713">
        <v>2200</v>
      </c>
      <c r="D713">
        <v>2200</v>
      </c>
      <c r="E713">
        <v>10000</v>
      </c>
      <c r="F713">
        <v>130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106</v>
      </c>
      <c r="Q713">
        <v>5</v>
      </c>
      <c r="R713">
        <v>0</v>
      </c>
      <c r="S713">
        <v>0</v>
      </c>
      <c r="T713">
        <v>32</v>
      </c>
      <c r="U713">
        <v>50</v>
      </c>
      <c r="V713">
        <v>10</v>
      </c>
      <c r="W713">
        <v>0</v>
      </c>
      <c r="X713">
        <v>0</v>
      </c>
    </row>
    <row r="714" spans="1:24" x14ac:dyDescent="0.2">
      <c r="A714">
        <v>6360000</v>
      </c>
      <c r="B714" t="s">
        <v>713</v>
      </c>
      <c r="C714">
        <v>2200</v>
      </c>
      <c r="D714">
        <v>2200</v>
      </c>
      <c r="E714">
        <v>10000</v>
      </c>
      <c r="F714">
        <v>135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21</v>
      </c>
      <c r="Q714">
        <v>72</v>
      </c>
      <c r="R714">
        <v>0</v>
      </c>
      <c r="S714">
        <v>0</v>
      </c>
      <c r="T714">
        <v>28</v>
      </c>
      <c r="U714">
        <v>19</v>
      </c>
      <c r="V714">
        <v>25</v>
      </c>
      <c r="W714">
        <v>0</v>
      </c>
      <c r="X714">
        <v>0</v>
      </c>
    </row>
    <row r="715" spans="1:24" x14ac:dyDescent="0.2">
      <c r="A715">
        <v>6370000</v>
      </c>
      <c r="B715" t="s">
        <v>714</v>
      </c>
      <c r="C715">
        <v>2000</v>
      </c>
      <c r="D715">
        <v>2100</v>
      </c>
      <c r="E715">
        <v>10000</v>
      </c>
      <c r="F715">
        <v>140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40</v>
      </c>
      <c r="Q715">
        <v>30</v>
      </c>
      <c r="R715">
        <v>0</v>
      </c>
      <c r="S715">
        <v>0</v>
      </c>
      <c r="T715">
        <v>18</v>
      </c>
      <c r="U715">
        <v>0</v>
      </c>
      <c r="V715">
        <v>0</v>
      </c>
      <c r="W715">
        <v>0</v>
      </c>
      <c r="X715">
        <v>0</v>
      </c>
    </row>
    <row r="716" spans="1:24" x14ac:dyDescent="0.2">
      <c r="A716">
        <v>6380000</v>
      </c>
      <c r="B716" t="s">
        <v>715</v>
      </c>
      <c r="C716">
        <v>0</v>
      </c>
      <c r="D716">
        <v>0</v>
      </c>
      <c r="E716">
        <v>10000</v>
      </c>
      <c r="F716">
        <v>140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40</v>
      </c>
      <c r="Q716">
        <v>45</v>
      </c>
      <c r="R716">
        <v>0</v>
      </c>
      <c r="S716">
        <v>0</v>
      </c>
      <c r="T716">
        <v>25</v>
      </c>
      <c r="U716">
        <v>22</v>
      </c>
      <c r="V716">
        <v>18</v>
      </c>
      <c r="W716">
        <v>0</v>
      </c>
      <c r="X716">
        <v>0</v>
      </c>
    </row>
    <row r="717" spans="1:24" x14ac:dyDescent="0.2">
      <c r="A717">
        <v>6380100</v>
      </c>
      <c r="B717" t="s">
        <v>716</v>
      </c>
      <c r="C717">
        <v>200</v>
      </c>
      <c r="D717">
        <v>100</v>
      </c>
      <c r="E717">
        <v>10000</v>
      </c>
      <c r="F717">
        <v>140</v>
      </c>
      <c r="G717">
        <v>0</v>
      </c>
      <c r="H717">
        <v>0</v>
      </c>
      <c r="I717">
        <v>0</v>
      </c>
      <c r="J717">
        <v>0</v>
      </c>
      <c r="K717">
        <v>1</v>
      </c>
      <c r="L717">
        <v>0</v>
      </c>
      <c r="M717">
        <v>0</v>
      </c>
      <c r="N717">
        <v>0</v>
      </c>
      <c r="O717">
        <v>0</v>
      </c>
      <c r="P717">
        <v>55</v>
      </c>
      <c r="Q717">
        <v>0</v>
      </c>
      <c r="R717">
        <v>0</v>
      </c>
      <c r="S717">
        <v>0</v>
      </c>
      <c r="T717">
        <v>25</v>
      </c>
      <c r="U717">
        <v>22</v>
      </c>
      <c r="V717">
        <v>18</v>
      </c>
      <c r="W717">
        <v>0</v>
      </c>
      <c r="X717">
        <v>0</v>
      </c>
    </row>
    <row r="718" spans="1:24" x14ac:dyDescent="0.2">
      <c r="A718">
        <v>6380200</v>
      </c>
      <c r="B718" t="s">
        <v>717</v>
      </c>
      <c r="C718">
        <v>100</v>
      </c>
      <c r="D718">
        <v>200</v>
      </c>
      <c r="E718">
        <v>10000</v>
      </c>
      <c r="F718">
        <v>140</v>
      </c>
      <c r="G718">
        <v>0</v>
      </c>
      <c r="H718">
        <v>0</v>
      </c>
      <c r="I718">
        <v>0</v>
      </c>
      <c r="J718">
        <v>0</v>
      </c>
      <c r="K718">
        <v>2</v>
      </c>
      <c r="L718">
        <v>0</v>
      </c>
      <c r="M718">
        <v>0</v>
      </c>
      <c r="N718">
        <v>0</v>
      </c>
      <c r="O718">
        <v>0</v>
      </c>
      <c r="P718">
        <v>20</v>
      </c>
      <c r="Q718">
        <v>45</v>
      </c>
      <c r="R718">
        <v>0</v>
      </c>
      <c r="S718">
        <v>0</v>
      </c>
      <c r="T718">
        <v>25</v>
      </c>
      <c r="U718">
        <v>22</v>
      </c>
      <c r="V718">
        <v>18</v>
      </c>
      <c r="W718">
        <v>0</v>
      </c>
      <c r="X718">
        <v>0</v>
      </c>
    </row>
    <row r="719" spans="1:24" x14ac:dyDescent="0.2">
      <c r="A719">
        <v>6380300</v>
      </c>
      <c r="B719" t="s">
        <v>718</v>
      </c>
      <c r="C719">
        <v>300</v>
      </c>
      <c r="D719">
        <v>300</v>
      </c>
      <c r="E719">
        <v>10000</v>
      </c>
      <c r="F719">
        <v>140</v>
      </c>
      <c r="G719">
        <v>0</v>
      </c>
      <c r="H719">
        <v>0</v>
      </c>
      <c r="I719">
        <v>0</v>
      </c>
      <c r="J719">
        <v>0</v>
      </c>
      <c r="K719">
        <v>8</v>
      </c>
      <c r="L719">
        <v>0</v>
      </c>
      <c r="M719">
        <v>0</v>
      </c>
      <c r="N719">
        <v>0</v>
      </c>
      <c r="O719">
        <v>0</v>
      </c>
      <c r="P719">
        <v>52</v>
      </c>
      <c r="Q719">
        <v>52</v>
      </c>
      <c r="R719">
        <v>0</v>
      </c>
      <c r="S719">
        <v>0</v>
      </c>
      <c r="T719">
        <v>25</v>
      </c>
      <c r="U719">
        <v>22</v>
      </c>
      <c r="V719">
        <v>18</v>
      </c>
      <c r="W719">
        <v>0</v>
      </c>
      <c r="X719">
        <v>0</v>
      </c>
    </row>
    <row r="720" spans="1:24" x14ac:dyDescent="0.2">
      <c r="A720">
        <v>6380400</v>
      </c>
      <c r="B720" t="s">
        <v>719</v>
      </c>
      <c r="C720">
        <v>500</v>
      </c>
      <c r="D720">
        <v>500</v>
      </c>
      <c r="E720">
        <v>10000</v>
      </c>
      <c r="F720">
        <v>145</v>
      </c>
      <c r="G720">
        <v>145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40</v>
      </c>
      <c r="Q720">
        <v>45</v>
      </c>
      <c r="R720">
        <v>85</v>
      </c>
      <c r="S720">
        <v>0</v>
      </c>
      <c r="T720">
        <v>25</v>
      </c>
      <c r="U720">
        <v>22</v>
      </c>
      <c r="V720">
        <v>18</v>
      </c>
      <c r="W720">
        <v>0</v>
      </c>
      <c r="X720">
        <v>0</v>
      </c>
    </row>
    <row r="721" spans="1:24" x14ac:dyDescent="0.2">
      <c r="A721">
        <v>6380500</v>
      </c>
      <c r="B721" t="s">
        <v>720</v>
      </c>
      <c r="C721">
        <v>400</v>
      </c>
      <c r="D721">
        <v>400</v>
      </c>
      <c r="E721">
        <v>10000</v>
      </c>
      <c r="F721">
        <v>145</v>
      </c>
      <c r="G721">
        <v>145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40</v>
      </c>
      <c r="Q721">
        <v>45</v>
      </c>
      <c r="R721">
        <v>85</v>
      </c>
      <c r="S721">
        <v>0</v>
      </c>
      <c r="T721">
        <v>25</v>
      </c>
      <c r="U721">
        <v>22</v>
      </c>
      <c r="V721">
        <v>18</v>
      </c>
      <c r="W721">
        <v>0</v>
      </c>
      <c r="X721">
        <v>0</v>
      </c>
    </row>
    <row r="722" spans="1:24" x14ac:dyDescent="0.2">
      <c r="A722">
        <v>6380600</v>
      </c>
      <c r="B722" t="s">
        <v>721</v>
      </c>
      <c r="C722">
        <v>600</v>
      </c>
      <c r="D722">
        <v>600</v>
      </c>
      <c r="E722">
        <v>10000</v>
      </c>
      <c r="F722">
        <v>140</v>
      </c>
      <c r="G722">
        <v>0</v>
      </c>
      <c r="H722">
        <v>140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40</v>
      </c>
      <c r="Q722">
        <v>45</v>
      </c>
      <c r="R722">
        <v>0</v>
      </c>
      <c r="S722">
        <v>0</v>
      </c>
      <c r="T722">
        <v>25</v>
      </c>
      <c r="U722">
        <v>22</v>
      </c>
      <c r="V722">
        <v>18</v>
      </c>
      <c r="W722">
        <v>0</v>
      </c>
      <c r="X722">
        <v>0</v>
      </c>
    </row>
    <row r="723" spans="1:24" x14ac:dyDescent="0.2">
      <c r="A723">
        <v>6380700</v>
      </c>
      <c r="B723" t="s">
        <v>722</v>
      </c>
      <c r="C723">
        <v>700</v>
      </c>
      <c r="D723">
        <v>700</v>
      </c>
      <c r="E723">
        <v>10000</v>
      </c>
      <c r="F723">
        <v>145</v>
      </c>
      <c r="G723">
        <v>0</v>
      </c>
      <c r="H723">
        <v>145</v>
      </c>
      <c r="I723">
        <v>0</v>
      </c>
      <c r="J723">
        <v>0</v>
      </c>
      <c r="K723">
        <v>0</v>
      </c>
      <c r="L723">
        <v>0</v>
      </c>
      <c r="M723">
        <v>4</v>
      </c>
      <c r="N723">
        <v>0</v>
      </c>
      <c r="O723">
        <v>0</v>
      </c>
      <c r="P723">
        <v>40</v>
      </c>
      <c r="Q723">
        <v>45</v>
      </c>
      <c r="R723">
        <v>85</v>
      </c>
      <c r="S723">
        <v>85</v>
      </c>
      <c r="T723">
        <v>25</v>
      </c>
      <c r="U723">
        <v>22</v>
      </c>
      <c r="V723">
        <v>18</v>
      </c>
      <c r="W723">
        <v>0</v>
      </c>
      <c r="X723">
        <v>0</v>
      </c>
    </row>
    <row r="724" spans="1:24" x14ac:dyDescent="0.2">
      <c r="A724">
        <v>6380800</v>
      </c>
      <c r="B724" t="s">
        <v>723</v>
      </c>
      <c r="C724">
        <v>800</v>
      </c>
      <c r="D724">
        <v>800</v>
      </c>
      <c r="E724">
        <v>10000</v>
      </c>
      <c r="F724">
        <v>145</v>
      </c>
      <c r="G724">
        <v>0</v>
      </c>
      <c r="H724">
        <v>0</v>
      </c>
      <c r="I724">
        <v>145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40</v>
      </c>
      <c r="Q724">
        <v>45</v>
      </c>
      <c r="R724">
        <v>0</v>
      </c>
      <c r="S724">
        <v>85</v>
      </c>
      <c r="T724">
        <v>25</v>
      </c>
      <c r="U724">
        <v>22</v>
      </c>
      <c r="V724">
        <v>18</v>
      </c>
      <c r="W724">
        <v>0</v>
      </c>
      <c r="X724">
        <v>0</v>
      </c>
    </row>
    <row r="725" spans="1:24" x14ac:dyDescent="0.2">
      <c r="A725">
        <v>6380900</v>
      </c>
      <c r="B725" t="s">
        <v>724</v>
      </c>
      <c r="C725">
        <v>900</v>
      </c>
      <c r="D725">
        <v>900</v>
      </c>
      <c r="E725">
        <v>10000</v>
      </c>
      <c r="F725">
        <v>140</v>
      </c>
      <c r="G725">
        <v>0</v>
      </c>
      <c r="H725">
        <v>0</v>
      </c>
      <c r="I725">
        <v>0</v>
      </c>
      <c r="J725">
        <v>140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40</v>
      </c>
      <c r="Q725">
        <v>45</v>
      </c>
      <c r="R725">
        <v>0</v>
      </c>
      <c r="S725">
        <v>0</v>
      </c>
      <c r="T725">
        <v>25</v>
      </c>
      <c r="U725">
        <v>22</v>
      </c>
      <c r="V725">
        <v>18</v>
      </c>
      <c r="W725">
        <v>0</v>
      </c>
      <c r="X725">
        <v>0</v>
      </c>
    </row>
    <row r="726" spans="1:24" x14ac:dyDescent="0.2">
      <c r="A726">
        <v>6381000</v>
      </c>
      <c r="B726" t="s">
        <v>725</v>
      </c>
      <c r="C726">
        <v>1000</v>
      </c>
      <c r="D726">
        <v>1000</v>
      </c>
      <c r="E726">
        <v>10000</v>
      </c>
      <c r="F726">
        <v>145</v>
      </c>
      <c r="G726">
        <v>0</v>
      </c>
      <c r="H726">
        <v>0</v>
      </c>
      <c r="I726">
        <v>0</v>
      </c>
      <c r="J726">
        <v>145</v>
      </c>
      <c r="K726">
        <v>0</v>
      </c>
      <c r="L726">
        <v>0</v>
      </c>
      <c r="M726">
        <v>0</v>
      </c>
      <c r="N726">
        <v>0</v>
      </c>
      <c r="O726">
        <v>4</v>
      </c>
      <c r="P726">
        <v>40</v>
      </c>
      <c r="Q726">
        <v>45</v>
      </c>
      <c r="R726">
        <v>85</v>
      </c>
      <c r="S726">
        <v>85</v>
      </c>
      <c r="T726">
        <v>25</v>
      </c>
      <c r="U726">
        <v>22</v>
      </c>
      <c r="V726">
        <v>18</v>
      </c>
      <c r="W726">
        <v>0</v>
      </c>
      <c r="X726">
        <v>0</v>
      </c>
    </row>
    <row r="727" spans="1:24" x14ac:dyDescent="0.2">
      <c r="A727">
        <v>6381100</v>
      </c>
      <c r="B727" t="s">
        <v>726</v>
      </c>
      <c r="C727">
        <v>1100</v>
      </c>
      <c r="D727">
        <v>1100</v>
      </c>
      <c r="E727">
        <v>10000</v>
      </c>
      <c r="F727">
        <v>140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40</v>
      </c>
      <c r="Q727">
        <v>45</v>
      </c>
      <c r="R727">
        <v>0</v>
      </c>
      <c r="S727">
        <v>0</v>
      </c>
      <c r="T727">
        <v>25</v>
      </c>
      <c r="U727">
        <v>22</v>
      </c>
      <c r="V727">
        <v>18</v>
      </c>
      <c r="W727">
        <v>0</v>
      </c>
      <c r="X727">
        <v>0</v>
      </c>
    </row>
    <row r="728" spans="1:24" x14ac:dyDescent="0.2">
      <c r="A728">
        <v>6381200</v>
      </c>
      <c r="B728" t="s">
        <v>727</v>
      </c>
      <c r="C728">
        <v>1200</v>
      </c>
      <c r="D728">
        <v>1200</v>
      </c>
      <c r="E728">
        <v>10000</v>
      </c>
      <c r="F728">
        <v>140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40</v>
      </c>
      <c r="Q728">
        <v>45</v>
      </c>
      <c r="R728">
        <v>0</v>
      </c>
      <c r="S728">
        <v>0</v>
      </c>
      <c r="T728">
        <v>25</v>
      </c>
      <c r="U728">
        <v>22</v>
      </c>
      <c r="V728">
        <v>18</v>
      </c>
      <c r="W728">
        <v>0</v>
      </c>
      <c r="X728">
        <v>0</v>
      </c>
    </row>
    <row r="729" spans="1:24" x14ac:dyDescent="0.2">
      <c r="A729">
        <v>6381300</v>
      </c>
      <c r="B729" t="s">
        <v>728</v>
      </c>
      <c r="C729">
        <v>1300</v>
      </c>
      <c r="D729">
        <v>1300</v>
      </c>
      <c r="E729">
        <v>10000</v>
      </c>
      <c r="F729">
        <v>170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40</v>
      </c>
      <c r="Q729">
        <v>45</v>
      </c>
      <c r="R729">
        <v>0</v>
      </c>
      <c r="S729">
        <v>0</v>
      </c>
      <c r="T729">
        <v>25</v>
      </c>
      <c r="U729">
        <v>22</v>
      </c>
      <c r="V729">
        <v>18</v>
      </c>
      <c r="W729">
        <v>0</v>
      </c>
      <c r="X729">
        <v>0</v>
      </c>
    </row>
    <row r="730" spans="1:24" x14ac:dyDescent="0.2">
      <c r="A730">
        <v>6381400</v>
      </c>
      <c r="B730" t="s">
        <v>729</v>
      </c>
      <c r="C730">
        <v>1400</v>
      </c>
      <c r="D730">
        <v>1400</v>
      </c>
      <c r="E730">
        <v>10014</v>
      </c>
      <c r="F730">
        <v>145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40</v>
      </c>
      <c r="Q730">
        <v>45</v>
      </c>
      <c r="R730">
        <v>0</v>
      </c>
      <c r="S730">
        <v>85</v>
      </c>
      <c r="T730">
        <v>25</v>
      </c>
      <c r="U730">
        <v>22</v>
      </c>
      <c r="V730">
        <v>18</v>
      </c>
      <c r="W730">
        <v>0</v>
      </c>
      <c r="X730">
        <v>0</v>
      </c>
    </row>
    <row r="731" spans="1:24" x14ac:dyDescent="0.2">
      <c r="A731">
        <v>6381500</v>
      </c>
      <c r="B731" t="s">
        <v>730</v>
      </c>
      <c r="C731">
        <v>1500</v>
      </c>
      <c r="D731">
        <v>1500</v>
      </c>
      <c r="E731">
        <v>10015</v>
      </c>
      <c r="F731">
        <v>140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40</v>
      </c>
      <c r="Q731">
        <v>45</v>
      </c>
      <c r="R731">
        <v>0</v>
      </c>
      <c r="S731">
        <v>0</v>
      </c>
      <c r="T731">
        <v>25</v>
      </c>
      <c r="U731">
        <v>22</v>
      </c>
      <c r="V731">
        <v>18</v>
      </c>
      <c r="W731">
        <v>0</v>
      </c>
      <c r="X731">
        <v>0</v>
      </c>
    </row>
    <row r="732" spans="1:24" x14ac:dyDescent="0.2">
      <c r="A732">
        <v>7000000</v>
      </c>
      <c r="B732" t="s">
        <v>731</v>
      </c>
      <c r="C732">
        <v>0</v>
      </c>
      <c r="D732">
        <v>0</v>
      </c>
      <c r="E732">
        <v>10000</v>
      </c>
      <c r="F732">
        <v>110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50</v>
      </c>
      <c r="Q732">
        <v>30</v>
      </c>
      <c r="R732">
        <v>0</v>
      </c>
      <c r="S732">
        <v>0</v>
      </c>
      <c r="T732">
        <v>20</v>
      </c>
      <c r="U732">
        <v>9</v>
      </c>
      <c r="V732">
        <v>8</v>
      </c>
      <c r="W732">
        <v>0</v>
      </c>
      <c r="X732">
        <v>0</v>
      </c>
    </row>
    <row r="733" spans="1:24" x14ac:dyDescent="0.2">
      <c r="A733">
        <v>7000100</v>
      </c>
      <c r="B733" t="s">
        <v>732</v>
      </c>
      <c r="C733">
        <v>200</v>
      </c>
      <c r="D733">
        <v>6200</v>
      </c>
      <c r="E733">
        <v>10000</v>
      </c>
      <c r="F733">
        <v>110</v>
      </c>
      <c r="G733">
        <v>0</v>
      </c>
      <c r="H733">
        <v>0</v>
      </c>
      <c r="I733">
        <v>0</v>
      </c>
      <c r="J733">
        <v>0</v>
      </c>
      <c r="K733">
        <v>1</v>
      </c>
      <c r="L733">
        <v>0</v>
      </c>
      <c r="M733">
        <v>0</v>
      </c>
      <c r="N733">
        <v>0</v>
      </c>
      <c r="O733">
        <v>0</v>
      </c>
      <c r="P733">
        <v>50</v>
      </c>
      <c r="Q733">
        <v>0</v>
      </c>
      <c r="R733">
        <v>0</v>
      </c>
      <c r="S733">
        <v>0</v>
      </c>
      <c r="T733">
        <v>20</v>
      </c>
      <c r="U733">
        <v>9</v>
      </c>
      <c r="V733">
        <v>8</v>
      </c>
      <c r="W733">
        <v>0</v>
      </c>
      <c r="X733">
        <v>0</v>
      </c>
    </row>
    <row r="734" spans="1:24" x14ac:dyDescent="0.2">
      <c r="A734">
        <v>7000200</v>
      </c>
      <c r="B734" t="s">
        <v>733</v>
      </c>
      <c r="C734">
        <v>100</v>
      </c>
      <c r="D734">
        <v>6300</v>
      </c>
      <c r="E734">
        <v>10000</v>
      </c>
      <c r="F734">
        <v>110</v>
      </c>
      <c r="G734">
        <v>0</v>
      </c>
      <c r="H734">
        <v>0</v>
      </c>
      <c r="I734">
        <v>0</v>
      </c>
      <c r="J734">
        <v>0</v>
      </c>
      <c r="K734">
        <v>2</v>
      </c>
      <c r="L734">
        <v>0</v>
      </c>
      <c r="M734">
        <v>0</v>
      </c>
      <c r="N734">
        <v>0</v>
      </c>
      <c r="O734">
        <v>0</v>
      </c>
      <c r="P734">
        <v>20</v>
      </c>
      <c r="Q734">
        <v>53</v>
      </c>
      <c r="R734">
        <v>0</v>
      </c>
      <c r="S734">
        <v>0</v>
      </c>
      <c r="T734">
        <v>20</v>
      </c>
      <c r="U734">
        <v>9</v>
      </c>
      <c r="V734">
        <v>8</v>
      </c>
      <c r="W734">
        <v>0</v>
      </c>
      <c r="X734">
        <v>0</v>
      </c>
    </row>
    <row r="735" spans="1:24" x14ac:dyDescent="0.2">
      <c r="A735">
        <v>7000300</v>
      </c>
      <c r="B735" t="s">
        <v>734</v>
      </c>
      <c r="C735">
        <v>300</v>
      </c>
      <c r="D735">
        <v>6100</v>
      </c>
      <c r="E735">
        <v>10000</v>
      </c>
      <c r="F735">
        <v>110</v>
      </c>
      <c r="G735">
        <v>0</v>
      </c>
      <c r="H735">
        <v>0</v>
      </c>
      <c r="I735">
        <v>0</v>
      </c>
      <c r="J735">
        <v>0</v>
      </c>
      <c r="K735">
        <v>8</v>
      </c>
      <c r="L735">
        <v>0</v>
      </c>
      <c r="M735">
        <v>0</v>
      </c>
      <c r="N735">
        <v>0</v>
      </c>
      <c r="O735">
        <v>0</v>
      </c>
      <c r="P735">
        <v>45</v>
      </c>
      <c r="Q735">
        <v>45</v>
      </c>
      <c r="R735">
        <v>0</v>
      </c>
      <c r="S735">
        <v>0</v>
      </c>
      <c r="T735">
        <v>20</v>
      </c>
      <c r="U735">
        <v>9</v>
      </c>
      <c r="V735">
        <v>8</v>
      </c>
      <c r="W735">
        <v>0</v>
      </c>
      <c r="X735">
        <v>0</v>
      </c>
    </row>
    <row r="736" spans="1:24" x14ac:dyDescent="0.2">
      <c r="A736">
        <v>7000400</v>
      </c>
      <c r="B736" t="s">
        <v>735</v>
      </c>
      <c r="C736">
        <v>500</v>
      </c>
      <c r="D736">
        <v>500</v>
      </c>
      <c r="E736">
        <v>10000</v>
      </c>
      <c r="F736">
        <v>107</v>
      </c>
      <c r="G736">
        <v>107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50</v>
      </c>
      <c r="Q736">
        <v>30</v>
      </c>
      <c r="R736">
        <v>80</v>
      </c>
      <c r="S736">
        <v>0</v>
      </c>
      <c r="T736">
        <v>20</v>
      </c>
      <c r="U736">
        <v>9</v>
      </c>
      <c r="V736">
        <v>8</v>
      </c>
      <c r="W736">
        <v>0</v>
      </c>
      <c r="X736">
        <v>0</v>
      </c>
    </row>
    <row r="737" spans="1:24" x14ac:dyDescent="0.2">
      <c r="A737">
        <v>7000500</v>
      </c>
      <c r="B737" t="s">
        <v>736</v>
      </c>
      <c r="C737">
        <v>400</v>
      </c>
      <c r="D737">
        <v>400</v>
      </c>
      <c r="E737">
        <v>10000</v>
      </c>
      <c r="F737">
        <v>107</v>
      </c>
      <c r="G737">
        <v>107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50</v>
      </c>
      <c r="Q737">
        <v>30</v>
      </c>
      <c r="R737">
        <v>80</v>
      </c>
      <c r="S737">
        <v>0</v>
      </c>
      <c r="T737">
        <v>20</v>
      </c>
      <c r="U737">
        <v>9</v>
      </c>
      <c r="V737">
        <v>8</v>
      </c>
      <c r="W737">
        <v>0</v>
      </c>
      <c r="X737">
        <v>0</v>
      </c>
    </row>
    <row r="738" spans="1:24" x14ac:dyDescent="0.2">
      <c r="A738">
        <v>7000600</v>
      </c>
      <c r="B738" t="s">
        <v>737</v>
      </c>
      <c r="C738">
        <v>600</v>
      </c>
      <c r="D738">
        <v>600</v>
      </c>
      <c r="E738">
        <v>10000</v>
      </c>
      <c r="F738">
        <v>112</v>
      </c>
      <c r="G738">
        <v>0</v>
      </c>
      <c r="H738">
        <v>112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50</v>
      </c>
      <c r="Q738">
        <v>30</v>
      </c>
      <c r="R738">
        <v>0</v>
      </c>
      <c r="S738">
        <v>0</v>
      </c>
      <c r="T738">
        <v>20</v>
      </c>
      <c r="U738">
        <v>9</v>
      </c>
      <c r="V738">
        <v>8</v>
      </c>
      <c r="W738">
        <v>0</v>
      </c>
      <c r="X738">
        <v>0</v>
      </c>
    </row>
    <row r="739" spans="1:24" x14ac:dyDescent="0.2">
      <c r="A739">
        <v>7000700</v>
      </c>
      <c r="B739" t="s">
        <v>738</v>
      </c>
      <c r="C739">
        <v>700</v>
      </c>
      <c r="D739">
        <v>700</v>
      </c>
      <c r="E739">
        <v>10000</v>
      </c>
      <c r="F739">
        <v>107</v>
      </c>
      <c r="G739">
        <v>0</v>
      </c>
      <c r="H739">
        <v>107</v>
      </c>
      <c r="I739">
        <v>0</v>
      </c>
      <c r="J739">
        <v>0</v>
      </c>
      <c r="K739">
        <v>0</v>
      </c>
      <c r="L739">
        <v>0</v>
      </c>
      <c r="M739">
        <v>4</v>
      </c>
      <c r="N739">
        <v>0</v>
      </c>
      <c r="O739">
        <v>0</v>
      </c>
      <c r="P739">
        <v>50</v>
      </c>
      <c r="Q739">
        <v>30</v>
      </c>
      <c r="R739">
        <v>80</v>
      </c>
      <c r="S739">
        <v>80</v>
      </c>
      <c r="T739">
        <v>20</v>
      </c>
      <c r="U739">
        <v>9</v>
      </c>
      <c r="V739">
        <v>8</v>
      </c>
      <c r="W739">
        <v>0</v>
      </c>
      <c r="X739">
        <v>0</v>
      </c>
    </row>
    <row r="740" spans="1:24" x14ac:dyDescent="0.2">
      <c r="A740">
        <v>7000800</v>
      </c>
      <c r="B740" t="s">
        <v>739</v>
      </c>
      <c r="C740">
        <v>800</v>
      </c>
      <c r="D740">
        <v>800</v>
      </c>
      <c r="E740">
        <v>10000</v>
      </c>
      <c r="F740">
        <v>107</v>
      </c>
      <c r="G740">
        <v>0</v>
      </c>
      <c r="H740">
        <v>0</v>
      </c>
      <c r="I740">
        <v>107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50</v>
      </c>
      <c r="Q740">
        <v>30</v>
      </c>
      <c r="R740">
        <v>0</v>
      </c>
      <c r="S740">
        <v>80</v>
      </c>
      <c r="T740">
        <v>20</v>
      </c>
      <c r="U740">
        <v>9</v>
      </c>
      <c r="V740">
        <v>8</v>
      </c>
      <c r="W740">
        <v>0</v>
      </c>
      <c r="X740">
        <v>0</v>
      </c>
    </row>
    <row r="741" spans="1:24" x14ac:dyDescent="0.2">
      <c r="A741">
        <v>7000900</v>
      </c>
      <c r="B741" t="s">
        <v>740</v>
      </c>
      <c r="C741">
        <v>900</v>
      </c>
      <c r="D741">
        <v>900</v>
      </c>
      <c r="E741">
        <v>10000</v>
      </c>
      <c r="F741">
        <v>112</v>
      </c>
      <c r="G741">
        <v>0</v>
      </c>
      <c r="H741">
        <v>0</v>
      </c>
      <c r="I741">
        <v>0</v>
      </c>
      <c r="J741">
        <v>112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50</v>
      </c>
      <c r="Q741">
        <v>30</v>
      </c>
      <c r="R741">
        <v>0</v>
      </c>
      <c r="S741">
        <v>0</v>
      </c>
      <c r="T741">
        <v>20</v>
      </c>
      <c r="U741">
        <v>9</v>
      </c>
      <c r="V741">
        <v>8</v>
      </c>
      <c r="W741">
        <v>0</v>
      </c>
      <c r="X741">
        <v>0</v>
      </c>
    </row>
    <row r="742" spans="1:24" x14ac:dyDescent="0.2">
      <c r="A742">
        <v>7001000</v>
      </c>
      <c r="B742" t="s">
        <v>741</v>
      </c>
      <c r="C742">
        <v>1000</v>
      </c>
      <c r="D742">
        <v>1000</v>
      </c>
      <c r="E742">
        <v>10000</v>
      </c>
      <c r="F742">
        <v>107</v>
      </c>
      <c r="G742">
        <v>0</v>
      </c>
      <c r="H742">
        <v>0</v>
      </c>
      <c r="I742">
        <v>0</v>
      </c>
      <c r="J742">
        <v>107</v>
      </c>
      <c r="K742">
        <v>0</v>
      </c>
      <c r="L742">
        <v>0</v>
      </c>
      <c r="M742">
        <v>0</v>
      </c>
      <c r="N742">
        <v>0</v>
      </c>
      <c r="O742">
        <v>4</v>
      </c>
      <c r="P742">
        <v>50</v>
      </c>
      <c r="Q742">
        <v>30</v>
      </c>
      <c r="R742">
        <v>80</v>
      </c>
      <c r="S742">
        <v>80</v>
      </c>
      <c r="T742">
        <v>20</v>
      </c>
      <c r="U742">
        <v>9</v>
      </c>
      <c r="V742">
        <v>8</v>
      </c>
      <c r="W742">
        <v>0</v>
      </c>
      <c r="X742">
        <v>0</v>
      </c>
    </row>
    <row r="743" spans="1:24" x14ac:dyDescent="0.2">
      <c r="A743">
        <v>7001100</v>
      </c>
      <c r="B743" t="s">
        <v>742</v>
      </c>
      <c r="C743">
        <v>1100</v>
      </c>
      <c r="D743">
        <v>1100</v>
      </c>
      <c r="E743">
        <v>10000</v>
      </c>
      <c r="F743">
        <v>110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50</v>
      </c>
      <c r="Q743">
        <v>30</v>
      </c>
      <c r="R743">
        <v>0</v>
      </c>
      <c r="S743">
        <v>0</v>
      </c>
      <c r="T743">
        <v>20</v>
      </c>
      <c r="U743">
        <v>9</v>
      </c>
      <c r="V743">
        <v>8</v>
      </c>
      <c r="W743">
        <v>0</v>
      </c>
      <c r="X743">
        <v>0</v>
      </c>
    </row>
    <row r="744" spans="1:24" x14ac:dyDescent="0.2">
      <c r="A744">
        <v>7001200</v>
      </c>
      <c r="B744" t="s">
        <v>743</v>
      </c>
      <c r="C744">
        <v>1200</v>
      </c>
      <c r="D744">
        <v>1200</v>
      </c>
      <c r="E744">
        <v>10000</v>
      </c>
      <c r="F744">
        <v>110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50</v>
      </c>
      <c r="Q744">
        <v>30</v>
      </c>
      <c r="R744">
        <v>0</v>
      </c>
      <c r="S744">
        <v>0</v>
      </c>
      <c r="T744">
        <v>20</v>
      </c>
      <c r="U744">
        <v>9</v>
      </c>
      <c r="V744">
        <v>8</v>
      </c>
      <c r="W744">
        <v>0</v>
      </c>
      <c r="X744">
        <v>0</v>
      </c>
    </row>
    <row r="745" spans="1:24" x14ac:dyDescent="0.2">
      <c r="A745">
        <v>7001300</v>
      </c>
      <c r="B745" t="s">
        <v>744</v>
      </c>
      <c r="C745">
        <v>1300</v>
      </c>
      <c r="D745">
        <v>1300</v>
      </c>
      <c r="E745">
        <v>10000</v>
      </c>
      <c r="F745">
        <v>117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50</v>
      </c>
      <c r="Q745">
        <v>30</v>
      </c>
      <c r="R745">
        <v>0</v>
      </c>
      <c r="S745">
        <v>0</v>
      </c>
      <c r="T745">
        <v>20</v>
      </c>
      <c r="U745">
        <v>9</v>
      </c>
      <c r="V745">
        <v>8</v>
      </c>
      <c r="W745">
        <v>0</v>
      </c>
      <c r="X745">
        <v>0</v>
      </c>
    </row>
    <row r="746" spans="1:24" x14ac:dyDescent="0.2">
      <c r="A746">
        <v>7001400</v>
      </c>
      <c r="B746" t="s">
        <v>745</v>
      </c>
      <c r="C746">
        <v>1400</v>
      </c>
      <c r="D746">
        <v>1400</v>
      </c>
      <c r="E746">
        <v>10014</v>
      </c>
      <c r="F746">
        <v>107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50</v>
      </c>
      <c r="Q746">
        <v>30</v>
      </c>
      <c r="R746">
        <v>0</v>
      </c>
      <c r="S746">
        <v>80</v>
      </c>
      <c r="T746">
        <v>20</v>
      </c>
      <c r="U746">
        <v>9</v>
      </c>
      <c r="V746">
        <v>8</v>
      </c>
      <c r="W746">
        <v>0</v>
      </c>
      <c r="X746">
        <v>0</v>
      </c>
    </row>
    <row r="747" spans="1:24" x14ac:dyDescent="0.2">
      <c r="A747">
        <v>7001500</v>
      </c>
      <c r="B747" t="s">
        <v>746</v>
      </c>
      <c r="C747">
        <v>1500</v>
      </c>
      <c r="D747">
        <v>1500</v>
      </c>
      <c r="E747">
        <v>10015</v>
      </c>
      <c r="F747">
        <v>110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50</v>
      </c>
      <c r="Q747">
        <v>30</v>
      </c>
      <c r="R747">
        <v>0</v>
      </c>
      <c r="S747">
        <v>0</v>
      </c>
      <c r="T747">
        <v>20</v>
      </c>
      <c r="U747">
        <v>9</v>
      </c>
      <c r="V747">
        <v>8</v>
      </c>
      <c r="W747">
        <v>0</v>
      </c>
      <c r="X747">
        <v>0</v>
      </c>
    </row>
    <row r="748" spans="1:24" x14ac:dyDescent="0.2">
      <c r="A748">
        <v>7010000</v>
      </c>
      <c r="B748" t="s">
        <v>747</v>
      </c>
      <c r="C748">
        <v>0</v>
      </c>
      <c r="D748">
        <v>0</v>
      </c>
      <c r="E748">
        <v>10000</v>
      </c>
      <c r="F748">
        <v>125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45</v>
      </c>
      <c r="Q748">
        <v>25</v>
      </c>
      <c r="R748">
        <v>0</v>
      </c>
      <c r="S748">
        <v>0</v>
      </c>
      <c r="T748">
        <v>17</v>
      </c>
      <c r="U748">
        <v>12</v>
      </c>
      <c r="V748">
        <v>8</v>
      </c>
      <c r="W748">
        <v>0</v>
      </c>
      <c r="X748">
        <v>0</v>
      </c>
    </row>
    <row r="749" spans="1:24" x14ac:dyDescent="0.2">
      <c r="A749">
        <v>7010100</v>
      </c>
      <c r="B749" t="s">
        <v>748</v>
      </c>
      <c r="C749">
        <v>200</v>
      </c>
      <c r="D749">
        <v>6200</v>
      </c>
      <c r="E749">
        <v>10000</v>
      </c>
      <c r="F749">
        <v>125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0</v>
      </c>
      <c r="M749">
        <v>0</v>
      </c>
      <c r="N749">
        <v>0</v>
      </c>
      <c r="O749">
        <v>0</v>
      </c>
      <c r="P749">
        <v>43</v>
      </c>
      <c r="Q749">
        <v>0</v>
      </c>
      <c r="R749">
        <v>0</v>
      </c>
      <c r="S749">
        <v>0</v>
      </c>
      <c r="T749">
        <v>17</v>
      </c>
      <c r="U749">
        <v>12</v>
      </c>
      <c r="V749">
        <v>8</v>
      </c>
      <c r="W749">
        <v>0</v>
      </c>
      <c r="X749">
        <v>0</v>
      </c>
    </row>
    <row r="750" spans="1:24" x14ac:dyDescent="0.2">
      <c r="A750">
        <v>7010200</v>
      </c>
      <c r="B750" t="s">
        <v>749</v>
      </c>
      <c r="C750">
        <v>100</v>
      </c>
      <c r="D750">
        <v>6300</v>
      </c>
      <c r="E750">
        <v>10000</v>
      </c>
      <c r="F750">
        <v>125</v>
      </c>
      <c r="G750">
        <v>0</v>
      </c>
      <c r="H750">
        <v>0</v>
      </c>
      <c r="I750">
        <v>0</v>
      </c>
      <c r="J750">
        <v>0</v>
      </c>
      <c r="K750">
        <v>2</v>
      </c>
      <c r="L750">
        <v>0</v>
      </c>
      <c r="M750">
        <v>0</v>
      </c>
      <c r="N750">
        <v>0</v>
      </c>
      <c r="O750">
        <v>0</v>
      </c>
      <c r="P750">
        <v>17</v>
      </c>
      <c r="Q750">
        <v>46</v>
      </c>
      <c r="R750">
        <v>0</v>
      </c>
      <c r="S750">
        <v>0</v>
      </c>
      <c r="T750">
        <v>17</v>
      </c>
      <c r="U750">
        <v>12</v>
      </c>
      <c r="V750">
        <v>8</v>
      </c>
      <c r="W750">
        <v>0</v>
      </c>
      <c r="X750">
        <v>0</v>
      </c>
    </row>
    <row r="751" spans="1:24" x14ac:dyDescent="0.2">
      <c r="A751">
        <v>7010300</v>
      </c>
      <c r="B751" t="s">
        <v>750</v>
      </c>
      <c r="C751">
        <v>300</v>
      </c>
      <c r="D751">
        <v>6100</v>
      </c>
      <c r="E751">
        <v>10000</v>
      </c>
      <c r="F751">
        <v>125</v>
      </c>
      <c r="G751">
        <v>0</v>
      </c>
      <c r="H751">
        <v>0</v>
      </c>
      <c r="I751">
        <v>0</v>
      </c>
      <c r="J751">
        <v>0</v>
      </c>
      <c r="K751">
        <v>8</v>
      </c>
      <c r="L751">
        <v>0</v>
      </c>
      <c r="M751">
        <v>0</v>
      </c>
      <c r="N751">
        <v>0</v>
      </c>
      <c r="O751">
        <v>0</v>
      </c>
      <c r="P751">
        <v>40</v>
      </c>
      <c r="Q751">
        <v>40</v>
      </c>
      <c r="R751">
        <v>0</v>
      </c>
      <c r="S751">
        <v>0</v>
      </c>
      <c r="T751">
        <v>17</v>
      </c>
      <c r="U751">
        <v>12</v>
      </c>
      <c r="V751">
        <v>8</v>
      </c>
      <c r="W751">
        <v>0</v>
      </c>
      <c r="X751">
        <v>0</v>
      </c>
    </row>
    <row r="752" spans="1:24" x14ac:dyDescent="0.2">
      <c r="A752">
        <v>7010400</v>
      </c>
      <c r="B752" t="s">
        <v>751</v>
      </c>
      <c r="C752">
        <v>500</v>
      </c>
      <c r="D752">
        <v>500</v>
      </c>
      <c r="E752">
        <v>10000</v>
      </c>
      <c r="F752">
        <v>120</v>
      </c>
      <c r="G752">
        <v>120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45</v>
      </c>
      <c r="Q752">
        <v>25</v>
      </c>
      <c r="R752">
        <v>70</v>
      </c>
      <c r="S752">
        <v>0</v>
      </c>
      <c r="T752">
        <v>17</v>
      </c>
      <c r="U752">
        <v>12</v>
      </c>
      <c r="V752">
        <v>8</v>
      </c>
      <c r="W752">
        <v>0</v>
      </c>
      <c r="X752">
        <v>0</v>
      </c>
    </row>
    <row r="753" spans="1:24" x14ac:dyDescent="0.2">
      <c r="A753">
        <v>7010500</v>
      </c>
      <c r="B753" t="s">
        <v>752</v>
      </c>
      <c r="C753">
        <v>400</v>
      </c>
      <c r="D753">
        <v>400</v>
      </c>
      <c r="E753">
        <v>10000</v>
      </c>
      <c r="F753">
        <v>120</v>
      </c>
      <c r="G753">
        <v>120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45</v>
      </c>
      <c r="Q753">
        <v>25</v>
      </c>
      <c r="R753">
        <v>70</v>
      </c>
      <c r="S753">
        <v>0</v>
      </c>
      <c r="T753">
        <v>17</v>
      </c>
      <c r="U753">
        <v>12</v>
      </c>
      <c r="V753">
        <v>8</v>
      </c>
      <c r="W753">
        <v>0</v>
      </c>
      <c r="X753">
        <v>0</v>
      </c>
    </row>
    <row r="754" spans="1:24" x14ac:dyDescent="0.2">
      <c r="A754">
        <v>7010600</v>
      </c>
      <c r="B754" t="s">
        <v>753</v>
      </c>
      <c r="C754">
        <v>600</v>
      </c>
      <c r="D754">
        <v>600</v>
      </c>
      <c r="E754">
        <v>10000</v>
      </c>
      <c r="F754">
        <v>110</v>
      </c>
      <c r="G754">
        <v>0</v>
      </c>
      <c r="H754">
        <v>110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45</v>
      </c>
      <c r="Q754">
        <v>25</v>
      </c>
      <c r="R754">
        <v>0</v>
      </c>
      <c r="S754">
        <v>0</v>
      </c>
      <c r="T754">
        <v>17</v>
      </c>
      <c r="U754">
        <v>12</v>
      </c>
      <c r="V754">
        <v>8</v>
      </c>
      <c r="W754">
        <v>0</v>
      </c>
      <c r="X754">
        <v>0</v>
      </c>
    </row>
    <row r="755" spans="1:24" x14ac:dyDescent="0.2">
      <c r="A755">
        <v>7010700</v>
      </c>
      <c r="B755" t="s">
        <v>754</v>
      </c>
      <c r="C755">
        <v>700</v>
      </c>
      <c r="D755">
        <v>700</v>
      </c>
      <c r="E755">
        <v>10000</v>
      </c>
      <c r="F755">
        <v>120</v>
      </c>
      <c r="G755">
        <v>0</v>
      </c>
      <c r="H755">
        <v>120</v>
      </c>
      <c r="I755">
        <v>0</v>
      </c>
      <c r="J755">
        <v>0</v>
      </c>
      <c r="K755">
        <v>0</v>
      </c>
      <c r="L755">
        <v>0</v>
      </c>
      <c r="M755">
        <v>4</v>
      </c>
      <c r="N755">
        <v>0</v>
      </c>
      <c r="O755">
        <v>0</v>
      </c>
      <c r="P755">
        <v>45</v>
      </c>
      <c r="Q755">
        <v>25</v>
      </c>
      <c r="R755">
        <v>70</v>
      </c>
      <c r="S755">
        <v>70</v>
      </c>
      <c r="T755">
        <v>17</v>
      </c>
      <c r="U755">
        <v>12</v>
      </c>
      <c r="V755">
        <v>8</v>
      </c>
      <c r="W755">
        <v>0</v>
      </c>
      <c r="X755">
        <v>0</v>
      </c>
    </row>
    <row r="756" spans="1:24" x14ac:dyDescent="0.2">
      <c r="A756">
        <v>7010800</v>
      </c>
      <c r="B756" t="s">
        <v>755</v>
      </c>
      <c r="C756">
        <v>800</v>
      </c>
      <c r="D756">
        <v>800</v>
      </c>
      <c r="E756">
        <v>10000</v>
      </c>
      <c r="F756">
        <v>123</v>
      </c>
      <c r="G756">
        <v>0</v>
      </c>
      <c r="H756">
        <v>0</v>
      </c>
      <c r="I756">
        <v>123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45</v>
      </c>
      <c r="Q756">
        <v>25</v>
      </c>
      <c r="R756">
        <v>0</v>
      </c>
      <c r="S756">
        <v>70</v>
      </c>
      <c r="T756">
        <v>17</v>
      </c>
      <c r="U756">
        <v>12</v>
      </c>
      <c r="V756">
        <v>8</v>
      </c>
      <c r="W756">
        <v>0</v>
      </c>
      <c r="X756">
        <v>0</v>
      </c>
    </row>
    <row r="757" spans="1:24" x14ac:dyDescent="0.2">
      <c r="A757">
        <v>7010900</v>
      </c>
      <c r="B757" t="s">
        <v>756</v>
      </c>
      <c r="C757">
        <v>900</v>
      </c>
      <c r="D757">
        <v>900</v>
      </c>
      <c r="E757">
        <v>10000</v>
      </c>
      <c r="F757">
        <v>113</v>
      </c>
      <c r="G757">
        <v>0</v>
      </c>
      <c r="H757">
        <v>0</v>
      </c>
      <c r="I757">
        <v>0</v>
      </c>
      <c r="J757">
        <v>113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45</v>
      </c>
      <c r="Q757">
        <v>25</v>
      </c>
      <c r="R757">
        <v>0</v>
      </c>
      <c r="S757">
        <v>0</v>
      </c>
      <c r="T757">
        <v>17</v>
      </c>
      <c r="U757">
        <v>12</v>
      </c>
      <c r="V757">
        <v>8</v>
      </c>
      <c r="W757">
        <v>0</v>
      </c>
      <c r="X757">
        <v>0</v>
      </c>
    </row>
    <row r="758" spans="1:24" x14ac:dyDescent="0.2">
      <c r="A758">
        <v>7011000</v>
      </c>
      <c r="B758" t="s">
        <v>757</v>
      </c>
      <c r="C758">
        <v>1000</v>
      </c>
      <c r="D758">
        <v>1000</v>
      </c>
      <c r="E758">
        <v>10000</v>
      </c>
      <c r="F758">
        <v>123</v>
      </c>
      <c r="G758">
        <v>0</v>
      </c>
      <c r="H758">
        <v>0</v>
      </c>
      <c r="I758">
        <v>0</v>
      </c>
      <c r="J758">
        <v>123</v>
      </c>
      <c r="K758">
        <v>0</v>
      </c>
      <c r="L758">
        <v>0</v>
      </c>
      <c r="M758">
        <v>0</v>
      </c>
      <c r="N758">
        <v>0</v>
      </c>
      <c r="O758">
        <v>4</v>
      </c>
      <c r="P758">
        <v>45</v>
      </c>
      <c r="Q758">
        <v>25</v>
      </c>
      <c r="R758">
        <v>70</v>
      </c>
      <c r="S758">
        <v>70</v>
      </c>
      <c r="T758">
        <v>17</v>
      </c>
      <c r="U758">
        <v>12</v>
      </c>
      <c r="V758">
        <v>8</v>
      </c>
      <c r="W758">
        <v>0</v>
      </c>
      <c r="X758">
        <v>0</v>
      </c>
    </row>
    <row r="759" spans="1:24" x14ac:dyDescent="0.2">
      <c r="A759">
        <v>7011100</v>
      </c>
      <c r="B759" t="s">
        <v>758</v>
      </c>
      <c r="C759">
        <v>1100</v>
      </c>
      <c r="D759">
        <v>1100</v>
      </c>
      <c r="E759">
        <v>10000</v>
      </c>
      <c r="F759">
        <v>125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45</v>
      </c>
      <c r="Q759">
        <v>25</v>
      </c>
      <c r="R759">
        <v>0</v>
      </c>
      <c r="S759">
        <v>0</v>
      </c>
      <c r="T759">
        <v>17</v>
      </c>
      <c r="U759">
        <v>12</v>
      </c>
      <c r="V759">
        <v>8</v>
      </c>
      <c r="W759">
        <v>0</v>
      </c>
      <c r="X759">
        <v>0</v>
      </c>
    </row>
    <row r="760" spans="1:24" x14ac:dyDescent="0.2">
      <c r="A760">
        <v>7011200</v>
      </c>
      <c r="B760" t="s">
        <v>759</v>
      </c>
      <c r="C760">
        <v>1200</v>
      </c>
      <c r="D760">
        <v>1200</v>
      </c>
      <c r="E760">
        <v>10000</v>
      </c>
      <c r="F760">
        <v>125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45</v>
      </c>
      <c r="Q760">
        <v>25</v>
      </c>
      <c r="R760">
        <v>0</v>
      </c>
      <c r="S760">
        <v>0</v>
      </c>
      <c r="T760">
        <v>17</v>
      </c>
      <c r="U760">
        <v>12</v>
      </c>
      <c r="V760">
        <v>8</v>
      </c>
      <c r="W760">
        <v>0</v>
      </c>
      <c r="X760">
        <v>0</v>
      </c>
    </row>
    <row r="761" spans="1:24" x14ac:dyDescent="0.2">
      <c r="A761">
        <v>7011300</v>
      </c>
      <c r="B761" t="s">
        <v>760</v>
      </c>
      <c r="C761">
        <v>1300</v>
      </c>
      <c r="D761">
        <v>1300</v>
      </c>
      <c r="E761">
        <v>10000</v>
      </c>
      <c r="F761">
        <v>127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45</v>
      </c>
      <c r="Q761">
        <v>25</v>
      </c>
      <c r="R761">
        <v>0</v>
      </c>
      <c r="S761">
        <v>0</v>
      </c>
      <c r="T761">
        <v>17</v>
      </c>
      <c r="U761">
        <v>12</v>
      </c>
      <c r="V761">
        <v>8</v>
      </c>
      <c r="W761">
        <v>0</v>
      </c>
      <c r="X761">
        <v>0</v>
      </c>
    </row>
    <row r="762" spans="1:24" x14ac:dyDescent="0.2">
      <c r="A762">
        <v>7011400</v>
      </c>
      <c r="B762" t="s">
        <v>761</v>
      </c>
      <c r="C762">
        <v>1400</v>
      </c>
      <c r="D762">
        <v>1400</v>
      </c>
      <c r="E762">
        <v>10014</v>
      </c>
      <c r="F762">
        <v>120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45</v>
      </c>
      <c r="Q762">
        <v>25</v>
      </c>
      <c r="R762">
        <v>0</v>
      </c>
      <c r="S762">
        <v>70</v>
      </c>
      <c r="T762">
        <v>17</v>
      </c>
      <c r="U762">
        <v>12</v>
      </c>
      <c r="V762">
        <v>8</v>
      </c>
      <c r="W762">
        <v>0</v>
      </c>
      <c r="X762">
        <v>0</v>
      </c>
    </row>
    <row r="763" spans="1:24" x14ac:dyDescent="0.2">
      <c r="A763">
        <v>7011500</v>
      </c>
      <c r="B763" t="s">
        <v>762</v>
      </c>
      <c r="C763">
        <v>1500</v>
      </c>
      <c r="D763">
        <v>1500</v>
      </c>
      <c r="E763">
        <v>10015</v>
      </c>
      <c r="F763">
        <v>125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45</v>
      </c>
      <c r="Q763">
        <v>25</v>
      </c>
      <c r="R763">
        <v>0</v>
      </c>
      <c r="S763">
        <v>0</v>
      </c>
      <c r="T763">
        <v>17</v>
      </c>
      <c r="U763">
        <v>12</v>
      </c>
      <c r="V763">
        <v>8</v>
      </c>
      <c r="W763">
        <v>0</v>
      </c>
      <c r="X763">
        <v>0</v>
      </c>
    </row>
    <row r="764" spans="1:24" x14ac:dyDescent="0.2">
      <c r="A764">
        <v>7020000</v>
      </c>
      <c r="B764" t="s">
        <v>763</v>
      </c>
      <c r="C764">
        <v>0</v>
      </c>
      <c r="D764">
        <v>0</v>
      </c>
      <c r="E764">
        <v>10000</v>
      </c>
      <c r="F764">
        <v>124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45</v>
      </c>
      <c r="Q764">
        <v>26</v>
      </c>
      <c r="R764">
        <v>0</v>
      </c>
      <c r="S764">
        <v>0</v>
      </c>
      <c r="T764">
        <v>17</v>
      </c>
      <c r="U764">
        <v>14</v>
      </c>
      <c r="V764">
        <v>8</v>
      </c>
      <c r="W764">
        <v>0</v>
      </c>
      <c r="X764">
        <v>0</v>
      </c>
    </row>
    <row r="765" spans="1:24" x14ac:dyDescent="0.2">
      <c r="A765">
        <v>7020100</v>
      </c>
      <c r="B765" t="s">
        <v>764</v>
      </c>
      <c r="C765">
        <v>200</v>
      </c>
      <c r="D765">
        <v>6200</v>
      </c>
      <c r="E765">
        <v>10000</v>
      </c>
      <c r="F765">
        <v>124</v>
      </c>
      <c r="G765">
        <v>0</v>
      </c>
      <c r="H765">
        <v>0</v>
      </c>
      <c r="I765">
        <v>0</v>
      </c>
      <c r="J765">
        <v>0</v>
      </c>
      <c r="K765">
        <v>1</v>
      </c>
      <c r="L765">
        <v>0</v>
      </c>
      <c r="M765">
        <v>0</v>
      </c>
      <c r="N765">
        <v>0</v>
      </c>
      <c r="O765">
        <v>0</v>
      </c>
      <c r="P765">
        <v>43</v>
      </c>
      <c r="Q765">
        <v>0</v>
      </c>
      <c r="R765">
        <v>0</v>
      </c>
      <c r="S765">
        <v>0</v>
      </c>
      <c r="T765">
        <v>17</v>
      </c>
      <c r="U765">
        <v>14</v>
      </c>
      <c r="V765">
        <v>8</v>
      </c>
      <c r="W765">
        <v>0</v>
      </c>
      <c r="X765">
        <v>0</v>
      </c>
    </row>
    <row r="766" spans="1:24" x14ac:dyDescent="0.2">
      <c r="A766">
        <v>7020200</v>
      </c>
      <c r="B766" t="s">
        <v>765</v>
      </c>
      <c r="C766">
        <v>100</v>
      </c>
      <c r="D766">
        <v>6300</v>
      </c>
      <c r="E766">
        <v>10000</v>
      </c>
      <c r="F766">
        <v>124</v>
      </c>
      <c r="G766">
        <v>0</v>
      </c>
      <c r="H766">
        <v>0</v>
      </c>
      <c r="I766">
        <v>0</v>
      </c>
      <c r="J766">
        <v>0</v>
      </c>
      <c r="K766">
        <v>2</v>
      </c>
      <c r="L766">
        <v>0</v>
      </c>
      <c r="M766">
        <v>0</v>
      </c>
      <c r="N766">
        <v>0</v>
      </c>
      <c r="O766">
        <v>0</v>
      </c>
      <c r="P766">
        <v>17</v>
      </c>
      <c r="Q766">
        <v>47</v>
      </c>
      <c r="R766">
        <v>0</v>
      </c>
      <c r="S766">
        <v>0</v>
      </c>
      <c r="T766">
        <v>17</v>
      </c>
      <c r="U766">
        <v>14</v>
      </c>
      <c r="V766">
        <v>8</v>
      </c>
      <c r="W766">
        <v>0</v>
      </c>
      <c r="X766">
        <v>0</v>
      </c>
    </row>
    <row r="767" spans="1:24" x14ac:dyDescent="0.2">
      <c r="A767">
        <v>7020300</v>
      </c>
      <c r="B767" t="s">
        <v>766</v>
      </c>
      <c r="C767">
        <v>300</v>
      </c>
      <c r="D767">
        <v>6100</v>
      </c>
      <c r="E767">
        <v>10000</v>
      </c>
      <c r="F767">
        <v>124</v>
      </c>
      <c r="G767">
        <v>0</v>
      </c>
      <c r="H767">
        <v>0</v>
      </c>
      <c r="I767">
        <v>0</v>
      </c>
      <c r="J767">
        <v>0</v>
      </c>
      <c r="K767">
        <v>8</v>
      </c>
      <c r="L767">
        <v>0</v>
      </c>
      <c r="M767">
        <v>0</v>
      </c>
      <c r="N767">
        <v>0</v>
      </c>
      <c r="O767">
        <v>0</v>
      </c>
      <c r="P767">
        <v>40</v>
      </c>
      <c r="Q767">
        <v>40</v>
      </c>
      <c r="R767">
        <v>0</v>
      </c>
      <c r="S767">
        <v>0</v>
      </c>
      <c r="T767">
        <v>17</v>
      </c>
      <c r="U767">
        <v>14</v>
      </c>
      <c r="V767">
        <v>8</v>
      </c>
      <c r="W767">
        <v>0</v>
      </c>
      <c r="X767">
        <v>0</v>
      </c>
    </row>
    <row r="768" spans="1:24" x14ac:dyDescent="0.2">
      <c r="A768">
        <v>7020400</v>
      </c>
      <c r="B768" t="s">
        <v>767</v>
      </c>
      <c r="C768">
        <v>500</v>
      </c>
      <c r="D768">
        <v>500</v>
      </c>
      <c r="E768">
        <v>10000</v>
      </c>
      <c r="F768">
        <v>122</v>
      </c>
      <c r="G768">
        <v>122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45</v>
      </c>
      <c r="Q768">
        <v>26</v>
      </c>
      <c r="R768">
        <v>71</v>
      </c>
      <c r="S768">
        <v>0</v>
      </c>
      <c r="T768">
        <v>17</v>
      </c>
      <c r="U768">
        <v>14</v>
      </c>
      <c r="V768">
        <v>8</v>
      </c>
      <c r="W768">
        <v>0</v>
      </c>
      <c r="X768">
        <v>0</v>
      </c>
    </row>
    <row r="769" spans="1:24" x14ac:dyDescent="0.2">
      <c r="A769">
        <v>7020500</v>
      </c>
      <c r="B769" t="s">
        <v>768</v>
      </c>
      <c r="C769">
        <v>400</v>
      </c>
      <c r="D769">
        <v>400</v>
      </c>
      <c r="E769">
        <v>10000</v>
      </c>
      <c r="F769">
        <v>122</v>
      </c>
      <c r="G769">
        <v>122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45</v>
      </c>
      <c r="Q769">
        <v>26</v>
      </c>
      <c r="R769">
        <v>71</v>
      </c>
      <c r="S769">
        <v>0</v>
      </c>
      <c r="T769">
        <v>17</v>
      </c>
      <c r="U769">
        <v>14</v>
      </c>
      <c r="V769">
        <v>8</v>
      </c>
      <c r="W769">
        <v>0</v>
      </c>
      <c r="X769">
        <v>0</v>
      </c>
    </row>
    <row r="770" spans="1:24" x14ac:dyDescent="0.2">
      <c r="A770">
        <v>7020600</v>
      </c>
      <c r="B770" t="s">
        <v>769</v>
      </c>
      <c r="C770">
        <v>600</v>
      </c>
      <c r="D770">
        <v>600</v>
      </c>
      <c r="E770">
        <v>10000</v>
      </c>
      <c r="F770">
        <v>114</v>
      </c>
      <c r="G770">
        <v>0</v>
      </c>
      <c r="H770">
        <v>114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45</v>
      </c>
      <c r="Q770">
        <v>26</v>
      </c>
      <c r="R770">
        <v>0</v>
      </c>
      <c r="S770">
        <v>0</v>
      </c>
      <c r="T770">
        <v>17</v>
      </c>
      <c r="U770">
        <v>14</v>
      </c>
      <c r="V770">
        <v>8</v>
      </c>
      <c r="W770">
        <v>0</v>
      </c>
      <c r="X770">
        <v>0</v>
      </c>
    </row>
    <row r="771" spans="1:24" x14ac:dyDescent="0.2">
      <c r="A771">
        <v>7020700</v>
      </c>
      <c r="B771" t="s">
        <v>770</v>
      </c>
      <c r="C771">
        <v>700</v>
      </c>
      <c r="D771">
        <v>700</v>
      </c>
      <c r="E771">
        <v>10000</v>
      </c>
      <c r="F771">
        <v>122</v>
      </c>
      <c r="G771">
        <v>0</v>
      </c>
      <c r="H771">
        <v>122</v>
      </c>
      <c r="I771">
        <v>0</v>
      </c>
      <c r="J771">
        <v>0</v>
      </c>
      <c r="K771">
        <v>0</v>
      </c>
      <c r="L771">
        <v>0</v>
      </c>
      <c r="M771">
        <v>4</v>
      </c>
      <c r="N771">
        <v>0</v>
      </c>
      <c r="O771">
        <v>0</v>
      </c>
      <c r="P771">
        <v>45</v>
      </c>
      <c r="Q771">
        <v>26</v>
      </c>
      <c r="R771">
        <v>71</v>
      </c>
      <c r="S771">
        <v>71</v>
      </c>
      <c r="T771">
        <v>17</v>
      </c>
      <c r="U771">
        <v>14</v>
      </c>
      <c r="V771">
        <v>8</v>
      </c>
      <c r="W771">
        <v>0</v>
      </c>
      <c r="X771">
        <v>0</v>
      </c>
    </row>
    <row r="772" spans="1:24" x14ac:dyDescent="0.2">
      <c r="A772">
        <v>7020800</v>
      </c>
      <c r="B772" t="s">
        <v>771</v>
      </c>
      <c r="C772">
        <v>800</v>
      </c>
      <c r="D772">
        <v>800</v>
      </c>
      <c r="E772">
        <v>10000</v>
      </c>
      <c r="F772">
        <v>119</v>
      </c>
      <c r="G772">
        <v>0</v>
      </c>
      <c r="H772">
        <v>0</v>
      </c>
      <c r="I772">
        <v>119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45</v>
      </c>
      <c r="Q772">
        <v>26</v>
      </c>
      <c r="R772">
        <v>0</v>
      </c>
      <c r="S772">
        <v>71</v>
      </c>
      <c r="T772">
        <v>17</v>
      </c>
      <c r="U772">
        <v>14</v>
      </c>
      <c r="V772">
        <v>8</v>
      </c>
      <c r="W772">
        <v>0</v>
      </c>
      <c r="X772">
        <v>0</v>
      </c>
    </row>
    <row r="773" spans="1:24" x14ac:dyDescent="0.2">
      <c r="A773">
        <v>7020900</v>
      </c>
      <c r="B773" t="s">
        <v>772</v>
      </c>
      <c r="C773">
        <v>900</v>
      </c>
      <c r="D773">
        <v>900</v>
      </c>
      <c r="E773">
        <v>10000</v>
      </c>
      <c r="F773">
        <v>111</v>
      </c>
      <c r="G773">
        <v>0</v>
      </c>
      <c r="H773">
        <v>0</v>
      </c>
      <c r="I773">
        <v>0</v>
      </c>
      <c r="J773">
        <v>111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45</v>
      </c>
      <c r="Q773">
        <v>26</v>
      </c>
      <c r="R773">
        <v>0</v>
      </c>
      <c r="S773">
        <v>0</v>
      </c>
      <c r="T773">
        <v>17</v>
      </c>
      <c r="U773">
        <v>14</v>
      </c>
      <c r="V773">
        <v>8</v>
      </c>
      <c r="W773">
        <v>0</v>
      </c>
      <c r="X773">
        <v>0</v>
      </c>
    </row>
    <row r="774" spans="1:24" x14ac:dyDescent="0.2">
      <c r="A774">
        <v>7021000</v>
      </c>
      <c r="B774" t="s">
        <v>773</v>
      </c>
      <c r="C774">
        <v>1000</v>
      </c>
      <c r="D774">
        <v>1000</v>
      </c>
      <c r="E774">
        <v>10000</v>
      </c>
      <c r="F774">
        <v>119</v>
      </c>
      <c r="G774">
        <v>0</v>
      </c>
      <c r="H774">
        <v>0</v>
      </c>
      <c r="I774">
        <v>0</v>
      </c>
      <c r="J774">
        <v>119</v>
      </c>
      <c r="K774">
        <v>0</v>
      </c>
      <c r="L774">
        <v>0</v>
      </c>
      <c r="M774">
        <v>0</v>
      </c>
      <c r="N774">
        <v>0</v>
      </c>
      <c r="O774">
        <v>4</v>
      </c>
      <c r="P774">
        <v>45</v>
      </c>
      <c r="Q774">
        <v>26</v>
      </c>
      <c r="R774">
        <v>71</v>
      </c>
      <c r="S774">
        <v>71</v>
      </c>
      <c r="T774">
        <v>17</v>
      </c>
      <c r="U774">
        <v>14</v>
      </c>
      <c r="V774">
        <v>8</v>
      </c>
      <c r="W774">
        <v>0</v>
      </c>
      <c r="X774">
        <v>0</v>
      </c>
    </row>
    <row r="775" spans="1:24" x14ac:dyDescent="0.2">
      <c r="A775">
        <v>7021100</v>
      </c>
      <c r="B775" t="s">
        <v>774</v>
      </c>
      <c r="C775">
        <v>1100</v>
      </c>
      <c r="D775">
        <v>1100</v>
      </c>
      <c r="E775">
        <v>10000</v>
      </c>
      <c r="F775">
        <v>124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45</v>
      </c>
      <c r="Q775">
        <v>26</v>
      </c>
      <c r="R775">
        <v>0</v>
      </c>
      <c r="S775">
        <v>0</v>
      </c>
      <c r="T775">
        <v>17</v>
      </c>
      <c r="U775">
        <v>14</v>
      </c>
      <c r="V775">
        <v>8</v>
      </c>
      <c r="W775">
        <v>0</v>
      </c>
      <c r="X775">
        <v>0</v>
      </c>
    </row>
    <row r="776" spans="1:24" x14ac:dyDescent="0.2">
      <c r="A776">
        <v>7021200</v>
      </c>
      <c r="B776" t="s">
        <v>775</v>
      </c>
      <c r="C776">
        <v>1200</v>
      </c>
      <c r="D776">
        <v>1200</v>
      </c>
      <c r="E776">
        <v>10000</v>
      </c>
      <c r="F776">
        <v>124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45</v>
      </c>
      <c r="Q776">
        <v>26</v>
      </c>
      <c r="R776">
        <v>0</v>
      </c>
      <c r="S776">
        <v>0</v>
      </c>
      <c r="T776">
        <v>17</v>
      </c>
      <c r="U776">
        <v>14</v>
      </c>
      <c r="V776">
        <v>8</v>
      </c>
      <c r="W776">
        <v>0</v>
      </c>
      <c r="X776">
        <v>0</v>
      </c>
    </row>
    <row r="777" spans="1:24" x14ac:dyDescent="0.2">
      <c r="A777">
        <v>7021300</v>
      </c>
      <c r="B777" t="s">
        <v>776</v>
      </c>
      <c r="C777">
        <v>1300</v>
      </c>
      <c r="D777">
        <v>1300</v>
      </c>
      <c r="E777">
        <v>10000</v>
      </c>
      <c r="F777">
        <v>129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45</v>
      </c>
      <c r="Q777">
        <v>26</v>
      </c>
      <c r="R777">
        <v>0</v>
      </c>
      <c r="S777">
        <v>0</v>
      </c>
      <c r="T777">
        <v>17</v>
      </c>
      <c r="U777">
        <v>14</v>
      </c>
      <c r="V777">
        <v>8</v>
      </c>
      <c r="W777">
        <v>0</v>
      </c>
      <c r="X777">
        <v>0</v>
      </c>
    </row>
    <row r="778" spans="1:24" x14ac:dyDescent="0.2">
      <c r="A778">
        <v>7021400</v>
      </c>
      <c r="B778" t="s">
        <v>777</v>
      </c>
      <c r="C778">
        <v>1400</v>
      </c>
      <c r="D778">
        <v>1400</v>
      </c>
      <c r="E778">
        <v>10014</v>
      </c>
      <c r="F778">
        <v>122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45</v>
      </c>
      <c r="Q778">
        <v>26</v>
      </c>
      <c r="R778">
        <v>0</v>
      </c>
      <c r="S778">
        <v>71</v>
      </c>
      <c r="T778">
        <v>17</v>
      </c>
      <c r="U778">
        <v>14</v>
      </c>
      <c r="V778">
        <v>8</v>
      </c>
      <c r="W778">
        <v>0</v>
      </c>
      <c r="X778">
        <v>0</v>
      </c>
    </row>
    <row r="779" spans="1:24" x14ac:dyDescent="0.2">
      <c r="A779">
        <v>7021500</v>
      </c>
      <c r="B779" t="s">
        <v>778</v>
      </c>
      <c r="C779">
        <v>1500</v>
      </c>
      <c r="D779">
        <v>1500</v>
      </c>
      <c r="E779">
        <v>10015</v>
      </c>
      <c r="F779">
        <v>124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45</v>
      </c>
      <c r="Q779">
        <v>26</v>
      </c>
      <c r="R779">
        <v>0</v>
      </c>
      <c r="S779">
        <v>0</v>
      </c>
      <c r="T779">
        <v>17</v>
      </c>
      <c r="U779">
        <v>14</v>
      </c>
      <c r="V779">
        <v>8</v>
      </c>
      <c r="W779">
        <v>0</v>
      </c>
      <c r="X779">
        <v>0</v>
      </c>
    </row>
    <row r="780" spans="1:24" x14ac:dyDescent="0.2">
      <c r="A780">
        <v>7040000</v>
      </c>
      <c r="B780" t="s">
        <v>779</v>
      </c>
      <c r="C780">
        <v>0</v>
      </c>
      <c r="D780">
        <v>0</v>
      </c>
      <c r="E780">
        <v>10000</v>
      </c>
      <c r="F780">
        <v>119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35</v>
      </c>
      <c r="Q780">
        <v>41</v>
      </c>
      <c r="R780">
        <v>0</v>
      </c>
      <c r="S780">
        <v>0</v>
      </c>
      <c r="T780">
        <v>21</v>
      </c>
      <c r="U780">
        <v>14</v>
      </c>
      <c r="V780">
        <v>12</v>
      </c>
      <c r="W780">
        <v>0</v>
      </c>
      <c r="X780">
        <v>0</v>
      </c>
    </row>
    <row r="781" spans="1:24" x14ac:dyDescent="0.2">
      <c r="A781">
        <v>7040100</v>
      </c>
      <c r="B781" t="s">
        <v>780</v>
      </c>
      <c r="C781">
        <v>200</v>
      </c>
      <c r="D781">
        <v>100</v>
      </c>
      <c r="E781">
        <v>10000</v>
      </c>
      <c r="F781">
        <v>119</v>
      </c>
      <c r="G781">
        <v>0</v>
      </c>
      <c r="H781">
        <v>0</v>
      </c>
      <c r="I781">
        <v>0</v>
      </c>
      <c r="J781">
        <v>0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41</v>
      </c>
      <c r="Q781">
        <v>0</v>
      </c>
      <c r="R781">
        <v>0</v>
      </c>
      <c r="S781">
        <v>0</v>
      </c>
      <c r="T781">
        <v>21</v>
      </c>
      <c r="U781">
        <v>14</v>
      </c>
      <c r="V781">
        <v>12</v>
      </c>
      <c r="W781">
        <v>0</v>
      </c>
      <c r="X781">
        <v>0</v>
      </c>
    </row>
    <row r="782" spans="1:24" x14ac:dyDescent="0.2">
      <c r="A782">
        <v>7040200</v>
      </c>
      <c r="B782" t="s">
        <v>781</v>
      </c>
      <c r="C782">
        <v>100</v>
      </c>
      <c r="D782">
        <v>5000</v>
      </c>
      <c r="E782">
        <v>10000</v>
      </c>
      <c r="F782">
        <v>119</v>
      </c>
      <c r="G782">
        <v>0</v>
      </c>
      <c r="H782">
        <v>0</v>
      </c>
      <c r="I782">
        <v>0</v>
      </c>
      <c r="J782">
        <v>0</v>
      </c>
      <c r="K782">
        <v>2</v>
      </c>
      <c r="L782">
        <v>0</v>
      </c>
      <c r="M782">
        <v>0</v>
      </c>
      <c r="N782">
        <v>0</v>
      </c>
      <c r="O782">
        <v>0</v>
      </c>
      <c r="P782">
        <v>7</v>
      </c>
      <c r="Q782">
        <v>57</v>
      </c>
      <c r="R782">
        <v>0</v>
      </c>
      <c r="S782">
        <v>0</v>
      </c>
      <c r="T782">
        <v>21</v>
      </c>
      <c r="U782">
        <v>14</v>
      </c>
      <c r="V782">
        <v>12</v>
      </c>
      <c r="W782">
        <v>0</v>
      </c>
      <c r="X782">
        <v>0</v>
      </c>
    </row>
    <row r="783" spans="1:24" x14ac:dyDescent="0.2">
      <c r="A783">
        <v>7040300</v>
      </c>
      <c r="B783" t="s">
        <v>782</v>
      </c>
      <c r="C783">
        <v>300</v>
      </c>
      <c r="D783">
        <v>300</v>
      </c>
      <c r="E783">
        <v>10000</v>
      </c>
      <c r="F783">
        <v>119</v>
      </c>
      <c r="G783">
        <v>0</v>
      </c>
      <c r="H783">
        <v>0</v>
      </c>
      <c r="I783">
        <v>0</v>
      </c>
      <c r="J783">
        <v>0</v>
      </c>
      <c r="K783">
        <v>8</v>
      </c>
      <c r="L783">
        <v>0</v>
      </c>
      <c r="M783">
        <v>0</v>
      </c>
      <c r="N783">
        <v>0</v>
      </c>
      <c r="O783">
        <v>0</v>
      </c>
      <c r="P783">
        <v>48</v>
      </c>
      <c r="Q783">
        <v>48</v>
      </c>
      <c r="R783">
        <v>0</v>
      </c>
      <c r="S783">
        <v>0</v>
      </c>
      <c r="T783">
        <v>21</v>
      </c>
      <c r="U783">
        <v>14</v>
      </c>
      <c r="V783">
        <v>12</v>
      </c>
      <c r="W783">
        <v>0</v>
      </c>
      <c r="X783">
        <v>0</v>
      </c>
    </row>
    <row r="784" spans="1:24" x14ac:dyDescent="0.2">
      <c r="A784">
        <v>7040400</v>
      </c>
      <c r="B784" t="s">
        <v>783</v>
      </c>
      <c r="C784">
        <v>500</v>
      </c>
      <c r="D784">
        <v>500</v>
      </c>
      <c r="E784">
        <v>10000</v>
      </c>
      <c r="F784">
        <v>114</v>
      </c>
      <c r="G784">
        <v>114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35</v>
      </c>
      <c r="Q784">
        <v>41</v>
      </c>
      <c r="R784">
        <v>76</v>
      </c>
      <c r="S784">
        <v>0</v>
      </c>
      <c r="T784">
        <v>21</v>
      </c>
      <c r="U784">
        <v>14</v>
      </c>
      <c r="V784">
        <v>12</v>
      </c>
      <c r="W784">
        <v>0</v>
      </c>
      <c r="X784">
        <v>0</v>
      </c>
    </row>
    <row r="785" spans="1:24" x14ac:dyDescent="0.2">
      <c r="A785">
        <v>7040500</v>
      </c>
      <c r="B785" t="s">
        <v>784</v>
      </c>
      <c r="C785">
        <v>400</v>
      </c>
      <c r="D785">
        <v>400</v>
      </c>
      <c r="E785">
        <v>10000</v>
      </c>
      <c r="F785">
        <v>114</v>
      </c>
      <c r="G785">
        <v>114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35</v>
      </c>
      <c r="Q785">
        <v>41</v>
      </c>
      <c r="R785">
        <v>76</v>
      </c>
      <c r="S785">
        <v>0</v>
      </c>
      <c r="T785">
        <v>21</v>
      </c>
      <c r="U785">
        <v>14</v>
      </c>
      <c r="V785">
        <v>12</v>
      </c>
      <c r="W785">
        <v>0</v>
      </c>
      <c r="X785">
        <v>0</v>
      </c>
    </row>
    <row r="786" spans="1:24" x14ac:dyDescent="0.2">
      <c r="A786">
        <v>7040600</v>
      </c>
      <c r="B786" t="s">
        <v>785</v>
      </c>
      <c r="C786">
        <v>600</v>
      </c>
      <c r="D786">
        <v>600</v>
      </c>
      <c r="E786">
        <v>10000</v>
      </c>
      <c r="F786">
        <v>114</v>
      </c>
      <c r="G786">
        <v>0</v>
      </c>
      <c r="H786">
        <v>114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35</v>
      </c>
      <c r="Q786">
        <v>41</v>
      </c>
      <c r="R786">
        <v>0</v>
      </c>
      <c r="S786">
        <v>0</v>
      </c>
      <c r="T786">
        <v>21</v>
      </c>
      <c r="U786">
        <v>14</v>
      </c>
      <c r="V786">
        <v>12</v>
      </c>
      <c r="W786">
        <v>0</v>
      </c>
      <c r="X786">
        <v>0</v>
      </c>
    </row>
    <row r="787" spans="1:24" x14ac:dyDescent="0.2">
      <c r="A787">
        <v>7040700</v>
      </c>
      <c r="B787" t="s">
        <v>786</v>
      </c>
      <c r="C787">
        <v>700</v>
      </c>
      <c r="D787">
        <v>700</v>
      </c>
      <c r="E787">
        <v>10000</v>
      </c>
      <c r="F787">
        <v>114</v>
      </c>
      <c r="G787">
        <v>0</v>
      </c>
      <c r="H787">
        <v>114</v>
      </c>
      <c r="I787">
        <v>0</v>
      </c>
      <c r="J787">
        <v>0</v>
      </c>
      <c r="K787">
        <v>0</v>
      </c>
      <c r="L787">
        <v>0</v>
      </c>
      <c r="M787">
        <v>4</v>
      </c>
      <c r="N787">
        <v>0</v>
      </c>
      <c r="O787">
        <v>0</v>
      </c>
      <c r="P787">
        <v>35</v>
      </c>
      <c r="Q787">
        <v>41</v>
      </c>
      <c r="R787">
        <v>76</v>
      </c>
      <c r="S787">
        <v>76</v>
      </c>
      <c r="T787">
        <v>21</v>
      </c>
      <c r="U787">
        <v>14</v>
      </c>
      <c r="V787">
        <v>12</v>
      </c>
      <c r="W787">
        <v>0</v>
      </c>
      <c r="X787">
        <v>0</v>
      </c>
    </row>
    <row r="788" spans="1:24" x14ac:dyDescent="0.2">
      <c r="A788">
        <v>7040800</v>
      </c>
      <c r="B788" t="s">
        <v>787</v>
      </c>
      <c r="C788">
        <v>800</v>
      </c>
      <c r="D788">
        <v>800</v>
      </c>
      <c r="E788">
        <v>10000</v>
      </c>
      <c r="F788">
        <v>114</v>
      </c>
      <c r="G788">
        <v>0</v>
      </c>
      <c r="H788">
        <v>0</v>
      </c>
      <c r="I788">
        <v>114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35</v>
      </c>
      <c r="Q788">
        <v>41</v>
      </c>
      <c r="R788">
        <v>0</v>
      </c>
      <c r="S788">
        <v>76</v>
      </c>
      <c r="T788">
        <v>21</v>
      </c>
      <c r="U788">
        <v>14</v>
      </c>
      <c r="V788">
        <v>12</v>
      </c>
      <c r="W788">
        <v>0</v>
      </c>
      <c r="X788">
        <v>0</v>
      </c>
    </row>
    <row r="789" spans="1:24" x14ac:dyDescent="0.2">
      <c r="A789">
        <v>7040900</v>
      </c>
      <c r="B789" t="s">
        <v>788</v>
      </c>
      <c r="C789">
        <v>900</v>
      </c>
      <c r="D789">
        <v>900</v>
      </c>
      <c r="E789">
        <v>10000</v>
      </c>
      <c r="F789">
        <v>114</v>
      </c>
      <c r="G789">
        <v>0</v>
      </c>
      <c r="H789">
        <v>0</v>
      </c>
      <c r="I789">
        <v>0</v>
      </c>
      <c r="J789">
        <v>114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35</v>
      </c>
      <c r="Q789">
        <v>41</v>
      </c>
      <c r="R789">
        <v>0</v>
      </c>
      <c r="S789">
        <v>0</v>
      </c>
      <c r="T789">
        <v>21</v>
      </c>
      <c r="U789">
        <v>14</v>
      </c>
      <c r="V789">
        <v>12</v>
      </c>
      <c r="W789">
        <v>0</v>
      </c>
      <c r="X789">
        <v>0</v>
      </c>
    </row>
    <row r="790" spans="1:24" x14ac:dyDescent="0.2">
      <c r="A790">
        <v>7041000</v>
      </c>
      <c r="B790" t="s">
        <v>789</v>
      </c>
      <c r="C790">
        <v>1000</v>
      </c>
      <c r="D790">
        <v>1000</v>
      </c>
      <c r="E790">
        <v>10000</v>
      </c>
      <c r="F790">
        <v>114</v>
      </c>
      <c r="G790">
        <v>0</v>
      </c>
      <c r="H790">
        <v>0</v>
      </c>
      <c r="I790">
        <v>0</v>
      </c>
      <c r="J790">
        <v>114</v>
      </c>
      <c r="K790">
        <v>0</v>
      </c>
      <c r="L790">
        <v>0</v>
      </c>
      <c r="M790">
        <v>0</v>
      </c>
      <c r="N790">
        <v>0</v>
      </c>
      <c r="O790">
        <v>4</v>
      </c>
      <c r="P790">
        <v>35</v>
      </c>
      <c r="Q790">
        <v>41</v>
      </c>
      <c r="R790">
        <v>76</v>
      </c>
      <c r="S790">
        <v>76</v>
      </c>
      <c r="T790">
        <v>21</v>
      </c>
      <c r="U790">
        <v>14</v>
      </c>
      <c r="V790">
        <v>12</v>
      </c>
      <c r="W790">
        <v>0</v>
      </c>
      <c r="X790">
        <v>0</v>
      </c>
    </row>
    <row r="791" spans="1:24" x14ac:dyDescent="0.2">
      <c r="A791">
        <v>7041100</v>
      </c>
      <c r="B791" t="s">
        <v>790</v>
      </c>
      <c r="C791">
        <v>1100</v>
      </c>
      <c r="D791">
        <v>1100</v>
      </c>
      <c r="E791">
        <v>10000</v>
      </c>
      <c r="F791">
        <v>119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35</v>
      </c>
      <c r="Q791">
        <v>41</v>
      </c>
      <c r="R791">
        <v>0</v>
      </c>
      <c r="S791">
        <v>0</v>
      </c>
      <c r="T791">
        <v>21</v>
      </c>
      <c r="U791">
        <v>14</v>
      </c>
      <c r="V791">
        <v>12</v>
      </c>
      <c r="W791">
        <v>0</v>
      </c>
      <c r="X791">
        <v>0</v>
      </c>
    </row>
    <row r="792" spans="1:24" x14ac:dyDescent="0.2">
      <c r="A792">
        <v>7041200</v>
      </c>
      <c r="B792" t="s">
        <v>791</v>
      </c>
      <c r="C792">
        <v>1200</v>
      </c>
      <c r="D792">
        <v>1200</v>
      </c>
      <c r="E792">
        <v>10000</v>
      </c>
      <c r="F792">
        <v>119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35</v>
      </c>
      <c r="Q792">
        <v>41</v>
      </c>
      <c r="R792">
        <v>0</v>
      </c>
      <c r="S792">
        <v>0</v>
      </c>
      <c r="T792">
        <v>21</v>
      </c>
      <c r="U792">
        <v>14</v>
      </c>
      <c r="V792">
        <v>12</v>
      </c>
      <c r="W792">
        <v>0</v>
      </c>
      <c r="X792">
        <v>0</v>
      </c>
    </row>
    <row r="793" spans="1:24" x14ac:dyDescent="0.2">
      <c r="A793">
        <v>7041300</v>
      </c>
      <c r="B793" t="s">
        <v>792</v>
      </c>
      <c r="C793">
        <v>1300</v>
      </c>
      <c r="D793">
        <v>1300</v>
      </c>
      <c r="E793">
        <v>10000</v>
      </c>
      <c r="F793">
        <v>124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35</v>
      </c>
      <c r="Q793">
        <v>41</v>
      </c>
      <c r="R793">
        <v>0</v>
      </c>
      <c r="S793">
        <v>0</v>
      </c>
      <c r="T793">
        <v>21</v>
      </c>
      <c r="U793">
        <v>14</v>
      </c>
      <c r="V793">
        <v>12</v>
      </c>
      <c r="W793">
        <v>0</v>
      </c>
      <c r="X793">
        <v>0</v>
      </c>
    </row>
    <row r="794" spans="1:24" x14ac:dyDescent="0.2">
      <c r="A794">
        <v>7041400</v>
      </c>
      <c r="B794" t="s">
        <v>793</v>
      </c>
      <c r="C794">
        <v>1400</v>
      </c>
      <c r="D794">
        <v>1400</v>
      </c>
      <c r="E794">
        <v>10014</v>
      </c>
      <c r="F794">
        <v>114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35</v>
      </c>
      <c r="Q794">
        <v>41</v>
      </c>
      <c r="R794">
        <v>0</v>
      </c>
      <c r="S794">
        <v>76</v>
      </c>
      <c r="T794">
        <v>21</v>
      </c>
      <c r="U794">
        <v>14</v>
      </c>
      <c r="V794">
        <v>12</v>
      </c>
      <c r="W794">
        <v>0</v>
      </c>
      <c r="X794">
        <v>0</v>
      </c>
    </row>
    <row r="795" spans="1:24" x14ac:dyDescent="0.2">
      <c r="A795">
        <v>7041500</v>
      </c>
      <c r="B795" t="s">
        <v>794</v>
      </c>
      <c r="C795">
        <v>1500</v>
      </c>
      <c r="D795">
        <v>1500</v>
      </c>
      <c r="E795">
        <v>10015</v>
      </c>
      <c r="F795">
        <v>119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35</v>
      </c>
      <c r="Q795">
        <v>41</v>
      </c>
      <c r="R795">
        <v>0</v>
      </c>
      <c r="S795">
        <v>0</v>
      </c>
      <c r="T795">
        <v>21</v>
      </c>
      <c r="U795">
        <v>14</v>
      </c>
      <c r="V795">
        <v>12</v>
      </c>
      <c r="W795">
        <v>0</v>
      </c>
      <c r="X795">
        <v>0</v>
      </c>
    </row>
    <row r="796" spans="1:24" x14ac:dyDescent="0.2">
      <c r="A796">
        <v>7050000</v>
      </c>
      <c r="B796" t="s">
        <v>795</v>
      </c>
      <c r="C796">
        <v>0</v>
      </c>
      <c r="D796">
        <v>0</v>
      </c>
      <c r="E796">
        <v>10000</v>
      </c>
      <c r="F796">
        <v>188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46</v>
      </c>
      <c r="Q796">
        <v>14</v>
      </c>
      <c r="R796">
        <v>0</v>
      </c>
      <c r="S796">
        <v>0</v>
      </c>
      <c r="T796">
        <v>18</v>
      </c>
      <c r="U796">
        <v>32</v>
      </c>
      <c r="V796">
        <v>8</v>
      </c>
      <c r="W796">
        <v>0</v>
      </c>
      <c r="X796">
        <v>0</v>
      </c>
    </row>
    <row r="797" spans="1:24" x14ac:dyDescent="0.2">
      <c r="A797">
        <v>7050100</v>
      </c>
      <c r="B797" t="s">
        <v>796</v>
      </c>
      <c r="C797">
        <v>200</v>
      </c>
      <c r="D797">
        <v>6000</v>
      </c>
      <c r="E797">
        <v>10000</v>
      </c>
      <c r="F797">
        <v>188</v>
      </c>
      <c r="G797">
        <v>0</v>
      </c>
      <c r="H797">
        <v>0</v>
      </c>
      <c r="I797">
        <v>0</v>
      </c>
      <c r="J797">
        <v>0</v>
      </c>
      <c r="K797">
        <v>1</v>
      </c>
      <c r="L797">
        <v>0</v>
      </c>
      <c r="M797">
        <v>0</v>
      </c>
      <c r="N797">
        <v>0</v>
      </c>
      <c r="O797">
        <v>0</v>
      </c>
      <c r="P797">
        <v>46</v>
      </c>
      <c r="Q797">
        <v>0</v>
      </c>
      <c r="R797">
        <v>0</v>
      </c>
      <c r="S797">
        <v>0</v>
      </c>
      <c r="T797">
        <v>18</v>
      </c>
      <c r="U797">
        <v>32</v>
      </c>
      <c r="V797">
        <v>8</v>
      </c>
      <c r="W797">
        <v>0</v>
      </c>
      <c r="X797">
        <v>0</v>
      </c>
    </row>
    <row r="798" spans="1:24" x14ac:dyDescent="0.2">
      <c r="A798">
        <v>7050200</v>
      </c>
      <c r="B798" t="s">
        <v>797</v>
      </c>
      <c r="C798">
        <v>100</v>
      </c>
      <c r="D798">
        <v>200</v>
      </c>
      <c r="E798">
        <v>10000</v>
      </c>
      <c r="F798">
        <v>188</v>
      </c>
      <c r="G798">
        <v>0</v>
      </c>
      <c r="H798">
        <v>0</v>
      </c>
      <c r="I798">
        <v>0</v>
      </c>
      <c r="J798">
        <v>0</v>
      </c>
      <c r="K798">
        <v>2</v>
      </c>
      <c r="L798">
        <v>0</v>
      </c>
      <c r="M798">
        <v>0</v>
      </c>
      <c r="N798">
        <v>0</v>
      </c>
      <c r="O798">
        <v>0</v>
      </c>
      <c r="P798">
        <v>16</v>
      </c>
      <c r="Q798">
        <v>32</v>
      </c>
      <c r="R798">
        <v>0</v>
      </c>
      <c r="S798">
        <v>0</v>
      </c>
      <c r="T798">
        <v>18</v>
      </c>
      <c r="U798">
        <v>32</v>
      </c>
      <c r="V798">
        <v>8</v>
      </c>
      <c r="W798">
        <v>0</v>
      </c>
      <c r="X798">
        <v>0</v>
      </c>
    </row>
    <row r="799" spans="1:24" x14ac:dyDescent="0.2">
      <c r="A799">
        <v>7050300</v>
      </c>
      <c r="B799" t="s">
        <v>798</v>
      </c>
      <c r="C799">
        <v>300</v>
      </c>
      <c r="D799">
        <v>6100</v>
      </c>
      <c r="E799">
        <v>10000</v>
      </c>
      <c r="F799">
        <v>188</v>
      </c>
      <c r="G799">
        <v>0</v>
      </c>
      <c r="H799">
        <v>0</v>
      </c>
      <c r="I799">
        <v>0</v>
      </c>
      <c r="J799">
        <v>0</v>
      </c>
      <c r="K799">
        <v>8</v>
      </c>
      <c r="L799">
        <v>0</v>
      </c>
      <c r="M799">
        <v>0</v>
      </c>
      <c r="N799">
        <v>0</v>
      </c>
      <c r="O799">
        <v>0</v>
      </c>
      <c r="P799">
        <v>35</v>
      </c>
      <c r="Q799">
        <v>35</v>
      </c>
      <c r="R799">
        <v>0</v>
      </c>
      <c r="S799">
        <v>0</v>
      </c>
      <c r="T799">
        <v>18</v>
      </c>
      <c r="U799">
        <v>32</v>
      </c>
      <c r="V799">
        <v>8</v>
      </c>
      <c r="W799">
        <v>0</v>
      </c>
      <c r="X799">
        <v>0</v>
      </c>
    </row>
    <row r="800" spans="1:24" x14ac:dyDescent="0.2">
      <c r="A800">
        <v>7050400</v>
      </c>
      <c r="B800" t="s">
        <v>799</v>
      </c>
      <c r="C800">
        <v>500</v>
      </c>
      <c r="D800">
        <v>500</v>
      </c>
      <c r="E800">
        <v>10000</v>
      </c>
      <c r="F800">
        <v>175</v>
      </c>
      <c r="G800">
        <v>175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46</v>
      </c>
      <c r="Q800">
        <v>14</v>
      </c>
      <c r="R800">
        <v>60</v>
      </c>
      <c r="S800">
        <v>0</v>
      </c>
      <c r="T800">
        <v>18</v>
      </c>
      <c r="U800">
        <v>32</v>
      </c>
      <c r="V800">
        <v>8</v>
      </c>
      <c r="W800">
        <v>0</v>
      </c>
      <c r="X800">
        <v>0</v>
      </c>
    </row>
    <row r="801" spans="1:24" x14ac:dyDescent="0.2">
      <c r="A801">
        <v>7050500</v>
      </c>
      <c r="B801" t="s">
        <v>800</v>
      </c>
      <c r="C801">
        <v>400</v>
      </c>
      <c r="D801">
        <v>400</v>
      </c>
      <c r="E801">
        <v>10000</v>
      </c>
      <c r="F801">
        <v>175</v>
      </c>
      <c r="G801">
        <v>175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46</v>
      </c>
      <c r="Q801">
        <v>14</v>
      </c>
      <c r="R801">
        <v>60</v>
      </c>
      <c r="S801">
        <v>0</v>
      </c>
      <c r="T801">
        <v>18</v>
      </c>
      <c r="U801">
        <v>32</v>
      </c>
      <c r="V801">
        <v>8</v>
      </c>
      <c r="W801">
        <v>0</v>
      </c>
      <c r="X801">
        <v>0</v>
      </c>
    </row>
    <row r="802" spans="1:24" x14ac:dyDescent="0.2">
      <c r="A802">
        <v>7050600</v>
      </c>
      <c r="B802" t="s">
        <v>801</v>
      </c>
      <c r="C802">
        <v>600</v>
      </c>
      <c r="D802">
        <v>600</v>
      </c>
      <c r="E802">
        <v>10000</v>
      </c>
      <c r="F802">
        <v>153</v>
      </c>
      <c r="G802">
        <v>0</v>
      </c>
      <c r="H802">
        <v>153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46</v>
      </c>
      <c r="Q802">
        <v>14</v>
      </c>
      <c r="R802">
        <v>0</v>
      </c>
      <c r="S802">
        <v>0</v>
      </c>
      <c r="T802">
        <v>18</v>
      </c>
      <c r="U802">
        <v>32</v>
      </c>
      <c r="V802">
        <v>8</v>
      </c>
      <c r="W802">
        <v>0</v>
      </c>
      <c r="X802">
        <v>0</v>
      </c>
    </row>
    <row r="803" spans="1:24" x14ac:dyDescent="0.2">
      <c r="A803">
        <v>7050700</v>
      </c>
      <c r="B803" t="s">
        <v>802</v>
      </c>
      <c r="C803">
        <v>700</v>
      </c>
      <c r="D803">
        <v>700</v>
      </c>
      <c r="E803">
        <v>10000</v>
      </c>
      <c r="F803">
        <v>175</v>
      </c>
      <c r="G803">
        <v>0</v>
      </c>
      <c r="H803">
        <v>175</v>
      </c>
      <c r="I803">
        <v>0</v>
      </c>
      <c r="J803">
        <v>0</v>
      </c>
      <c r="K803">
        <v>0</v>
      </c>
      <c r="L803">
        <v>0</v>
      </c>
      <c r="M803">
        <v>4</v>
      </c>
      <c r="N803">
        <v>0</v>
      </c>
      <c r="O803">
        <v>0</v>
      </c>
      <c r="P803">
        <v>46</v>
      </c>
      <c r="Q803">
        <v>14</v>
      </c>
      <c r="R803">
        <v>60</v>
      </c>
      <c r="S803">
        <v>60</v>
      </c>
      <c r="T803">
        <v>18</v>
      </c>
      <c r="U803">
        <v>32</v>
      </c>
      <c r="V803">
        <v>8</v>
      </c>
      <c r="W803">
        <v>0</v>
      </c>
      <c r="X803">
        <v>0</v>
      </c>
    </row>
    <row r="804" spans="1:24" x14ac:dyDescent="0.2">
      <c r="A804">
        <v>7050800</v>
      </c>
      <c r="B804" t="s">
        <v>803</v>
      </c>
      <c r="C804">
        <v>800</v>
      </c>
      <c r="D804">
        <v>800</v>
      </c>
      <c r="E804">
        <v>10000</v>
      </c>
      <c r="F804">
        <v>175</v>
      </c>
      <c r="G804">
        <v>0</v>
      </c>
      <c r="H804">
        <v>0</v>
      </c>
      <c r="I804">
        <v>175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46</v>
      </c>
      <c r="Q804">
        <v>14</v>
      </c>
      <c r="R804">
        <v>0</v>
      </c>
      <c r="S804">
        <v>60</v>
      </c>
      <c r="T804">
        <v>18</v>
      </c>
      <c r="U804">
        <v>32</v>
      </c>
      <c r="V804">
        <v>8</v>
      </c>
      <c r="W804">
        <v>0</v>
      </c>
      <c r="X804">
        <v>0</v>
      </c>
    </row>
    <row r="805" spans="1:24" x14ac:dyDescent="0.2">
      <c r="A805">
        <v>7050900</v>
      </c>
      <c r="B805" t="s">
        <v>804</v>
      </c>
      <c r="C805">
        <v>900</v>
      </c>
      <c r="D805">
        <v>900</v>
      </c>
      <c r="E805">
        <v>10000</v>
      </c>
      <c r="F805">
        <v>153</v>
      </c>
      <c r="G805">
        <v>0</v>
      </c>
      <c r="H805">
        <v>0</v>
      </c>
      <c r="I805">
        <v>0</v>
      </c>
      <c r="J805">
        <v>153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46</v>
      </c>
      <c r="Q805">
        <v>14</v>
      </c>
      <c r="R805">
        <v>0</v>
      </c>
      <c r="S805">
        <v>0</v>
      </c>
      <c r="T805">
        <v>18</v>
      </c>
      <c r="U805">
        <v>32</v>
      </c>
      <c r="V805">
        <v>8</v>
      </c>
      <c r="W805">
        <v>0</v>
      </c>
      <c r="X805">
        <v>0</v>
      </c>
    </row>
    <row r="806" spans="1:24" x14ac:dyDescent="0.2">
      <c r="A806">
        <v>7051000</v>
      </c>
      <c r="B806" t="s">
        <v>805</v>
      </c>
      <c r="C806">
        <v>1000</v>
      </c>
      <c r="D806">
        <v>1000</v>
      </c>
      <c r="E806">
        <v>10000</v>
      </c>
      <c r="F806">
        <v>175</v>
      </c>
      <c r="G806">
        <v>0</v>
      </c>
      <c r="H806">
        <v>0</v>
      </c>
      <c r="I806">
        <v>0</v>
      </c>
      <c r="J806">
        <v>175</v>
      </c>
      <c r="K806">
        <v>0</v>
      </c>
      <c r="L806">
        <v>0</v>
      </c>
      <c r="M806">
        <v>0</v>
      </c>
      <c r="N806">
        <v>0</v>
      </c>
      <c r="O806">
        <v>4</v>
      </c>
      <c r="P806">
        <v>46</v>
      </c>
      <c r="Q806">
        <v>14</v>
      </c>
      <c r="R806">
        <v>60</v>
      </c>
      <c r="S806">
        <v>60</v>
      </c>
      <c r="T806">
        <v>18</v>
      </c>
      <c r="U806">
        <v>32</v>
      </c>
      <c r="V806">
        <v>8</v>
      </c>
      <c r="W806">
        <v>0</v>
      </c>
      <c r="X806">
        <v>0</v>
      </c>
    </row>
    <row r="807" spans="1:24" x14ac:dyDescent="0.2">
      <c r="A807">
        <v>7051100</v>
      </c>
      <c r="B807" t="s">
        <v>806</v>
      </c>
      <c r="C807">
        <v>1100</v>
      </c>
      <c r="D807">
        <v>1100</v>
      </c>
      <c r="E807">
        <v>10000</v>
      </c>
      <c r="F807">
        <v>188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46</v>
      </c>
      <c r="Q807">
        <v>14</v>
      </c>
      <c r="R807">
        <v>0</v>
      </c>
      <c r="S807">
        <v>0</v>
      </c>
      <c r="T807">
        <v>18</v>
      </c>
      <c r="U807">
        <v>32</v>
      </c>
      <c r="V807">
        <v>8</v>
      </c>
      <c r="W807">
        <v>0</v>
      </c>
      <c r="X807">
        <v>0</v>
      </c>
    </row>
    <row r="808" spans="1:24" x14ac:dyDescent="0.2">
      <c r="A808">
        <v>7051200</v>
      </c>
      <c r="B808" t="s">
        <v>807</v>
      </c>
      <c r="C808">
        <v>1200</v>
      </c>
      <c r="D808">
        <v>1200</v>
      </c>
      <c r="E808">
        <v>10000</v>
      </c>
      <c r="F808">
        <v>188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46</v>
      </c>
      <c r="Q808">
        <v>14</v>
      </c>
      <c r="R808">
        <v>0</v>
      </c>
      <c r="S808">
        <v>0</v>
      </c>
      <c r="T808">
        <v>18</v>
      </c>
      <c r="U808">
        <v>32</v>
      </c>
      <c r="V808">
        <v>8</v>
      </c>
      <c r="W808">
        <v>0</v>
      </c>
      <c r="X808">
        <v>0</v>
      </c>
    </row>
    <row r="809" spans="1:24" x14ac:dyDescent="0.2">
      <c r="A809">
        <v>7051300</v>
      </c>
      <c r="B809" t="s">
        <v>808</v>
      </c>
      <c r="C809">
        <v>1300</v>
      </c>
      <c r="D809">
        <v>1300</v>
      </c>
      <c r="E809">
        <v>10000</v>
      </c>
      <c r="F809">
        <v>193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46</v>
      </c>
      <c r="Q809">
        <v>14</v>
      </c>
      <c r="R809">
        <v>0</v>
      </c>
      <c r="S809">
        <v>0</v>
      </c>
      <c r="T809">
        <v>18</v>
      </c>
      <c r="U809">
        <v>32</v>
      </c>
      <c r="V809">
        <v>8</v>
      </c>
      <c r="W809">
        <v>0</v>
      </c>
      <c r="X809">
        <v>0</v>
      </c>
    </row>
    <row r="810" spans="1:24" x14ac:dyDescent="0.2">
      <c r="A810">
        <v>7051400</v>
      </c>
      <c r="B810" t="s">
        <v>809</v>
      </c>
      <c r="C810">
        <v>1400</v>
      </c>
      <c r="D810">
        <v>1400</v>
      </c>
      <c r="E810">
        <v>10014</v>
      </c>
      <c r="F810">
        <v>175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46</v>
      </c>
      <c r="Q810">
        <v>14</v>
      </c>
      <c r="R810">
        <v>0</v>
      </c>
      <c r="S810">
        <v>60</v>
      </c>
      <c r="T810">
        <v>18</v>
      </c>
      <c r="U810">
        <v>32</v>
      </c>
      <c r="V810">
        <v>8</v>
      </c>
      <c r="W810">
        <v>0</v>
      </c>
      <c r="X810">
        <v>0</v>
      </c>
    </row>
    <row r="811" spans="1:24" x14ac:dyDescent="0.2">
      <c r="A811">
        <v>7051500</v>
      </c>
      <c r="B811" t="s">
        <v>810</v>
      </c>
      <c r="C811">
        <v>1500</v>
      </c>
      <c r="D811">
        <v>1500</v>
      </c>
      <c r="E811">
        <v>10015</v>
      </c>
      <c r="F811">
        <v>188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46</v>
      </c>
      <c r="Q811">
        <v>14</v>
      </c>
      <c r="R811">
        <v>0</v>
      </c>
      <c r="S811">
        <v>0</v>
      </c>
      <c r="T811">
        <v>18</v>
      </c>
      <c r="U811">
        <v>32</v>
      </c>
      <c r="V811">
        <v>8</v>
      </c>
      <c r="W811">
        <v>0</v>
      </c>
      <c r="X811">
        <v>0</v>
      </c>
    </row>
    <row r="812" spans="1:24" x14ac:dyDescent="0.2">
      <c r="A812">
        <v>7070000</v>
      </c>
      <c r="B812" t="s">
        <v>811</v>
      </c>
      <c r="C812">
        <v>0</v>
      </c>
      <c r="D812">
        <v>0</v>
      </c>
      <c r="E812">
        <v>10000</v>
      </c>
      <c r="F812">
        <v>95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104</v>
      </c>
      <c r="Q812">
        <v>0</v>
      </c>
      <c r="R812">
        <v>0</v>
      </c>
      <c r="S812">
        <v>0</v>
      </c>
      <c r="T812">
        <v>21</v>
      </c>
      <c r="U812">
        <v>24</v>
      </c>
      <c r="V812">
        <v>0</v>
      </c>
      <c r="W812">
        <v>0</v>
      </c>
      <c r="X812">
        <v>0</v>
      </c>
    </row>
    <row r="813" spans="1:24" x14ac:dyDescent="0.2">
      <c r="A813">
        <v>7080000</v>
      </c>
      <c r="B813" t="s">
        <v>812</v>
      </c>
      <c r="C813">
        <v>0</v>
      </c>
      <c r="D813">
        <v>0</v>
      </c>
      <c r="E813">
        <v>10000</v>
      </c>
      <c r="F813">
        <v>105</v>
      </c>
      <c r="G813">
        <v>0</v>
      </c>
      <c r="H813">
        <v>0</v>
      </c>
      <c r="I813">
        <v>105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26</v>
      </c>
      <c r="Q813">
        <v>8</v>
      </c>
      <c r="R813">
        <v>0</v>
      </c>
      <c r="S813">
        <v>0</v>
      </c>
      <c r="T813">
        <v>8</v>
      </c>
      <c r="U813">
        <v>18</v>
      </c>
      <c r="V813">
        <v>14</v>
      </c>
      <c r="W813">
        <v>0</v>
      </c>
      <c r="X813">
        <v>0</v>
      </c>
    </row>
    <row r="814" spans="1:24" x14ac:dyDescent="0.2">
      <c r="A814">
        <v>7080100</v>
      </c>
      <c r="B814" t="s">
        <v>813</v>
      </c>
      <c r="C814">
        <v>200</v>
      </c>
      <c r="D814">
        <v>6200</v>
      </c>
      <c r="E814">
        <v>10000</v>
      </c>
      <c r="F814">
        <v>105</v>
      </c>
      <c r="G814">
        <v>0</v>
      </c>
      <c r="H814">
        <v>0</v>
      </c>
      <c r="I814">
        <v>105</v>
      </c>
      <c r="J814">
        <v>0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26</v>
      </c>
      <c r="Q814">
        <v>0</v>
      </c>
      <c r="R814">
        <v>0</v>
      </c>
      <c r="S814">
        <v>0</v>
      </c>
      <c r="T814">
        <v>8</v>
      </c>
      <c r="U814">
        <v>18</v>
      </c>
      <c r="V814">
        <v>14</v>
      </c>
      <c r="W814">
        <v>0</v>
      </c>
      <c r="X814">
        <v>0</v>
      </c>
    </row>
    <row r="815" spans="1:24" x14ac:dyDescent="0.2">
      <c r="A815">
        <v>7080200</v>
      </c>
      <c r="B815" t="s">
        <v>814</v>
      </c>
      <c r="C815">
        <v>100</v>
      </c>
      <c r="D815">
        <v>200</v>
      </c>
      <c r="E815">
        <v>10000</v>
      </c>
      <c r="F815">
        <v>105</v>
      </c>
      <c r="G815">
        <v>0</v>
      </c>
      <c r="H815">
        <v>0</v>
      </c>
      <c r="I815">
        <v>105</v>
      </c>
      <c r="J815">
        <v>0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11</v>
      </c>
      <c r="Q815">
        <v>23</v>
      </c>
      <c r="R815">
        <v>0</v>
      </c>
      <c r="S815">
        <v>0</v>
      </c>
      <c r="T815">
        <v>8</v>
      </c>
      <c r="U815">
        <v>18</v>
      </c>
      <c r="V815">
        <v>14</v>
      </c>
      <c r="W815">
        <v>0</v>
      </c>
      <c r="X815">
        <v>0</v>
      </c>
    </row>
    <row r="816" spans="1:24" x14ac:dyDescent="0.2">
      <c r="A816">
        <v>7080300</v>
      </c>
      <c r="B816" t="s">
        <v>815</v>
      </c>
      <c r="C816">
        <v>300</v>
      </c>
      <c r="D816">
        <v>6100</v>
      </c>
      <c r="E816">
        <v>10000</v>
      </c>
      <c r="F816">
        <v>105</v>
      </c>
      <c r="G816">
        <v>0</v>
      </c>
      <c r="H816">
        <v>0</v>
      </c>
      <c r="I816">
        <v>105</v>
      </c>
      <c r="J816">
        <v>0</v>
      </c>
      <c r="K816">
        <v>8</v>
      </c>
      <c r="L816">
        <v>0</v>
      </c>
      <c r="M816">
        <v>0</v>
      </c>
      <c r="N816">
        <v>0</v>
      </c>
      <c r="O816">
        <v>0</v>
      </c>
      <c r="P816">
        <v>22</v>
      </c>
      <c r="Q816">
        <v>22</v>
      </c>
      <c r="R816">
        <v>0</v>
      </c>
      <c r="S816">
        <v>0</v>
      </c>
      <c r="T816">
        <v>8</v>
      </c>
      <c r="U816">
        <v>18</v>
      </c>
      <c r="V816">
        <v>14</v>
      </c>
      <c r="W816">
        <v>0</v>
      </c>
      <c r="X816">
        <v>0</v>
      </c>
    </row>
    <row r="817" spans="1:24" x14ac:dyDescent="0.2">
      <c r="A817">
        <v>7080400</v>
      </c>
      <c r="B817" t="s">
        <v>816</v>
      </c>
      <c r="C817">
        <v>500</v>
      </c>
      <c r="D817">
        <v>500</v>
      </c>
      <c r="E817">
        <v>10000</v>
      </c>
      <c r="F817">
        <v>130</v>
      </c>
      <c r="G817">
        <v>130</v>
      </c>
      <c r="H817">
        <v>0</v>
      </c>
      <c r="I817">
        <v>105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26</v>
      </c>
      <c r="Q817">
        <v>8</v>
      </c>
      <c r="R817">
        <v>39</v>
      </c>
      <c r="S817">
        <v>0</v>
      </c>
      <c r="T817">
        <v>8</v>
      </c>
      <c r="U817">
        <v>18</v>
      </c>
      <c r="V817">
        <v>14</v>
      </c>
      <c r="W817">
        <v>0</v>
      </c>
      <c r="X817">
        <v>0</v>
      </c>
    </row>
    <row r="818" spans="1:24" x14ac:dyDescent="0.2">
      <c r="A818">
        <v>7080500</v>
      </c>
      <c r="B818" t="s">
        <v>817</v>
      </c>
      <c r="C818">
        <v>400</v>
      </c>
      <c r="D818">
        <v>400</v>
      </c>
      <c r="E818">
        <v>10000</v>
      </c>
      <c r="F818">
        <v>130</v>
      </c>
      <c r="G818">
        <v>130</v>
      </c>
      <c r="H818">
        <v>0</v>
      </c>
      <c r="I818">
        <v>105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26</v>
      </c>
      <c r="Q818">
        <v>8</v>
      </c>
      <c r="R818">
        <v>39</v>
      </c>
      <c r="S818">
        <v>0</v>
      </c>
      <c r="T818">
        <v>8</v>
      </c>
      <c r="U818">
        <v>18</v>
      </c>
      <c r="V818">
        <v>14</v>
      </c>
      <c r="W818">
        <v>0</v>
      </c>
      <c r="X818">
        <v>0</v>
      </c>
    </row>
    <row r="819" spans="1:24" x14ac:dyDescent="0.2">
      <c r="A819">
        <v>7080600</v>
      </c>
      <c r="B819" t="s">
        <v>818</v>
      </c>
      <c r="C819">
        <v>600</v>
      </c>
      <c r="D819">
        <v>600</v>
      </c>
      <c r="E819">
        <v>10000</v>
      </c>
      <c r="F819">
        <v>100</v>
      </c>
      <c r="G819">
        <v>0</v>
      </c>
      <c r="H819">
        <v>100</v>
      </c>
      <c r="I819">
        <v>105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26</v>
      </c>
      <c r="Q819">
        <v>8</v>
      </c>
      <c r="R819">
        <v>0</v>
      </c>
      <c r="S819">
        <v>0</v>
      </c>
      <c r="T819">
        <v>8</v>
      </c>
      <c r="U819">
        <v>18</v>
      </c>
      <c r="V819">
        <v>14</v>
      </c>
      <c r="W819">
        <v>0</v>
      </c>
      <c r="X819">
        <v>0</v>
      </c>
    </row>
    <row r="820" spans="1:24" x14ac:dyDescent="0.2">
      <c r="A820">
        <v>7080700</v>
      </c>
      <c r="B820" t="s">
        <v>819</v>
      </c>
      <c r="C820">
        <v>700</v>
      </c>
      <c r="D820">
        <v>700</v>
      </c>
      <c r="E820">
        <v>10000</v>
      </c>
      <c r="F820">
        <v>122</v>
      </c>
      <c r="G820">
        <v>0</v>
      </c>
      <c r="H820">
        <v>122</v>
      </c>
      <c r="I820">
        <v>105</v>
      </c>
      <c r="J820">
        <v>0</v>
      </c>
      <c r="K820">
        <v>0</v>
      </c>
      <c r="L820">
        <v>0</v>
      </c>
      <c r="M820">
        <v>4</v>
      </c>
      <c r="N820">
        <v>0</v>
      </c>
      <c r="O820">
        <v>0</v>
      </c>
      <c r="P820">
        <v>26</v>
      </c>
      <c r="Q820">
        <v>8</v>
      </c>
      <c r="R820">
        <v>39</v>
      </c>
      <c r="S820">
        <v>39</v>
      </c>
      <c r="T820">
        <v>8</v>
      </c>
      <c r="U820">
        <v>18</v>
      </c>
      <c r="V820">
        <v>14</v>
      </c>
      <c r="W820">
        <v>0</v>
      </c>
      <c r="X820">
        <v>0</v>
      </c>
    </row>
    <row r="821" spans="1:24" x14ac:dyDescent="0.2">
      <c r="A821">
        <v>7080800</v>
      </c>
      <c r="B821" t="s">
        <v>820</v>
      </c>
      <c r="C821">
        <v>800</v>
      </c>
      <c r="D821">
        <v>800</v>
      </c>
      <c r="E821">
        <v>10000</v>
      </c>
      <c r="F821">
        <v>95</v>
      </c>
      <c r="G821">
        <v>0</v>
      </c>
      <c r="H821">
        <v>0</v>
      </c>
      <c r="I821">
        <v>170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26</v>
      </c>
      <c r="Q821">
        <v>8</v>
      </c>
      <c r="R821">
        <v>0</v>
      </c>
      <c r="S821">
        <v>51</v>
      </c>
      <c r="T821">
        <v>8</v>
      </c>
      <c r="U821">
        <v>18</v>
      </c>
      <c r="V821">
        <v>14</v>
      </c>
      <c r="W821">
        <v>0</v>
      </c>
      <c r="X821">
        <v>0</v>
      </c>
    </row>
    <row r="822" spans="1:24" x14ac:dyDescent="0.2">
      <c r="A822">
        <v>7080900</v>
      </c>
      <c r="B822" t="s">
        <v>821</v>
      </c>
      <c r="C822">
        <v>900</v>
      </c>
      <c r="D822">
        <v>900</v>
      </c>
      <c r="E822">
        <v>10000</v>
      </c>
      <c r="F822">
        <v>100</v>
      </c>
      <c r="G822">
        <v>0</v>
      </c>
      <c r="H822">
        <v>0</v>
      </c>
      <c r="I822">
        <v>105</v>
      </c>
      <c r="J822">
        <v>100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26</v>
      </c>
      <c r="Q822">
        <v>8</v>
      </c>
      <c r="R822">
        <v>0</v>
      </c>
      <c r="S822">
        <v>0</v>
      </c>
      <c r="T822">
        <v>8</v>
      </c>
      <c r="U822">
        <v>18</v>
      </c>
      <c r="V822">
        <v>14</v>
      </c>
      <c r="W822">
        <v>0</v>
      </c>
      <c r="X822">
        <v>0</v>
      </c>
    </row>
    <row r="823" spans="1:24" x14ac:dyDescent="0.2">
      <c r="A823">
        <v>7081000</v>
      </c>
      <c r="B823" t="s">
        <v>822</v>
      </c>
      <c r="C823">
        <v>1000</v>
      </c>
      <c r="D823">
        <v>1000</v>
      </c>
      <c r="E823">
        <v>10000</v>
      </c>
      <c r="F823">
        <v>122</v>
      </c>
      <c r="G823">
        <v>0</v>
      </c>
      <c r="H823">
        <v>0</v>
      </c>
      <c r="I823">
        <v>105</v>
      </c>
      <c r="J823">
        <v>122</v>
      </c>
      <c r="K823">
        <v>0</v>
      </c>
      <c r="L823">
        <v>0</v>
      </c>
      <c r="M823">
        <v>0</v>
      </c>
      <c r="N823">
        <v>0</v>
      </c>
      <c r="O823">
        <v>4</v>
      </c>
      <c r="P823">
        <v>26</v>
      </c>
      <c r="Q823">
        <v>8</v>
      </c>
      <c r="R823">
        <v>39</v>
      </c>
      <c r="S823">
        <v>39</v>
      </c>
      <c r="T823">
        <v>8</v>
      </c>
      <c r="U823">
        <v>18</v>
      </c>
      <c r="V823">
        <v>14</v>
      </c>
      <c r="W823">
        <v>0</v>
      </c>
      <c r="X823">
        <v>0</v>
      </c>
    </row>
    <row r="824" spans="1:24" x14ac:dyDescent="0.2">
      <c r="A824">
        <v>7081100</v>
      </c>
      <c r="B824" t="s">
        <v>823</v>
      </c>
      <c r="C824">
        <v>1100</v>
      </c>
      <c r="D824">
        <v>1100</v>
      </c>
      <c r="E824">
        <v>10000</v>
      </c>
      <c r="F824">
        <v>105</v>
      </c>
      <c r="G824">
        <v>0</v>
      </c>
      <c r="H824">
        <v>0</v>
      </c>
      <c r="I824">
        <v>105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26</v>
      </c>
      <c r="Q824">
        <v>8</v>
      </c>
      <c r="R824">
        <v>0</v>
      </c>
      <c r="S824">
        <v>0</v>
      </c>
      <c r="T824">
        <v>8</v>
      </c>
      <c r="U824">
        <v>18</v>
      </c>
      <c r="V824">
        <v>14</v>
      </c>
      <c r="W824">
        <v>0</v>
      </c>
      <c r="X824">
        <v>0</v>
      </c>
    </row>
    <row r="825" spans="1:24" x14ac:dyDescent="0.2">
      <c r="A825">
        <v>7081200</v>
      </c>
      <c r="B825" t="s">
        <v>824</v>
      </c>
      <c r="C825">
        <v>1200</v>
      </c>
      <c r="D825">
        <v>1200</v>
      </c>
      <c r="E825">
        <v>10000</v>
      </c>
      <c r="F825">
        <v>105</v>
      </c>
      <c r="G825">
        <v>0</v>
      </c>
      <c r="H825">
        <v>0</v>
      </c>
      <c r="I825">
        <v>105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26</v>
      </c>
      <c r="Q825">
        <v>8</v>
      </c>
      <c r="R825">
        <v>0</v>
      </c>
      <c r="S825">
        <v>0</v>
      </c>
      <c r="T825">
        <v>8</v>
      </c>
      <c r="U825">
        <v>18</v>
      </c>
      <c r="V825">
        <v>14</v>
      </c>
      <c r="W825">
        <v>0</v>
      </c>
      <c r="X825">
        <v>0</v>
      </c>
    </row>
    <row r="826" spans="1:24" x14ac:dyDescent="0.2">
      <c r="A826">
        <v>7081300</v>
      </c>
      <c r="B826" t="s">
        <v>825</v>
      </c>
      <c r="C826">
        <v>1300</v>
      </c>
      <c r="D826">
        <v>1300</v>
      </c>
      <c r="E826">
        <v>10000</v>
      </c>
      <c r="F826">
        <v>105</v>
      </c>
      <c r="G826">
        <v>0</v>
      </c>
      <c r="H826">
        <v>0</v>
      </c>
      <c r="I826">
        <v>105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26</v>
      </c>
      <c r="Q826">
        <v>8</v>
      </c>
      <c r="R826">
        <v>0</v>
      </c>
      <c r="S826">
        <v>0</v>
      </c>
      <c r="T826">
        <v>8</v>
      </c>
      <c r="U826">
        <v>18</v>
      </c>
      <c r="V826">
        <v>14</v>
      </c>
      <c r="W826">
        <v>0</v>
      </c>
      <c r="X826">
        <v>0</v>
      </c>
    </row>
    <row r="827" spans="1:24" x14ac:dyDescent="0.2">
      <c r="A827">
        <v>7081400</v>
      </c>
      <c r="B827" t="s">
        <v>826</v>
      </c>
      <c r="C827">
        <v>1400</v>
      </c>
      <c r="D827">
        <v>1400</v>
      </c>
      <c r="E827">
        <v>10014</v>
      </c>
      <c r="F827">
        <v>130</v>
      </c>
      <c r="G827">
        <v>0</v>
      </c>
      <c r="H827">
        <v>0</v>
      </c>
      <c r="I827">
        <v>105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26</v>
      </c>
      <c r="Q827">
        <v>8</v>
      </c>
      <c r="R827">
        <v>0</v>
      </c>
      <c r="S827">
        <v>39</v>
      </c>
      <c r="T827">
        <v>8</v>
      </c>
      <c r="U827">
        <v>18</v>
      </c>
      <c r="V827">
        <v>14</v>
      </c>
      <c r="W827">
        <v>0</v>
      </c>
      <c r="X827">
        <v>0</v>
      </c>
    </row>
    <row r="828" spans="1:24" x14ac:dyDescent="0.2">
      <c r="A828">
        <v>7081500</v>
      </c>
      <c r="B828" t="s">
        <v>827</v>
      </c>
      <c r="C828">
        <v>1500</v>
      </c>
      <c r="D828">
        <v>1500</v>
      </c>
      <c r="E828">
        <v>10015</v>
      </c>
      <c r="F828">
        <v>105</v>
      </c>
      <c r="G828">
        <v>0</v>
      </c>
      <c r="H828">
        <v>0</v>
      </c>
      <c r="I828">
        <v>105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26</v>
      </c>
      <c r="Q828">
        <v>8</v>
      </c>
      <c r="R828">
        <v>0</v>
      </c>
      <c r="S828">
        <v>0</v>
      </c>
      <c r="T828">
        <v>8</v>
      </c>
      <c r="U828">
        <v>18</v>
      </c>
      <c r="V828">
        <v>14</v>
      </c>
      <c r="W828">
        <v>0</v>
      </c>
      <c r="X828">
        <v>0</v>
      </c>
    </row>
    <row r="829" spans="1:24" x14ac:dyDescent="0.2">
      <c r="A829">
        <v>7100000</v>
      </c>
      <c r="B829" t="s">
        <v>828</v>
      </c>
      <c r="C829">
        <v>0</v>
      </c>
      <c r="D829">
        <v>0</v>
      </c>
      <c r="E829">
        <v>10000</v>
      </c>
      <c r="F829">
        <v>104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43</v>
      </c>
      <c r="Q829">
        <v>38</v>
      </c>
      <c r="R829">
        <v>0</v>
      </c>
      <c r="S829">
        <v>0</v>
      </c>
      <c r="T829">
        <v>21</v>
      </c>
      <c r="U829">
        <v>8</v>
      </c>
      <c r="V829">
        <v>8</v>
      </c>
      <c r="W829">
        <v>0</v>
      </c>
      <c r="X829">
        <v>0</v>
      </c>
    </row>
    <row r="830" spans="1:24" x14ac:dyDescent="0.2">
      <c r="A830">
        <v>7100100</v>
      </c>
      <c r="B830" t="s">
        <v>829</v>
      </c>
      <c r="C830">
        <v>200</v>
      </c>
      <c r="D830">
        <v>6200</v>
      </c>
      <c r="E830">
        <v>10000</v>
      </c>
      <c r="F830">
        <v>104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>
        <v>0</v>
      </c>
      <c r="N830">
        <v>0</v>
      </c>
      <c r="O830">
        <v>0</v>
      </c>
      <c r="P830">
        <v>45</v>
      </c>
      <c r="Q830">
        <v>0</v>
      </c>
      <c r="R830">
        <v>0</v>
      </c>
      <c r="S830">
        <v>0</v>
      </c>
      <c r="T830">
        <v>21</v>
      </c>
      <c r="U830">
        <v>8</v>
      </c>
      <c r="V830">
        <v>8</v>
      </c>
      <c r="W830">
        <v>0</v>
      </c>
      <c r="X830">
        <v>0</v>
      </c>
    </row>
    <row r="831" spans="1:24" x14ac:dyDescent="0.2">
      <c r="A831">
        <v>7100200</v>
      </c>
      <c r="B831" t="s">
        <v>830</v>
      </c>
      <c r="C831">
        <v>100</v>
      </c>
      <c r="D831">
        <v>6300</v>
      </c>
      <c r="E831">
        <v>10000</v>
      </c>
      <c r="F831">
        <v>104</v>
      </c>
      <c r="G831">
        <v>0</v>
      </c>
      <c r="H831">
        <v>0</v>
      </c>
      <c r="I831">
        <v>0</v>
      </c>
      <c r="J831">
        <v>0</v>
      </c>
      <c r="K831">
        <v>2</v>
      </c>
      <c r="L831">
        <v>0</v>
      </c>
      <c r="M831">
        <v>0</v>
      </c>
      <c r="N831">
        <v>0</v>
      </c>
      <c r="O831">
        <v>0</v>
      </c>
      <c r="P831">
        <v>43</v>
      </c>
      <c r="Q831">
        <v>38</v>
      </c>
      <c r="R831">
        <v>0</v>
      </c>
      <c r="S831">
        <v>0</v>
      </c>
      <c r="T831">
        <v>21</v>
      </c>
      <c r="U831">
        <v>8</v>
      </c>
      <c r="V831">
        <v>8</v>
      </c>
      <c r="W831">
        <v>0</v>
      </c>
      <c r="X831">
        <v>0</v>
      </c>
    </row>
    <row r="832" spans="1:24" x14ac:dyDescent="0.2">
      <c r="A832">
        <v>7100300</v>
      </c>
      <c r="B832" t="s">
        <v>831</v>
      </c>
      <c r="C832">
        <v>300</v>
      </c>
      <c r="D832">
        <v>6100</v>
      </c>
      <c r="E832">
        <v>10000</v>
      </c>
      <c r="F832">
        <v>104</v>
      </c>
      <c r="G832">
        <v>0</v>
      </c>
      <c r="H832">
        <v>0</v>
      </c>
      <c r="I832">
        <v>0</v>
      </c>
      <c r="J832">
        <v>0</v>
      </c>
      <c r="K832">
        <v>8</v>
      </c>
      <c r="L832">
        <v>0</v>
      </c>
      <c r="M832">
        <v>0</v>
      </c>
      <c r="N832">
        <v>0</v>
      </c>
      <c r="O832">
        <v>0</v>
      </c>
      <c r="P832">
        <v>45</v>
      </c>
      <c r="Q832">
        <v>45</v>
      </c>
      <c r="R832">
        <v>0</v>
      </c>
      <c r="S832">
        <v>0</v>
      </c>
      <c r="T832">
        <v>21</v>
      </c>
      <c r="U832">
        <v>8</v>
      </c>
      <c r="V832">
        <v>8</v>
      </c>
      <c r="W832">
        <v>0</v>
      </c>
      <c r="X832">
        <v>0</v>
      </c>
    </row>
    <row r="833" spans="1:24" x14ac:dyDescent="0.2">
      <c r="A833">
        <v>7100400</v>
      </c>
      <c r="B833" t="s">
        <v>832</v>
      </c>
      <c r="C833">
        <v>500</v>
      </c>
      <c r="D833">
        <v>500</v>
      </c>
      <c r="E833">
        <v>10000</v>
      </c>
      <c r="F833">
        <v>104</v>
      </c>
      <c r="G833">
        <v>104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43</v>
      </c>
      <c r="Q833">
        <v>38</v>
      </c>
      <c r="R833">
        <v>81</v>
      </c>
      <c r="S833">
        <v>0</v>
      </c>
      <c r="T833">
        <v>21</v>
      </c>
      <c r="U833">
        <v>8</v>
      </c>
      <c r="V833">
        <v>8</v>
      </c>
      <c r="W833">
        <v>0</v>
      </c>
      <c r="X833">
        <v>0</v>
      </c>
    </row>
    <row r="834" spans="1:24" x14ac:dyDescent="0.2">
      <c r="A834">
        <v>7100500</v>
      </c>
      <c r="B834" t="s">
        <v>833</v>
      </c>
      <c r="C834">
        <v>400</v>
      </c>
      <c r="D834">
        <v>400</v>
      </c>
      <c r="E834">
        <v>10000</v>
      </c>
      <c r="F834">
        <v>104</v>
      </c>
      <c r="G834">
        <v>104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43</v>
      </c>
      <c r="Q834">
        <v>38</v>
      </c>
      <c r="R834">
        <v>81</v>
      </c>
      <c r="S834">
        <v>0</v>
      </c>
      <c r="T834">
        <v>21</v>
      </c>
      <c r="U834">
        <v>8</v>
      </c>
      <c r="V834">
        <v>8</v>
      </c>
      <c r="W834">
        <v>0</v>
      </c>
      <c r="X834">
        <v>0</v>
      </c>
    </row>
    <row r="835" spans="1:24" x14ac:dyDescent="0.2">
      <c r="A835">
        <v>7100600</v>
      </c>
      <c r="B835" t="s">
        <v>834</v>
      </c>
      <c r="C835">
        <v>600</v>
      </c>
      <c r="D835">
        <v>600</v>
      </c>
      <c r="E835">
        <v>10000</v>
      </c>
      <c r="F835">
        <v>104</v>
      </c>
      <c r="G835">
        <v>0</v>
      </c>
      <c r="H835">
        <v>104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43</v>
      </c>
      <c r="Q835">
        <v>38</v>
      </c>
      <c r="R835">
        <v>0</v>
      </c>
      <c r="S835">
        <v>0</v>
      </c>
      <c r="T835">
        <v>21</v>
      </c>
      <c r="U835">
        <v>8</v>
      </c>
      <c r="V835">
        <v>8</v>
      </c>
      <c r="W835">
        <v>0</v>
      </c>
      <c r="X835">
        <v>0</v>
      </c>
    </row>
    <row r="836" spans="1:24" x14ac:dyDescent="0.2">
      <c r="A836">
        <v>7100700</v>
      </c>
      <c r="B836" t="s">
        <v>835</v>
      </c>
      <c r="C836">
        <v>700</v>
      </c>
      <c r="D836">
        <v>700</v>
      </c>
      <c r="E836">
        <v>10000</v>
      </c>
      <c r="F836">
        <v>104</v>
      </c>
      <c r="G836">
        <v>0</v>
      </c>
      <c r="H836">
        <v>104</v>
      </c>
      <c r="I836">
        <v>0</v>
      </c>
      <c r="J836">
        <v>0</v>
      </c>
      <c r="K836">
        <v>0</v>
      </c>
      <c r="L836">
        <v>0</v>
      </c>
      <c r="M836">
        <v>4</v>
      </c>
      <c r="N836">
        <v>0</v>
      </c>
      <c r="O836">
        <v>0</v>
      </c>
      <c r="P836">
        <v>43</v>
      </c>
      <c r="Q836">
        <v>38</v>
      </c>
      <c r="R836">
        <v>81</v>
      </c>
      <c r="S836">
        <v>81</v>
      </c>
      <c r="T836">
        <v>21</v>
      </c>
      <c r="U836">
        <v>8</v>
      </c>
      <c r="V836">
        <v>8</v>
      </c>
      <c r="W836">
        <v>0</v>
      </c>
      <c r="X836">
        <v>0</v>
      </c>
    </row>
    <row r="837" spans="1:24" x14ac:dyDescent="0.2">
      <c r="A837">
        <v>7100800</v>
      </c>
      <c r="B837" t="s">
        <v>836</v>
      </c>
      <c r="C837">
        <v>800</v>
      </c>
      <c r="D837">
        <v>800</v>
      </c>
      <c r="E837">
        <v>10000</v>
      </c>
      <c r="F837">
        <v>104</v>
      </c>
      <c r="G837">
        <v>0</v>
      </c>
      <c r="H837">
        <v>0</v>
      </c>
      <c r="I837">
        <v>104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43</v>
      </c>
      <c r="Q837">
        <v>38</v>
      </c>
      <c r="R837">
        <v>0</v>
      </c>
      <c r="S837">
        <v>81</v>
      </c>
      <c r="T837">
        <v>21</v>
      </c>
      <c r="U837">
        <v>8</v>
      </c>
      <c r="V837">
        <v>8</v>
      </c>
      <c r="W837">
        <v>0</v>
      </c>
      <c r="X837">
        <v>0</v>
      </c>
    </row>
    <row r="838" spans="1:24" x14ac:dyDescent="0.2">
      <c r="A838">
        <v>7100900</v>
      </c>
      <c r="B838" t="s">
        <v>837</v>
      </c>
      <c r="C838">
        <v>900</v>
      </c>
      <c r="D838">
        <v>900</v>
      </c>
      <c r="E838">
        <v>10000</v>
      </c>
      <c r="F838">
        <v>104</v>
      </c>
      <c r="G838">
        <v>0</v>
      </c>
      <c r="H838">
        <v>0</v>
      </c>
      <c r="I838">
        <v>0</v>
      </c>
      <c r="J838">
        <v>104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43</v>
      </c>
      <c r="Q838">
        <v>38</v>
      </c>
      <c r="R838">
        <v>0</v>
      </c>
      <c r="S838">
        <v>0</v>
      </c>
      <c r="T838">
        <v>21</v>
      </c>
      <c r="U838">
        <v>8</v>
      </c>
      <c r="V838">
        <v>8</v>
      </c>
      <c r="W838">
        <v>0</v>
      </c>
      <c r="X838">
        <v>0</v>
      </c>
    </row>
    <row r="839" spans="1:24" x14ac:dyDescent="0.2">
      <c r="A839">
        <v>7101000</v>
      </c>
      <c r="B839" t="s">
        <v>838</v>
      </c>
      <c r="C839">
        <v>1000</v>
      </c>
      <c r="D839">
        <v>1000</v>
      </c>
      <c r="E839">
        <v>10000</v>
      </c>
      <c r="F839">
        <v>104</v>
      </c>
      <c r="G839">
        <v>0</v>
      </c>
      <c r="H839">
        <v>0</v>
      </c>
      <c r="I839">
        <v>0</v>
      </c>
      <c r="J839">
        <v>104</v>
      </c>
      <c r="K839">
        <v>0</v>
      </c>
      <c r="L839">
        <v>0</v>
      </c>
      <c r="M839">
        <v>0</v>
      </c>
      <c r="N839">
        <v>0</v>
      </c>
      <c r="O839">
        <v>4</v>
      </c>
      <c r="P839">
        <v>43</v>
      </c>
      <c r="Q839">
        <v>38</v>
      </c>
      <c r="R839">
        <v>81</v>
      </c>
      <c r="S839">
        <v>81</v>
      </c>
      <c r="T839">
        <v>21</v>
      </c>
      <c r="U839">
        <v>8</v>
      </c>
      <c r="V839">
        <v>8</v>
      </c>
      <c r="W839">
        <v>0</v>
      </c>
      <c r="X839">
        <v>0</v>
      </c>
    </row>
    <row r="840" spans="1:24" x14ac:dyDescent="0.2">
      <c r="A840">
        <v>7101100</v>
      </c>
      <c r="B840" t="s">
        <v>839</v>
      </c>
      <c r="C840">
        <v>1100</v>
      </c>
      <c r="D840">
        <v>1100</v>
      </c>
      <c r="E840">
        <v>10000</v>
      </c>
      <c r="F840">
        <v>104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43</v>
      </c>
      <c r="Q840">
        <v>38</v>
      </c>
      <c r="R840">
        <v>0</v>
      </c>
      <c r="S840">
        <v>0</v>
      </c>
      <c r="T840">
        <v>21</v>
      </c>
      <c r="U840">
        <v>8</v>
      </c>
      <c r="V840">
        <v>8</v>
      </c>
      <c r="W840">
        <v>0</v>
      </c>
      <c r="X840">
        <v>0</v>
      </c>
    </row>
    <row r="841" spans="1:24" x14ac:dyDescent="0.2">
      <c r="A841">
        <v>7101200</v>
      </c>
      <c r="B841" t="s">
        <v>840</v>
      </c>
      <c r="C841">
        <v>1200</v>
      </c>
      <c r="D841">
        <v>1200</v>
      </c>
      <c r="E841">
        <v>10000</v>
      </c>
      <c r="F841">
        <v>104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43</v>
      </c>
      <c r="Q841">
        <v>38</v>
      </c>
      <c r="R841">
        <v>0</v>
      </c>
      <c r="S841">
        <v>0</v>
      </c>
      <c r="T841">
        <v>21</v>
      </c>
      <c r="U841">
        <v>8</v>
      </c>
      <c r="V841">
        <v>8</v>
      </c>
      <c r="W841">
        <v>0</v>
      </c>
      <c r="X841">
        <v>0</v>
      </c>
    </row>
    <row r="842" spans="1:24" x14ac:dyDescent="0.2">
      <c r="A842">
        <v>7101300</v>
      </c>
      <c r="B842" t="s">
        <v>841</v>
      </c>
      <c r="C842">
        <v>1300</v>
      </c>
      <c r="D842">
        <v>1300</v>
      </c>
      <c r="E842">
        <v>10000</v>
      </c>
      <c r="F842">
        <v>109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43</v>
      </c>
      <c r="Q842">
        <v>38</v>
      </c>
      <c r="R842">
        <v>0</v>
      </c>
      <c r="S842">
        <v>0</v>
      </c>
      <c r="T842">
        <v>21</v>
      </c>
      <c r="U842">
        <v>8</v>
      </c>
      <c r="V842">
        <v>8</v>
      </c>
      <c r="W842">
        <v>0</v>
      </c>
      <c r="X842">
        <v>0</v>
      </c>
    </row>
    <row r="843" spans="1:24" x14ac:dyDescent="0.2">
      <c r="A843">
        <v>7101400</v>
      </c>
      <c r="B843" t="s">
        <v>842</v>
      </c>
      <c r="C843">
        <v>1400</v>
      </c>
      <c r="D843">
        <v>1400</v>
      </c>
      <c r="E843">
        <v>10014</v>
      </c>
      <c r="F843">
        <v>104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43</v>
      </c>
      <c r="Q843">
        <v>38</v>
      </c>
      <c r="R843">
        <v>0</v>
      </c>
      <c r="S843">
        <v>81</v>
      </c>
      <c r="T843">
        <v>21</v>
      </c>
      <c r="U843">
        <v>8</v>
      </c>
      <c r="V843">
        <v>8</v>
      </c>
      <c r="W843">
        <v>0</v>
      </c>
      <c r="X843">
        <v>0</v>
      </c>
    </row>
    <row r="844" spans="1:24" x14ac:dyDescent="0.2">
      <c r="A844">
        <v>7101500</v>
      </c>
      <c r="B844" t="s">
        <v>843</v>
      </c>
      <c r="C844">
        <v>1500</v>
      </c>
      <c r="D844">
        <v>1500</v>
      </c>
      <c r="E844">
        <v>10015</v>
      </c>
      <c r="F844">
        <v>104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43</v>
      </c>
      <c r="Q844">
        <v>38</v>
      </c>
      <c r="R844">
        <v>0</v>
      </c>
      <c r="S844">
        <v>0</v>
      </c>
      <c r="T844">
        <v>21</v>
      </c>
      <c r="U844">
        <v>8</v>
      </c>
      <c r="V844">
        <v>8</v>
      </c>
      <c r="W844">
        <v>0</v>
      </c>
      <c r="X844">
        <v>0</v>
      </c>
    </row>
    <row r="845" spans="1:24" x14ac:dyDescent="0.2">
      <c r="A845">
        <v>7110000</v>
      </c>
      <c r="B845" t="s">
        <v>844</v>
      </c>
      <c r="C845">
        <v>2000</v>
      </c>
      <c r="D845">
        <v>2100</v>
      </c>
      <c r="E845">
        <v>10000</v>
      </c>
      <c r="F845">
        <v>182</v>
      </c>
      <c r="G845">
        <v>0</v>
      </c>
      <c r="H845">
        <v>0</v>
      </c>
      <c r="I845">
        <v>68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42</v>
      </c>
      <c r="Q845">
        <v>13</v>
      </c>
      <c r="R845">
        <v>0</v>
      </c>
      <c r="S845">
        <v>36</v>
      </c>
      <c r="T845">
        <v>16</v>
      </c>
      <c r="U845">
        <v>40</v>
      </c>
      <c r="V845">
        <v>0</v>
      </c>
      <c r="W845">
        <v>0</v>
      </c>
      <c r="X845">
        <v>0</v>
      </c>
    </row>
    <row r="846" spans="1:24" x14ac:dyDescent="0.2">
      <c r="A846">
        <v>7120000</v>
      </c>
      <c r="B846" t="s">
        <v>845</v>
      </c>
      <c r="C846">
        <v>2000</v>
      </c>
      <c r="D846">
        <v>2100</v>
      </c>
      <c r="E846">
        <v>10000</v>
      </c>
      <c r="F846">
        <v>143</v>
      </c>
      <c r="G846">
        <v>0</v>
      </c>
      <c r="H846">
        <v>80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60</v>
      </c>
      <c r="Q846">
        <v>14</v>
      </c>
      <c r="R846">
        <v>25</v>
      </c>
      <c r="S846">
        <v>25</v>
      </c>
      <c r="T846">
        <v>22</v>
      </c>
      <c r="U846">
        <v>28</v>
      </c>
      <c r="V846">
        <v>0</v>
      </c>
      <c r="W846">
        <v>12</v>
      </c>
      <c r="X846">
        <v>12</v>
      </c>
    </row>
    <row r="847" spans="1:24" x14ac:dyDescent="0.2">
      <c r="A847">
        <v>7130000</v>
      </c>
      <c r="B847" t="s">
        <v>846</v>
      </c>
      <c r="C847">
        <v>2000</v>
      </c>
      <c r="D847">
        <v>2100</v>
      </c>
      <c r="E847">
        <v>10000</v>
      </c>
      <c r="F847">
        <v>142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31</v>
      </c>
      <c r="Q847">
        <v>15</v>
      </c>
      <c r="R847">
        <v>0</v>
      </c>
      <c r="S847">
        <v>0</v>
      </c>
      <c r="T847">
        <v>12</v>
      </c>
      <c r="U847">
        <v>20</v>
      </c>
      <c r="V847">
        <v>8</v>
      </c>
      <c r="W847">
        <v>0</v>
      </c>
      <c r="X847">
        <v>0</v>
      </c>
    </row>
    <row r="848" spans="1:24" x14ac:dyDescent="0.2">
      <c r="A848">
        <v>7150000</v>
      </c>
      <c r="B848" t="s">
        <v>847</v>
      </c>
      <c r="C848">
        <v>0</v>
      </c>
      <c r="D848">
        <v>0</v>
      </c>
      <c r="E848">
        <v>10000</v>
      </c>
      <c r="F848">
        <v>125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45</v>
      </c>
      <c r="Q848">
        <v>25</v>
      </c>
      <c r="R848">
        <v>0</v>
      </c>
      <c r="S848">
        <v>0</v>
      </c>
      <c r="T848">
        <v>17</v>
      </c>
      <c r="U848">
        <v>16</v>
      </c>
      <c r="V848">
        <v>13</v>
      </c>
      <c r="W848">
        <v>0</v>
      </c>
      <c r="X848">
        <v>0</v>
      </c>
    </row>
    <row r="849" spans="1:24" x14ac:dyDescent="0.2">
      <c r="A849">
        <v>7150100</v>
      </c>
      <c r="B849" t="s">
        <v>848</v>
      </c>
      <c r="C849">
        <v>200</v>
      </c>
      <c r="D849">
        <v>6200</v>
      </c>
      <c r="E849">
        <v>10000</v>
      </c>
      <c r="F849">
        <v>125</v>
      </c>
      <c r="G849">
        <v>0</v>
      </c>
      <c r="H849">
        <v>0</v>
      </c>
      <c r="I849">
        <v>0</v>
      </c>
      <c r="J849">
        <v>0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43</v>
      </c>
      <c r="Q849">
        <v>0</v>
      </c>
      <c r="R849">
        <v>0</v>
      </c>
      <c r="S849">
        <v>0</v>
      </c>
      <c r="T849">
        <v>17</v>
      </c>
      <c r="U849">
        <v>16</v>
      </c>
      <c r="V849">
        <v>13</v>
      </c>
      <c r="W849">
        <v>0</v>
      </c>
      <c r="X849">
        <v>0</v>
      </c>
    </row>
    <row r="850" spans="1:24" x14ac:dyDescent="0.2">
      <c r="A850">
        <v>7150200</v>
      </c>
      <c r="B850" t="s">
        <v>849</v>
      </c>
      <c r="C850">
        <v>100</v>
      </c>
      <c r="D850">
        <v>6300</v>
      </c>
      <c r="E850">
        <v>10000</v>
      </c>
      <c r="F850">
        <v>125</v>
      </c>
      <c r="G850">
        <v>0</v>
      </c>
      <c r="H850">
        <v>0</v>
      </c>
      <c r="I850">
        <v>0</v>
      </c>
      <c r="J850">
        <v>0</v>
      </c>
      <c r="K850">
        <v>2</v>
      </c>
      <c r="L850">
        <v>0</v>
      </c>
      <c r="M850">
        <v>0</v>
      </c>
      <c r="N850">
        <v>0</v>
      </c>
      <c r="O850">
        <v>0</v>
      </c>
      <c r="P850">
        <v>40</v>
      </c>
      <c r="Q850">
        <v>40</v>
      </c>
      <c r="R850">
        <v>0</v>
      </c>
      <c r="S850">
        <v>0</v>
      </c>
      <c r="T850">
        <v>17</v>
      </c>
      <c r="U850">
        <v>16</v>
      </c>
      <c r="V850">
        <v>13</v>
      </c>
      <c r="W850">
        <v>0</v>
      </c>
      <c r="X850">
        <v>0</v>
      </c>
    </row>
    <row r="851" spans="1:24" x14ac:dyDescent="0.2">
      <c r="A851">
        <v>7150300</v>
      </c>
      <c r="B851" t="s">
        <v>850</v>
      </c>
      <c r="C851">
        <v>300</v>
      </c>
      <c r="D851">
        <v>6100</v>
      </c>
      <c r="E851">
        <v>10000</v>
      </c>
      <c r="F851">
        <v>125</v>
      </c>
      <c r="G851">
        <v>0</v>
      </c>
      <c r="H851">
        <v>0</v>
      </c>
      <c r="I851">
        <v>0</v>
      </c>
      <c r="J851">
        <v>0</v>
      </c>
      <c r="K851">
        <v>8</v>
      </c>
      <c r="L851">
        <v>0</v>
      </c>
      <c r="M851">
        <v>0</v>
      </c>
      <c r="N851">
        <v>0</v>
      </c>
      <c r="O851">
        <v>0</v>
      </c>
      <c r="P851">
        <v>40</v>
      </c>
      <c r="Q851">
        <v>35</v>
      </c>
      <c r="R851">
        <v>0</v>
      </c>
      <c r="S851">
        <v>0</v>
      </c>
      <c r="T851">
        <v>17</v>
      </c>
      <c r="U851">
        <v>16</v>
      </c>
      <c r="V851">
        <v>13</v>
      </c>
      <c r="W851">
        <v>0</v>
      </c>
      <c r="X851">
        <v>0</v>
      </c>
    </row>
    <row r="852" spans="1:24" x14ac:dyDescent="0.2">
      <c r="A852">
        <v>7150400</v>
      </c>
      <c r="B852" t="s">
        <v>851</v>
      </c>
      <c r="C852">
        <v>500</v>
      </c>
      <c r="D852">
        <v>500</v>
      </c>
      <c r="E852">
        <v>10000</v>
      </c>
      <c r="F852">
        <v>120</v>
      </c>
      <c r="G852">
        <v>120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45</v>
      </c>
      <c r="Q852">
        <v>25</v>
      </c>
      <c r="R852">
        <v>70</v>
      </c>
      <c r="S852">
        <v>0</v>
      </c>
      <c r="T852">
        <v>17</v>
      </c>
      <c r="U852">
        <v>16</v>
      </c>
      <c r="V852">
        <v>13</v>
      </c>
      <c r="W852">
        <v>0</v>
      </c>
      <c r="X852">
        <v>0</v>
      </c>
    </row>
    <row r="853" spans="1:24" x14ac:dyDescent="0.2">
      <c r="A853">
        <v>7150500</v>
      </c>
      <c r="B853" t="s">
        <v>852</v>
      </c>
      <c r="C853">
        <v>400</v>
      </c>
      <c r="D853">
        <v>400</v>
      </c>
      <c r="E853">
        <v>10000</v>
      </c>
      <c r="F853">
        <v>120</v>
      </c>
      <c r="G853">
        <v>120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45</v>
      </c>
      <c r="Q853">
        <v>25</v>
      </c>
      <c r="R853">
        <v>70</v>
      </c>
      <c r="S853">
        <v>0</v>
      </c>
      <c r="T853">
        <v>17</v>
      </c>
      <c r="U853">
        <v>16</v>
      </c>
      <c r="V853">
        <v>13</v>
      </c>
      <c r="W853">
        <v>0</v>
      </c>
      <c r="X853">
        <v>0</v>
      </c>
    </row>
    <row r="854" spans="1:24" x14ac:dyDescent="0.2">
      <c r="A854">
        <v>7150600</v>
      </c>
      <c r="B854" t="s">
        <v>853</v>
      </c>
      <c r="C854">
        <v>600</v>
      </c>
      <c r="D854">
        <v>600</v>
      </c>
      <c r="E854">
        <v>10000</v>
      </c>
      <c r="F854">
        <v>115</v>
      </c>
      <c r="G854">
        <v>0</v>
      </c>
      <c r="H854">
        <v>115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45</v>
      </c>
      <c r="Q854">
        <v>25</v>
      </c>
      <c r="R854">
        <v>0</v>
      </c>
      <c r="S854">
        <v>0</v>
      </c>
      <c r="T854">
        <v>17</v>
      </c>
      <c r="U854">
        <v>16</v>
      </c>
      <c r="V854">
        <v>13</v>
      </c>
      <c r="W854">
        <v>0</v>
      </c>
      <c r="X854">
        <v>0</v>
      </c>
    </row>
    <row r="855" spans="1:24" x14ac:dyDescent="0.2">
      <c r="A855">
        <v>7150700</v>
      </c>
      <c r="B855" t="s">
        <v>854</v>
      </c>
      <c r="C855">
        <v>700</v>
      </c>
      <c r="D855">
        <v>700</v>
      </c>
      <c r="E855">
        <v>10000</v>
      </c>
      <c r="F855">
        <v>120</v>
      </c>
      <c r="G855">
        <v>0</v>
      </c>
      <c r="H855">
        <v>120</v>
      </c>
      <c r="I855">
        <v>0</v>
      </c>
      <c r="J855">
        <v>0</v>
      </c>
      <c r="K855">
        <v>0</v>
      </c>
      <c r="L855">
        <v>0</v>
      </c>
      <c r="M855">
        <v>4</v>
      </c>
      <c r="N855">
        <v>0</v>
      </c>
      <c r="O855">
        <v>0</v>
      </c>
      <c r="P855">
        <v>45</v>
      </c>
      <c r="Q855">
        <v>25</v>
      </c>
      <c r="R855">
        <v>70</v>
      </c>
      <c r="S855">
        <v>70</v>
      </c>
      <c r="T855">
        <v>17</v>
      </c>
      <c r="U855">
        <v>16</v>
      </c>
      <c r="V855">
        <v>13</v>
      </c>
      <c r="W855">
        <v>0</v>
      </c>
      <c r="X855">
        <v>0</v>
      </c>
    </row>
    <row r="856" spans="1:24" x14ac:dyDescent="0.2">
      <c r="A856">
        <v>7150800</v>
      </c>
      <c r="B856" t="s">
        <v>855</v>
      </c>
      <c r="C856">
        <v>800</v>
      </c>
      <c r="D856">
        <v>800</v>
      </c>
      <c r="E856">
        <v>10000</v>
      </c>
      <c r="F856">
        <v>120</v>
      </c>
      <c r="G856">
        <v>0</v>
      </c>
      <c r="H856">
        <v>0</v>
      </c>
      <c r="I856">
        <v>120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45</v>
      </c>
      <c r="Q856">
        <v>25</v>
      </c>
      <c r="R856">
        <v>0</v>
      </c>
      <c r="S856">
        <v>70</v>
      </c>
      <c r="T856">
        <v>17</v>
      </c>
      <c r="U856">
        <v>16</v>
      </c>
      <c r="V856">
        <v>13</v>
      </c>
      <c r="W856">
        <v>0</v>
      </c>
      <c r="X856">
        <v>0</v>
      </c>
    </row>
    <row r="857" spans="1:24" x14ac:dyDescent="0.2">
      <c r="A857">
        <v>7150900</v>
      </c>
      <c r="B857" t="s">
        <v>856</v>
      </c>
      <c r="C857">
        <v>900</v>
      </c>
      <c r="D857">
        <v>900</v>
      </c>
      <c r="E857">
        <v>10000</v>
      </c>
      <c r="F857">
        <v>115</v>
      </c>
      <c r="G857">
        <v>0</v>
      </c>
      <c r="H857">
        <v>0</v>
      </c>
      <c r="I857">
        <v>0</v>
      </c>
      <c r="J857">
        <v>115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45</v>
      </c>
      <c r="Q857">
        <v>25</v>
      </c>
      <c r="R857">
        <v>0</v>
      </c>
      <c r="S857">
        <v>0</v>
      </c>
      <c r="T857">
        <v>17</v>
      </c>
      <c r="U857">
        <v>16</v>
      </c>
      <c r="V857">
        <v>13</v>
      </c>
      <c r="W857">
        <v>0</v>
      </c>
      <c r="X857">
        <v>0</v>
      </c>
    </row>
    <row r="858" spans="1:24" x14ac:dyDescent="0.2">
      <c r="A858">
        <v>7151000</v>
      </c>
      <c r="B858" t="s">
        <v>857</v>
      </c>
      <c r="C858">
        <v>1000</v>
      </c>
      <c r="D858">
        <v>1000</v>
      </c>
      <c r="E858">
        <v>10000</v>
      </c>
      <c r="F858">
        <v>120</v>
      </c>
      <c r="G858">
        <v>0</v>
      </c>
      <c r="H858">
        <v>0</v>
      </c>
      <c r="I858">
        <v>0</v>
      </c>
      <c r="J858">
        <v>120</v>
      </c>
      <c r="K858">
        <v>0</v>
      </c>
      <c r="L858">
        <v>0</v>
      </c>
      <c r="M858">
        <v>0</v>
      </c>
      <c r="N858">
        <v>0</v>
      </c>
      <c r="O858">
        <v>4</v>
      </c>
      <c r="P858">
        <v>45</v>
      </c>
      <c r="Q858">
        <v>25</v>
      </c>
      <c r="R858">
        <v>70</v>
      </c>
      <c r="S858">
        <v>70</v>
      </c>
      <c r="T858">
        <v>17</v>
      </c>
      <c r="U858">
        <v>16</v>
      </c>
      <c r="V858">
        <v>13</v>
      </c>
      <c r="W858">
        <v>0</v>
      </c>
      <c r="X858">
        <v>0</v>
      </c>
    </row>
    <row r="859" spans="1:24" x14ac:dyDescent="0.2">
      <c r="A859">
        <v>7151100</v>
      </c>
      <c r="B859" t="s">
        <v>858</v>
      </c>
      <c r="C859">
        <v>1100</v>
      </c>
      <c r="D859">
        <v>1100</v>
      </c>
      <c r="E859">
        <v>10000</v>
      </c>
      <c r="F859">
        <v>125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45</v>
      </c>
      <c r="Q859">
        <v>25</v>
      </c>
      <c r="R859">
        <v>0</v>
      </c>
      <c r="S859">
        <v>0</v>
      </c>
      <c r="T859">
        <v>17</v>
      </c>
      <c r="U859">
        <v>16</v>
      </c>
      <c r="V859">
        <v>13</v>
      </c>
      <c r="W859">
        <v>0</v>
      </c>
      <c r="X859">
        <v>0</v>
      </c>
    </row>
    <row r="860" spans="1:24" x14ac:dyDescent="0.2">
      <c r="A860">
        <v>7151200</v>
      </c>
      <c r="B860" t="s">
        <v>859</v>
      </c>
      <c r="C860">
        <v>1200</v>
      </c>
      <c r="D860">
        <v>1200</v>
      </c>
      <c r="E860">
        <v>10000</v>
      </c>
      <c r="F860">
        <v>125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45</v>
      </c>
      <c r="Q860">
        <v>25</v>
      </c>
      <c r="R860">
        <v>0</v>
      </c>
      <c r="S860">
        <v>0</v>
      </c>
      <c r="T860">
        <v>17</v>
      </c>
      <c r="U860">
        <v>16</v>
      </c>
      <c r="V860">
        <v>13</v>
      </c>
      <c r="W860">
        <v>0</v>
      </c>
      <c r="X860">
        <v>0</v>
      </c>
    </row>
    <row r="861" spans="1:24" x14ac:dyDescent="0.2">
      <c r="A861">
        <v>7151300</v>
      </c>
      <c r="B861" t="s">
        <v>860</v>
      </c>
      <c r="C861">
        <v>1300</v>
      </c>
      <c r="D861">
        <v>1300</v>
      </c>
      <c r="E861">
        <v>10000</v>
      </c>
      <c r="F861">
        <v>125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45</v>
      </c>
      <c r="Q861">
        <v>25</v>
      </c>
      <c r="R861">
        <v>0</v>
      </c>
      <c r="S861">
        <v>0</v>
      </c>
      <c r="T861">
        <v>17</v>
      </c>
      <c r="U861">
        <v>16</v>
      </c>
      <c r="V861">
        <v>13</v>
      </c>
      <c r="W861">
        <v>0</v>
      </c>
      <c r="X861">
        <v>0</v>
      </c>
    </row>
    <row r="862" spans="1:24" x14ac:dyDescent="0.2">
      <c r="A862">
        <v>7151400</v>
      </c>
      <c r="B862" t="s">
        <v>861</v>
      </c>
      <c r="C862">
        <v>1400</v>
      </c>
      <c r="D862">
        <v>1400</v>
      </c>
      <c r="E862">
        <v>10014</v>
      </c>
      <c r="F862">
        <v>120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45</v>
      </c>
      <c r="Q862">
        <v>25</v>
      </c>
      <c r="R862">
        <v>0</v>
      </c>
      <c r="S862">
        <v>70</v>
      </c>
      <c r="T862">
        <v>17</v>
      </c>
      <c r="U862">
        <v>16</v>
      </c>
      <c r="V862">
        <v>13</v>
      </c>
      <c r="W862">
        <v>0</v>
      </c>
      <c r="X862">
        <v>0</v>
      </c>
    </row>
    <row r="863" spans="1:24" x14ac:dyDescent="0.2">
      <c r="A863">
        <v>7151500</v>
      </c>
      <c r="B863" t="s">
        <v>862</v>
      </c>
      <c r="C863">
        <v>1500</v>
      </c>
      <c r="D863">
        <v>1500</v>
      </c>
      <c r="E863">
        <v>10015</v>
      </c>
      <c r="F863">
        <v>125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45</v>
      </c>
      <c r="Q863">
        <v>25</v>
      </c>
      <c r="R863">
        <v>0</v>
      </c>
      <c r="S863">
        <v>0</v>
      </c>
      <c r="T863">
        <v>17</v>
      </c>
      <c r="U863">
        <v>16</v>
      </c>
      <c r="V863">
        <v>13</v>
      </c>
      <c r="W863">
        <v>0</v>
      </c>
      <c r="X863">
        <v>0</v>
      </c>
    </row>
    <row r="864" spans="1:24" x14ac:dyDescent="0.2">
      <c r="A864">
        <v>7170000</v>
      </c>
      <c r="B864" t="s">
        <v>863</v>
      </c>
      <c r="C864">
        <v>0</v>
      </c>
      <c r="D864">
        <v>0</v>
      </c>
      <c r="E864">
        <v>10000</v>
      </c>
      <c r="F864">
        <v>135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55</v>
      </c>
      <c r="Q864">
        <v>10</v>
      </c>
      <c r="R864">
        <v>0</v>
      </c>
      <c r="S864">
        <v>0</v>
      </c>
      <c r="T864">
        <v>14</v>
      </c>
      <c r="U864">
        <v>15</v>
      </c>
      <c r="V864">
        <v>10</v>
      </c>
      <c r="W864">
        <v>0</v>
      </c>
      <c r="X864">
        <v>0</v>
      </c>
    </row>
    <row r="865" spans="1:24" x14ac:dyDescent="0.2">
      <c r="A865">
        <v>7170100</v>
      </c>
      <c r="B865" t="s">
        <v>864</v>
      </c>
      <c r="C865">
        <v>200</v>
      </c>
      <c r="D865">
        <v>100</v>
      </c>
      <c r="E865">
        <v>10000</v>
      </c>
      <c r="F865">
        <v>135</v>
      </c>
      <c r="G865">
        <v>0</v>
      </c>
      <c r="H865">
        <v>0</v>
      </c>
      <c r="I865">
        <v>0</v>
      </c>
      <c r="J865">
        <v>0</v>
      </c>
      <c r="K865">
        <v>1</v>
      </c>
      <c r="L865">
        <v>0</v>
      </c>
      <c r="M865">
        <v>0</v>
      </c>
      <c r="N865">
        <v>0</v>
      </c>
      <c r="O865">
        <v>0</v>
      </c>
      <c r="P865">
        <v>45</v>
      </c>
      <c r="Q865">
        <v>0</v>
      </c>
      <c r="R865">
        <v>0</v>
      </c>
      <c r="S865">
        <v>0</v>
      </c>
      <c r="T865">
        <v>14</v>
      </c>
      <c r="U865">
        <v>15</v>
      </c>
      <c r="V865">
        <v>10</v>
      </c>
      <c r="W865">
        <v>0</v>
      </c>
      <c r="X865">
        <v>0</v>
      </c>
    </row>
    <row r="866" spans="1:24" x14ac:dyDescent="0.2">
      <c r="A866">
        <v>7170200</v>
      </c>
      <c r="B866" t="s">
        <v>865</v>
      </c>
      <c r="C866">
        <v>100</v>
      </c>
      <c r="D866">
        <v>200</v>
      </c>
      <c r="E866">
        <v>10000</v>
      </c>
      <c r="F866">
        <v>135</v>
      </c>
      <c r="G866">
        <v>0</v>
      </c>
      <c r="H866">
        <v>0</v>
      </c>
      <c r="I866">
        <v>0</v>
      </c>
      <c r="J866">
        <v>0</v>
      </c>
      <c r="K866">
        <v>2</v>
      </c>
      <c r="L866">
        <v>0</v>
      </c>
      <c r="M866">
        <v>0</v>
      </c>
      <c r="N866">
        <v>0</v>
      </c>
      <c r="O866">
        <v>0</v>
      </c>
      <c r="P866">
        <v>11</v>
      </c>
      <c r="Q866">
        <v>38</v>
      </c>
      <c r="R866">
        <v>0</v>
      </c>
      <c r="S866">
        <v>0</v>
      </c>
      <c r="T866">
        <v>14</v>
      </c>
      <c r="U866">
        <v>15</v>
      </c>
      <c r="V866">
        <v>10</v>
      </c>
      <c r="W866">
        <v>0</v>
      </c>
      <c r="X866">
        <v>0</v>
      </c>
    </row>
    <row r="867" spans="1:24" x14ac:dyDescent="0.2">
      <c r="A867">
        <v>7170300</v>
      </c>
      <c r="B867" t="s">
        <v>866</v>
      </c>
      <c r="C867">
        <v>300</v>
      </c>
      <c r="D867">
        <v>300</v>
      </c>
      <c r="E867">
        <v>10000</v>
      </c>
      <c r="F867">
        <v>135</v>
      </c>
      <c r="G867">
        <v>0</v>
      </c>
      <c r="H867">
        <v>0</v>
      </c>
      <c r="I867">
        <v>0</v>
      </c>
      <c r="J867">
        <v>0</v>
      </c>
      <c r="K867">
        <v>8</v>
      </c>
      <c r="L867">
        <v>0</v>
      </c>
      <c r="M867">
        <v>0</v>
      </c>
      <c r="N867">
        <v>0</v>
      </c>
      <c r="O867">
        <v>0</v>
      </c>
      <c r="P867">
        <v>44</v>
      </c>
      <c r="Q867">
        <v>44</v>
      </c>
      <c r="R867">
        <v>0</v>
      </c>
      <c r="S867">
        <v>0</v>
      </c>
      <c r="T867">
        <v>14</v>
      </c>
      <c r="U867">
        <v>15</v>
      </c>
      <c r="V867">
        <v>10</v>
      </c>
      <c r="W867">
        <v>0</v>
      </c>
      <c r="X867">
        <v>0</v>
      </c>
    </row>
    <row r="868" spans="1:24" x14ac:dyDescent="0.2">
      <c r="A868">
        <v>7170400</v>
      </c>
      <c r="B868" t="s">
        <v>867</v>
      </c>
      <c r="C868">
        <v>500</v>
      </c>
      <c r="D868">
        <v>500</v>
      </c>
      <c r="E868">
        <v>10000</v>
      </c>
      <c r="F868">
        <v>130</v>
      </c>
      <c r="G868">
        <v>130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55</v>
      </c>
      <c r="Q868">
        <v>10</v>
      </c>
      <c r="R868">
        <v>65</v>
      </c>
      <c r="S868">
        <v>0</v>
      </c>
      <c r="T868">
        <v>14</v>
      </c>
      <c r="U868">
        <v>15</v>
      </c>
      <c r="V868">
        <v>10</v>
      </c>
      <c r="W868">
        <v>0</v>
      </c>
      <c r="X868">
        <v>0</v>
      </c>
    </row>
    <row r="869" spans="1:24" x14ac:dyDescent="0.2">
      <c r="A869">
        <v>7170500</v>
      </c>
      <c r="B869" t="s">
        <v>868</v>
      </c>
      <c r="C869">
        <v>400</v>
      </c>
      <c r="D869">
        <v>400</v>
      </c>
      <c r="E869">
        <v>10000</v>
      </c>
      <c r="F869">
        <v>130</v>
      </c>
      <c r="G869">
        <v>130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55</v>
      </c>
      <c r="Q869">
        <v>10</v>
      </c>
      <c r="R869">
        <v>65</v>
      </c>
      <c r="S869">
        <v>0</v>
      </c>
      <c r="T869">
        <v>14</v>
      </c>
      <c r="U869">
        <v>15</v>
      </c>
      <c r="V869">
        <v>10</v>
      </c>
      <c r="W869">
        <v>0</v>
      </c>
      <c r="X869">
        <v>0</v>
      </c>
    </row>
    <row r="870" spans="1:24" x14ac:dyDescent="0.2">
      <c r="A870">
        <v>7170600</v>
      </c>
      <c r="B870" t="s">
        <v>869</v>
      </c>
      <c r="C870">
        <v>600</v>
      </c>
      <c r="D870">
        <v>600</v>
      </c>
      <c r="E870">
        <v>10000</v>
      </c>
      <c r="F870">
        <v>120</v>
      </c>
      <c r="G870">
        <v>0</v>
      </c>
      <c r="H870">
        <v>120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55</v>
      </c>
      <c r="Q870">
        <v>10</v>
      </c>
      <c r="R870">
        <v>0</v>
      </c>
      <c r="S870">
        <v>0</v>
      </c>
      <c r="T870">
        <v>14</v>
      </c>
      <c r="U870">
        <v>15</v>
      </c>
      <c r="V870">
        <v>10</v>
      </c>
      <c r="W870">
        <v>0</v>
      </c>
      <c r="X870">
        <v>0</v>
      </c>
    </row>
    <row r="871" spans="1:24" x14ac:dyDescent="0.2">
      <c r="A871">
        <v>7170700</v>
      </c>
      <c r="B871" t="s">
        <v>870</v>
      </c>
      <c r="C871">
        <v>700</v>
      </c>
      <c r="D871">
        <v>700</v>
      </c>
      <c r="E871">
        <v>10000</v>
      </c>
      <c r="F871">
        <v>130</v>
      </c>
      <c r="G871">
        <v>0</v>
      </c>
      <c r="H871">
        <v>130</v>
      </c>
      <c r="I871">
        <v>0</v>
      </c>
      <c r="J871">
        <v>0</v>
      </c>
      <c r="K871">
        <v>0</v>
      </c>
      <c r="L871">
        <v>0</v>
      </c>
      <c r="M871">
        <v>4</v>
      </c>
      <c r="N871">
        <v>0</v>
      </c>
      <c r="O871">
        <v>0</v>
      </c>
      <c r="P871">
        <v>55</v>
      </c>
      <c r="Q871">
        <v>10</v>
      </c>
      <c r="R871">
        <v>65</v>
      </c>
      <c r="S871">
        <v>65</v>
      </c>
      <c r="T871">
        <v>14</v>
      </c>
      <c r="U871">
        <v>15</v>
      </c>
      <c r="V871">
        <v>10</v>
      </c>
      <c r="W871">
        <v>0</v>
      </c>
      <c r="X871">
        <v>0</v>
      </c>
    </row>
    <row r="872" spans="1:24" x14ac:dyDescent="0.2">
      <c r="A872">
        <v>7170800</v>
      </c>
      <c r="B872" t="s">
        <v>871</v>
      </c>
      <c r="C872">
        <v>800</v>
      </c>
      <c r="D872">
        <v>800</v>
      </c>
      <c r="E872">
        <v>10000</v>
      </c>
      <c r="F872">
        <v>130</v>
      </c>
      <c r="G872">
        <v>0</v>
      </c>
      <c r="H872">
        <v>0</v>
      </c>
      <c r="I872">
        <v>130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55</v>
      </c>
      <c r="Q872">
        <v>10</v>
      </c>
      <c r="R872">
        <v>0</v>
      </c>
      <c r="S872">
        <v>65</v>
      </c>
      <c r="T872">
        <v>14</v>
      </c>
      <c r="U872">
        <v>15</v>
      </c>
      <c r="V872">
        <v>10</v>
      </c>
      <c r="W872">
        <v>0</v>
      </c>
      <c r="X872">
        <v>0</v>
      </c>
    </row>
    <row r="873" spans="1:24" x14ac:dyDescent="0.2">
      <c r="A873">
        <v>7170900</v>
      </c>
      <c r="B873" t="s">
        <v>872</v>
      </c>
      <c r="C873">
        <v>900</v>
      </c>
      <c r="D873">
        <v>900</v>
      </c>
      <c r="E873">
        <v>10000</v>
      </c>
      <c r="F873">
        <v>120</v>
      </c>
      <c r="G873">
        <v>0</v>
      </c>
      <c r="H873">
        <v>0</v>
      </c>
      <c r="I873">
        <v>0</v>
      </c>
      <c r="J873">
        <v>120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55</v>
      </c>
      <c r="Q873">
        <v>10</v>
      </c>
      <c r="R873">
        <v>0</v>
      </c>
      <c r="S873">
        <v>0</v>
      </c>
      <c r="T873">
        <v>14</v>
      </c>
      <c r="U873">
        <v>15</v>
      </c>
      <c r="V873">
        <v>10</v>
      </c>
      <c r="W873">
        <v>0</v>
      </c>
      <c r="X873">
        <v>0</v>
      </c>
    </row>
    <row r="874" spans="1:24" x14ac:dyDescent="0.2">
      <c r="A874">
        <v>7171000</v>
      </c>
      <c r="B874" t="s">
        <v>873</v>
      </c>
      <c r="C874">
        <v>1000</v>
      </c>
      <c r="D874">
        <v>1000</v>
      </c>
      <c r="E874">
        <v>10000</v>
      </c>
      <c r="F874">
        <v>130</v>
      </c>
      <c r="G874">
        <v>0</v>
      </c>
      <c r="H874">
        <v>0</v>
      </c>
      <c r="I874">
        <v>0</v>
      </c>
      <c r="J874">
        <v>130</v>
      </c>
      <c r="K874">
        <v>0</v>
      </c>
      <c r="L874">
        <v>0</v>
      </c>
      <c r="M874">
        <v>0</v>
      </c>
      <c r="N874">
        <v>0</v>
      </c>
      <c r="O874">
        <v>4</v>
      </c>
      <c r="P874">
        <v>55</v>
      </c>
      <c r="Q874">
        <v>10</v>
      </c>
      <c r="R874">
        <v>65</v>
      </c>
      <c r="S874">
        <v>65</v>
      </c>
      <c r="T874">
        <v>14</v>
      </c>
      <c r="U874">
        <v>15</v>
      </c>
      <c r="V874">
        <v>10</v>
      </c>
      <c r="W874">
        <v>0</v>
      </c>
      <c r="X874">
        <v>0</v>
      </c>
    </row>
    <row r="875" spans="1:24" x14ac:dyDescent="0.2">
      <c r="A875">
        <v>7171100</v>
      </c>
      <c r="B875" t="s">
        <v>874</v>
      </c>
      <c r="C875">
        <v>1100</v>
      </c>
      <c r="D875">
        <v>1100</v>
      </c>
      <c r="E875">
        <v>10000</v>
      </c>
      <c r="F875">
        <v>135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55</v>
      </c>
      <c r="Q875">
        <v>10</v>
      </c>
      <c r="R875">
        <v>0</v>
      </c>
      <c r="S875">
        <v>0</v>
      </c>
      <c r="T875">
        <v>14</v>
      </c>
      <c r="U875">
        <v>15</v>
      </c>
      <c r="V875">
        <v>10</v>
      </c>
      <c r="W875">
        <v>0</v>
      </c>
      <c r="X875">
        <v>0</v>
      </c>
    </row>
    <row r="876" spans="1:24" x14ac:dyDescent="0.2">
      <c r="A876">
        <v>7171200</v>
      </c>
      <c r="B876" t="s">
        <v>875</v>
      </c>
      <c r="C876">
        <v>1200</v>
      </c>
      <c r="D876">
        <v>1200</v>
      </c>
      <c r="E876">
        <v>10000</v>
      </c>
      <c r="F876">
        <v>135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55</v>
      </c>
      <c r="Q876">
        <v>10</v>
      </c>
      <c r="R876">
        <v>0</v>
      </c>
      <c r="S876">
        <v>0</v>
      </c>
      <c r="T876">
        <v>14</v>
      </c>
      <c r="U876">
        <v>15</v>
      </c>
      <c r="V876">
        <v>10</v>
      </c>
      <c r="W876">
        <v>0</v>
      </c>
      <c r="X876">
        <v>0</v>
      </c>
    </row>
    <row r="877" spans="1:24" x14ac:dyDescent="0.2">
      <c r="A877">
        <v>7171300</v>
      </c>
      <c r="B877" t="s">
        <v>876</v>
      </c>
      <c r="C877">
        <v>1300</v>
      </c>
      <c r="D877">
        <v>1300</v>
      </c>
      <c r="E877">
        <v>10000</v>
      </c>
      <c r="F877">
        <v>135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55</v>
      </c>
      <c r="Q877">
        <v>10</v>
      </c>
      <c r="R877">
        <v>0</v>
      </c>
      <c r="S877">
        <v>0</v>
      </c>
      <c r="T877">
        <v>14</v>
      </c>
      <c r="U877">
        <v>15</v>
      </c>
      <c r="V877">
        <v>10</v>
      </c>
      <c r="W877">
        <v>0</v>
      </c>
      <c r="X877">
        <v>0</v>
      </c>
    </row>
    <row r="878" spans="1:24" x14ac:dyDescent="0.2">
      <c r="A878">
        <v>7171400</v>
      </c>
      <c r="B878" t="s">
        <v>877</v>
      </c>
      <c r="C878">
        <v>1400</v>
      </c>
      <c r="D878">
        <v>1400</v>
      </c>
      <c r="E878">
        <v>10014</v>
      </c>
      <c r="F878">
        <v>130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55</v>
      </c>
      <c r="Q878">
        <v>10</v>
      </c>
      <c r="R878">
        <v>0</v>
      </c>
      <c r="S878">
        <v>65</v>
      </c>
      <c r="T878">
        <v>14</v>
      </c>
      <c r="U878">
        <v>15</v>
      </c>
      <c r="V878">
        <v>10</v>
      </c>
      <c r="W878">
        <v>0</v>
      </c>
      <c r="X878">
        <v>0</v>
      </c>
    </row>
    <row r="879" spans="1:24" x14ac:dyDescent="0.2">
      <c r="A879">
        <v>7171500</v>
      </c>
      <c r="B879" t="s">
        <v>878</v>
      </c>
      <c r="C879">
        <v>1500</v>
      </c>
      <c r="D879">
        <v>1500</v>
      </c>
      <c r="E879">
        <v>10015</v>
      </c>
      <c r="F879">
        <v>135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55</v>
      </c>
      <c r="Q879">
        <v>10</v>
      </c>
      <c r="R879">
        <v>0</v>
      </c>
      <c r="S879">
        <v>0</v>
      </c>
      <c r="T879">
        <v>14</v>
      </c>
      <c r="U879">
        <v>15</v>
      </c>
      <c r="V879">
        <v>10</v>
      </c>
      <c r="W879">
        <v>0</v>
      </c>
      <c r="X879">
        <v>0</v>
      </c>
    </row>
    <row r="880" spans="1:24" x14ac:dyDescent="0.2">
      <c r="A880">
        <v>7180000</v>
      </c>
      <c r="B880" t="s">
        <v>879</v>
      </c>
      <c r="C880">
        <v>2000</v>
      </c>
      <c r="D880">
        <v>2100</v>
      </c>
      <c r="E880">
        <v>12000</v>
      </c>
      <c r="F880">
        <v>140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64</v>
      </c>
      <c r="Q880">
        <v>0</v>
      </c>
      <c r="R880">
        <v>0</v>
      </c>
      <c r="S880">
        <v>46</v>
      </c>
      <c r="T880">
        <v>19</v>
      </c>
      <c r="U880">
        <v>24</v>
      </c>
      <c r="V880">
        <v>0</v>
      </c>
      <c r="W880">
        <v>0</v>
      </c>
      <c r="X880">
        <v>15</v>
      </c>
    </row>
    <row r="881" spans="1:24" x14ac:dyDescent="0.2">
      <c r="A881">
        <v>8000000</v>
      </c>
      <c r="B881" t="s">
        <v>880</v>
      </c>
      <c r="C881">
        <v>0</v>
      </c>
      <c r="D881">
        <v>0</v>
      </c>
      <c r="E881">
        <v>10000</v>
      </c>
      <c r="F881">
        <v>108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65</v>
      </c>
      <c r="Q881">
        <v>0</v>
      </c>
      <c r="R881">
        <v>0</v>
      </c>
      <c r="S881">
        <v>0</v>
      </c>
      <c r="T881">
        <v>13</v>
      </c>
      <c r="U881">
        <v>10</v>
      </c>
      <c r="V881">
        <v>0</v>
      </c>
      <c r="W881">
        <v>0</v>
      </c>
      <c r="X881">
        <v>0</v>
      </c>
    </row>
    <row r="882" spans="1:24" x14ac:dyDescent="0.2">
      <c r="A882">
        <v>8000100</v>
      </c>
      <c r="B882" t="s">
        <v>881</v>
      </c>
      <c r="C882">
        <v>200</v>
      </c>
      <c r="D882">
        <v>4000</v>
      </c>
      <c r="E882">
        <v>10000</v>
      </c>
      <c r="F882">
        <v>108</v>
      </c>
      <c r="G882">
        <v>0</v>
      </c>
      <c r="H882">
        <v>0</v>
      </c>
      <c r="I882">
        <v>0</v>
      </c>
      <c r="J882">
        <v>0</v>
      </c>
      <c r="K882">
        <v>1</v>
      </c>
      <c r="L882">
        <v>0</v>
      </c>
      <c r="M882">
        <v>0</v>
      </c>
      <c r="N882">
        <v>0</v>
      </c>
      <c r="O882">
        <v>0</v>
      </c>
      <c r="P882">
        <v>65</v>
      </c>
      <c r="Q882">
        <v>0</v>
      </c>
      <c r="R882">
        <v>0</v>
      </c>
      <c r="S882">
        <v>0</v>
      </c>
      <c r="T882">
        <v>13</v>
      </c>
      <c r="U882">
        <v>10</v>
      </c>
      <c r="V882">
        <v>0</v>
      </c>
      <c r="W882">
        <v>0</v>
      </c>
      <c r="X882">
        <v>0</v>
      </c>
    </row>
    <row r="883" spans="1:24" x14ac:dyDescent="0.2">
      <c r="A883">
        <v>8000200</v>
      </c>
      <c r="B883" t="s">
        <v>882</v>
      </c>
      <c r="C883">
        <v>100</v>
      </c>
      <c r="D883">
        <v>200</v>
      </c>
      <c r="E883">
        <v>10000</v>
      </c>
      <c r="F883">
        <v>108</v>
      </c>
      <c r="G883">
        <v>0</v>
      </c>
      <c r="H883">
        <v>0</v>
      </c>
      <c r="I883">
        <v>0</v>
      </c>
      <c r="J883">
        <v>0</v>
      </c>
      <c r="K883">
        <v>2</v>
      </c>
      <c r="L883">
        <v>0</v>
      </c>
      <c r="M883">
        <v>0</v>
      </c>
      <c r="N883">
        <v>0</v>
      </c>
      <c r="O883">
        <v>0</v>
      </c>
      <c r="P883">
        <v>13</v>
      </c>
      <c r="Q883">
        <v>42</v>
      </c>
      <c r="R883">
        <v>0</v>
      </c>
      <c r="S883">
        <v>0</v>
      </c>
      <c r="T883">
        <v>13</v>
      </c>
      <c r="U883">
        <v>10</v>
      </c>
      <c r="V883">
        <v>0</v>
      </c>
      <c r="W883">
        <v>0</v>
      </c>
      <c r="X883">
        <v>0</v>
      </c>
    </row>
    <row r="884" spans="1:24" x14ac:dyDescent="0.2">
      <c r="A884">
        <v>8000300</v>
      </c>
      <c r="B884" t="s">
        <v>883</v>
      </c>
      <c r="C884">
        <v>300</v>
      </c>
      <c r="D884">
        <v>4100</v>
      </c>
      <c r="E884">
        <v>10000</v>
      </c>
      <c r="F884">
        <v>108</v>
      </c>
      <c r="G884">
        <v>0</v>
      </c>
      <c r="H884">
        <v>0</v>
      </c>
      <c r="I884">
        <v>0</v>
      </c>
      <c r="J884">
        <v>0</v>
      </c>
      <c r="K884">
        <v>8</v>
      </c>
      <c r="L884">
        <v>0</v>
      </c>
      <c r="M884">
        <v>0</v>
      </c>
      <c r="N884">
        <v>0</v>
      </c>
      <c r="O884">
        <v>0</v>
      </c>
      <c r="P884">
        <v>52</v>
      </c>
      <c r="Q884">
        <v>52</v>
      </c>
      <c r="R884">
        <v>0</v>
      </c>
      <c r="S884">
        <v>0</v>
      </c>
      <c r="T884">
        <v>13</v>
      </c>
      <c r="U884">
        <v>10</v>
      </c>
      <c r="V884">
        <v>0</v>
      </c>
      <c r="W884">
        <v>0</v>
      </c>
      <c r="X884">
        <v>0</v>
      </c>
    </row>
    <row r="885" spans="1:24" x14ac:dyDescent="0.2">
      <c r="A885">
        <v>8000400</v>
      </c>
      <c r="B885" t="s">
        <v>884</v>
      </c>
      <c r="C885">
        <v>500</v>
      </c>
      <c r="D885">
        <v>500</v>
      </c>
      <c r="E885">
        <v>10000</v>
      </c>
      <c r="F885">
        <v>113</v>
      </c>
      <c r="G885">
        <v>113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65</v>
      </c>
      <c r="Q885">
        <v>0</v>
      </c>
      <c r="R885">
        <v>65</v>
      </c>
      <c r="S885">
        <v>0</v>
      </c>
      <c r="T885">
        <v>13</v>
      </c>
      <c r="U885">
        <v>10</v>
      </c>
      <c r="V885">
        <v>0</v>
      </c>
      <c r="W885">
        <v>0</v>
      </c>
      <c r="X885">
        <v>0</v>
      </c>
    </row>
    <row r="886" spans="1:24" x14ac:dyDescent="0.2">
      <c r="A886">
        <v>8000500</v>
      </c>
      <c r="B886" t="s">
        <v>885</v>
      </c>
      <c r="C886">
        <v>400</v>
      </c>
      <c r="D886">
        <v>400</v>
      </c>
      <c r="E886">
        <v>10000</v>
      </c>
      <c r="F886">
        <v>113</v>
      </c>
      <c r="G886">
        <v>113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65</v>
      </c>
      <c r="Q886">
        <v>0</v>
      </c>
      <c r="R886">
        <v>65</v>
      </c>
      <c r="S886">
        <v>0</v>
      </c>
      <c r="T886">
        <v>13</v>
      </c>
      <c r="U886">
        <v>10</v>
      </c>
      <c r="V886">
        <v>0</v>
      </c>
      <c r="W886">
        <v>0</v>
      </c>
      <c r="X886">
        <v>0</v>
      </c>
    </row>
    <row r="887" spans="1:24" x14ac:dyDescent="0.2">
      <c r="A887">
        <v>8000600</v>
      </c>
      <c r="B887" t="s">
        <v>886</v>
      </c>
      <c r="C887">
        <v>600</v>
      </c>
      <c r="D887">
        <v>600</v>
      </c>
      <c r="E887">
        <v>10000</v>
      </c>
      <c r="F887">
        <v>108</v>
      </c>
      <c r="G887">
        <v>0</v>
      </c>
      <c r="H887">
        <v>108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65</v>
      </c>
      <c r="Q887">
        <v>0</v>
      </c>
      <c r="R887">
        <v>0</v>
      </c>
      <c r="S887">
        <v>0</v>
      </c>
      <c r="T887">
        <v>13</v>
      </c>
      <c r="U887">
        <v>10</v>
      </c>
      <c r="V887">
        <v>0</v>
      </c>
      <c r="W887">
        <v>0</v>
      </c>
      <c r="X887">
        <v>0</v>
      </c>
    </row>
    <row r="888" spans="1:24" x14ac:dyDescent="0.2">
      <c r="A888">
        <v>8000700</v>
      </c>
      <c r="B888" t="s">
        <v>887</v>
      </c>
      <c r="C888">
        <v>700</v>
      </c>
      <c r="D888">
        <v>700</v>
      </c>
      <c r="E888">
        <v>10000</v>
      </c>
      <c r="F888">
        <v>113</v>
      </c>
      <c r="G888">
        <v>0</v>
      </c>
      <c r="H888">
        <v>113</v>
      </c>
      <c r="I888">
        <v>0</v>
      </c>
      <c r="J888">
        <v>0</v>
      </c>
      <c r="K888">
        <v>0</v>
      </c>
      <c r="L888">
        <v>0</v>
      </c>
      <c r="M888">
        <v>4</v>
      </c>
      <c r="N888">
        <v>0</v>
      </c>
      <c r="O888">
        <v>0</v>
      </c>
      <c r="P888">
        <v>65</v>
      </c>
      <c r="Q888">
        <v>0</v>
      </c>
      <c r="R888">
        <v>65</v>
      </c>
      <c r="S888">
        <v>65</v>
      </c>
      <c r="T888">
        <v>13</v>
      </c>
      <c r="U888">
        <v>10</v>
      </c>
      <c r="V888">
        <v>0</v>
      </c>
      <c r="W888">
        <v>0</v>
      </c>
      <c r="X888">
        <v>0</v>
      </c>
    </row>
    <row r="889" spans="1:24" x14ac:dyDescent="0.2">
      <c r="A889">
        <v>8000800</v>
      </c>
      <c r="B889" t="s">
        <v>888</v>
      </c>
      <c r="C889">
        <v>800</v>
      </c>
      <c r="D889">
        <v>800</v>
      </c>
      <c r="E889">
        <v>10000</v>
      </c>
      <c r="F889">
        <v>113</v>
      </c>
      <c r="G889">
        <v>0</v>
      </c>
      <c r="H889">
        <v>0</v>
      </c>
      <c r="I889">
        <v>113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65</v>
      </c>
      <c r="Q889">
        <v>0</v>
      </c>
      <c r="R889">
        <v>0</v>
      </c>
      <c r="S889">
        <v>65</v>
      </c>
      <c r="T889">
        <v>13</v>
      </c>
      <c r="U889">
        <v>10</v>
      </c>
      <c r="V889">
        <v>0</v>
      </c>
      <c r="W889">
        <v>0</v>
      </c>
      <c r="X889">
        <v>0</v>
      </c>
    </row>
    <row r="890" spans="1:24" x14ac:dyDescent="0.2">
      <c r="A890">
        <v>8000900</v>
      </c>
      <c r="B890" t="s">
        <v>889</v>
      </c>
      <c r="C890">
        <v>900</v>
      </c>
      <c r="D890">
        <v>900</v>
      </c>
      <c r="E890">
        <v>10000</v>
      </c>
      <c r="F890">
        <v>108</v>
      </c>
      <c r="G890">
        <v>0</v>
      </c>
      <c r="H890">
        <v>0</v>
      </c>
      <c r="I890">
        <v>0</v>
      </c>
      <c r="J890">
        <v>108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65</v>
      </c>
      <c r="Q890">
        <v>0</v>
      </c>
      <c r="R890">
        <v>0</v>
      </c>
      <c r="S890">
        <v>0</v>
      </c>
      <c r="T890">
        <v>13</v>
      </c>
      <c r="U890">
        <v>10</v>
      </c>
      <c r="V890">
        <v>0</v>
      </c>
      <c r="W890">
        <v>0</v>
      </c>
      <c r="X890">
        <v>0</v>
      </c>
    </row>
    <row r="891" spans="1:24" x14ac:dyDescent="0.2">
      <c r="A891">
        <v>8001000</v>
      </c>
      <c r="B891" t="s">
        <v>890</v>
      </c>
      <c r="C891">
        <v>1000</v>
      </c>
      <c r="D891">
        <v>1000</v>
      </c>
      <c r="E891">
        <v>10000</v>
      </c>
      <c r="F891">
        <v>113</v>
      </c>
      <c r="G891">
        <v>0</v>
      </c>
      <c r="H891">
        <v>0</v>
      </c>
      <c r="I891">
        <v>0</v>
      </c>
      <c r="J891">
        <v>113</v>
      </c>
      <c r="K891">
        <v>0</v>
      </c>
      <c r="L891">
        <v>0</v>
      </c>
      <c r="M891">
        <v>0</v>
      </c>
      <c r="N891">
        <v>0</v>
      </c>
      <c r="O891">
        <v>4</v>
      </c>
      <c r="P891">
        <v>65</v>
      </c>
      <c r="Q891">
        <v>0</v>
      </c>
      <c r="R891">
        <v>65</v>
      </c>
      <c r="S891">
        <v>65</v>
      </c>
      <c r="T891">
        <v>13</v>
      </c>
      <c r="U891">
        <v>10</v>
      </c>
      <c r="V891">
        <v>0</v>
      </c>
      <c r="W891">
        <v>0</v>
      </c>
      <c r="X891">
        <v>0</v>
      </c>
    </row>
    <row r="892" spans="1:24" x14ac:dyDescent="0.2">
      <c r="A892">
        <v>8001100</v>
      </c>
      <c r="B892" t="s">
        <v>891</v>
      </c>
      <c r="C892">
        <v>1100</v>
      </c>
      <c r="D892">
        <v>1100</v>
      </c>
      <c r="E892">
        <v>10000</v>
      </c>
      <c r="F892">
        <v>108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65</v>
      </c>
      <c r="Q892">
        <v>0</v>
      </c>
      <c r="R892">
        <v>0</v>
      </c>
      <c r="S892">
        <v>0</v>
      </c>
      <c r="T892">
        <v>13</v>
      </c>
      <c r="U892">
        <v>10</v>
      </c>
      <c r="V892">
        <v>0</v>
      </c>
      <c r="W892">
        <v>0</v>
      </c>
      <c r="X892">
        <v>0</v>
      </c>
    </row>
    <row r="893" spans="1:24" x14ac:dyDescent="0.2">
      <c r="A893">
        <v>8001200</v>
      </c>
      <c r="B893" t="s">
        <v>892</v>
      </c>
      <c r="C893">
        <v>1200</v>
      </c>
      <c r="D893">
        <v>1200</v>
      </c>
      <c r="E893">
        <v>10000</v>
      </c>
      <c r="F893">
        <v>108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65</v>
      </c>
      <c r="Q893">
        <v>0</v>
      </c>
      <c r="R893">
        <v>0</v>
      </c>
      <c r="S893">
        <v>0</v>
      </c>
      <c r="T893">
        <v>13</v>
      </c>
      <c r="U893">
        <v>10</v>
      </c>
      <c r="V893">
        <v>0</v>
      </c>
      <c r="W893">
        <v>0</v>
      </c>
      <c r="X893">
        <v>0</v>
      </c>
    </row>
    <row r="894" spans="1:24" x14ac:dyDescent="0.2">
      <c r="A894">
        <v>8001300</v>
      </c>
      <c r="B894" t="s">
        <v>893</v>
      </c>
      <c r="C894">
        <v>1300</v>
      </c>
      <c r="D894">
        <v>1300</v>
      </c>
      <c r="E894">
        <v>10000</v>
      </c>
      <c r="F894">
        <v>123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65</v>
      </c>
      <c r="Q894">
        <v>0</v>
      </c>
      <c r="R894">
        <v>0</v>
      </c>
      <c r="S894">
        <v>0</v>
      </c>
      <c r="T894">
        <v>13</v>
      </c>
      <c r="U894">
        <v>10</v>
      </c>
      <c r="V894">
        <v>0</v>
      </c>
      <c r="W894">
        <v>0</v>
      </c>
      <c r="X894">
        <v>0</v>
      </c>
    </row>
    <row r="895" spans="1:24" x14ac:dyDescent="0.2">
      <c r="A895">
        <v>8001400</v>
      </c>
      <c r="B895" t="s">
        <v>894</v>
      </c>
      <c r="C895">
        <v>1400</v>
      </c>
      <c r="D895">
        <v>1400</v>
      </c>
      <c r="E895">
        <v>10014</v>
      </c>
      <c r="F895">
        <v>113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65</v>
      </c>
      <c r="Q895">
        <v>0</v>
      </c>
      <c r="R895">
        <v>0</v>
      </c>
      <c r="S895">
        <v>65</v>
      </c>
      <c r="T895">
        <v>13</v>
      </c>
      <c r="U895">
        <v>10</v>
      </c>
      <c r="V895">
        <v>0</v>
      </c>
      <c r="W895">
        <v>0</v>
      </c>
      <c r="X895">
        <v>0</v>
      </c>
    </row>
    <row r="896" spans="1:24" x14ac:dyDescent="0.2">
      <c r="A896">
        <v>8001500</v>
      </c>
      <c r="B896" t="s">
        <v>895</v>
      </c>
      <c r="C896">
        <v>1500</v>
      </c>
      <c r="D896">
        <v>1500</v>
      </c>
      <c r="E896">
        <v>10015</v>
      </c>
      <c r="F896">
        <v>108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65</v>
      </c>
      <c r="Q896">
        <v>0</v>
      </c>
      <c r="R896">
        <v>0</v>
      </c>
      <c r="S896">
        <v>0</v>
      </c>
      <c r="T896">
        <v>13</v>
      </c>
      <c r="U896">
        <v>10</v>
      </c>
      <c r="V896">
        <v>0</v>
      </c>
      <c r="W896">
        <v>0</v>
      </c>
      <c r="X896">
        <v>0</v>
      </c>
    </row>
    <row r="897" spans="1:24" x14ac:dyDescent="0.2">
      <c r="A897">
        <v>8010000</v>
      </c>
      <c r="B897" t="s">
        <v>896</v>
      </c>
      <c r="C897">
        <v>0</v>
      </c>
      <c r="D897">
        <v>0</v>
      </c>
      <c r="E897">
        <v>10000</v>
      </c>
      <c r="F897">
        <v>115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60</v>
      </c>
      <c r="Q897">
        <v>10</v>
      </c>
      <c r="R897">
        <v>0</v>
      </c>
      <c r="S897">
        <v>0</v>
      </c>
      <c r="T897">
        <v>15</v>
      </c>
      <c r="U897">
        <v>12</v>
      </c>
      <c r="V897">
        <v>7</v>
      </c>
      <c r="W897">
        <v>0</v>
      </c>
      <c r="X897">
        <v>0</v>
      </c>
    </row>
    <row r="898" spans="1:24" x14ac:dyDescent="0.2">
      <c r="A898">
        <v>8010100</v>
      </c>
      <c r="B898" t="s">
        <v>897</v>
      </c>
      <c r="C898">
        <v>200</v>
      </c>
      <c r="D898">
        <v>100</v>
      </c>
      <c r="E898">
        <v>10000</v>
      </c>
      <c r="F898">
        <v>115</v>
      </c>
      <c r="G898">
        <v>0</v>
      </c>
      <c r="H898">
        <v>0</v>
      </c>
      <c r="I898">
        <v>0</v>
      </c>
      <c r="J898">
        <v>0</v>
      </c>
      <c r="K898">
        <v>1</v>
      </c>
      <c r="L898">
        <v>0</v>
      </c>
      <c r="M898">
        <v>0</v>
      </c>
      <c r="N898">
        <v>0</v>
      </c>
      <c r="O898">
        <v>0</v>
      </c>
      <c r="P898">
        <v>52</v>
      </c>
      <c r="Q898">
        <v>0</v>
      </c>
      <c r="R898">
        <v>0</v>
      </c>
      <c r="S898">
        <v>0</v>
      </c>
      <c r="T898">
        <v>15</v>
      </c>
      <c r="U898">
        <v>12</v>
      </c>
      <c r="V898">
        <v>7</v>
      </c>
      <c r="W898">
        <v>0</v>
      </c>
      <c r="X898">
        <v>0</v>
      </c>
    </row>
    <row r="899" spans="1:24" x14ac:dyDescent="0.2">
      <c r="A899">
        <v>8010200</v>
      </c>
      <c r="B899" t="s">
        <v>898</v>
      </c>
      <c r="C899">
        <v>100</v>
      </c>
      <c r="D899">
        <v>200</v>
      </c>
      <c r="E899">
        <v>10000</v>
      </c>
      <c r="F899">
        <v>115</v>
      </c>
      <c r="G899">
        <v>0</v>
      </c>
      <c r="H899">
        <v>0</v>
      </c>
      <c r="I899">
        <v>0</v>
      </c>
      <c r="J899">
        <v>0</v>
      </c>
      <c r="K899">
        <v>2</v>
      </c>
      <c r="L899">
        <v>0</v>
      </c>
      <c r="M899">
        <v>0</v>
      </c>
      <c r="N899">
        <v>0</v>
      </c>
      <c r="O899">
        <v>0</v>
      </c>
      <c r="P899">
        <v>35</v>
      </c>
      <c r="Q899">
        <v>35</v>
      </c>
      <c r="R899">
        <v>0</v>
      </c>
      <c r="S899">
        <v>0</v>
      </c>
      <c r="T899">
        <v>15</v>
      </c>
      <c r="U899">
        <v>12</v>
      </c>
      <c r="V899">
        <v>7</v>
      </c>
      <c r="W899">
        <v>0</v>
      </c>
      <c r="X899">
        <v>0</v>
      </c>
    </row>
    <row r="900" spans="1:24" x14ac:dyDescent="0.2">
      <c r="A900">
        <v>8010300</v>
      </c>
      <c r="B900" t="s">
        <v>899</v>
      </c>
      <c r="C900">
        <v>300</v>
      </c>
      <c r="D900">
        <v>6100</v>
      </c>
      <c r="E900">
        <v>10000</v>
      </c>
      <c r="F900">
        <v>115</v>
      </c>
      <c r="G900">
        <v>0</v>
      </c>
      <c r="H900">
        <v>0</v>
      </c>
      <c r="I900">
        <v>0</v>
      </c>
      <c r="J900">
        <v>0</v>
      </c>
      <c r="K900">
        <v>8</v>
      </c>
      <c r="L900">
        <v>0</v>
      </c>
      <c r="M900">
        <v>0</v>
      </c>
      <c r="N900">
        <v>0</v>
      </c>
      <c r="O900">
        <v>0</v>
      </c>
      <c r="P900">
        <v>50</v>
      </c>
      <c r="Q900">
        <v>50</v>
      </c>
      <c r="R900">
        <v>0</v>
      </c>
      <c r="S900">
        <v>0</v>
      </c>
      <c r="T900">
        <v>15</v>
      </c>
      <c r="U900">
        <v>12</v>
      </c>
      <c r="V900">
        <v>7</v>
      </c>
      <c r="W900">
        <v>0</v>
      </c>
      <c r="X900">
        <v>0</v>
      </c>
    </row>
    <row r="901" spans="1:24" x14ac:dyDescent="0.2">
      <c r="A901">
        <v>8010400</v>
      </c>
      <c r="B901" t="s">
        <v>900</v>
      </c>
      <c r="C901">
        <v>500</v>
      </c>
      <c r="D901">
        <v>500</v>
      </c>
      <c r="E901">
        <v>10000</v>
      </c>
      <c r="F901">
        <v>120</v>
      </c>
      <c r="G901">
        <v>120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60</v>
      </c>
      <c r="Q901">
        <v>10</v>
      </c>
      <c r="R901">
        <v>70</v>
      </c>
      <c r="S901">
        <v>0</v>
      </c>
      <c r="T901">
        <v>15</v>
      </c>
      <c r="U901">
        <v>12</v>
      </c>
      <c r="V901">
        <v>7</v>
      </c>
      <c r="W901">
        <v>0</v>
      </c>
      <c r="X901">
        <v>0</v>
      </c>
    </row>
    <row r="902" spans="1:24" x14ac:dyDescent="0.2">
      <c r="A902">
        <v>8010500</v>
      </c>
      <c r="B902" t="s">
        <v>901</v>
      </c>
      <c r="C902">
        <v>400</v>
      </c>
      <c r="D902">
        <v>400</v>
      </c>
      <c r="E902">
        <v>10000</v>
      </c>
      <c r="F902">
        <v>120</v>
      </c>
      <c r="G902">
        <v>120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60</v>
      </c>
      <c r="Q902">
        <v>10</v>
      </c>
      <c r="R902">
        <v>70</v>
      </c>
      <c r="S902">
        <v>0</v>
      </c>
      <c r="T902">
        <v>15</v>
      </c>
      <c r="U902">
        <v>12</v>
      </c>
      <c r="V902">
        <v>7</v>
      </c>
      <c r="W902">
        <v>0</v>
      </c>
      <c r="X902">
        <v>0</v>
      </c>
    </row>
    <row r="903" spans="1:24" x14ac:dyDescent="0.2">
      <c r="A903">
        <v>8010600</v>
      </c>
      <c r="B903" t="s">
        <v>902</v>
      </c>
      <c r="C903">
        <v>600</v>
      </c>
      <c r="D903">
        <v>600</v>
      </c>
      <c r="E903">
        <v>10000</v>
      </c>
      <c r="F903">
        <v>115</v>
      </c>
      <c r="G903">
        <v>0</v>
      </c>
      <c r="H903">
        <v>115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60</v>
      </c>
      <c r="Q903">
        <v>10</v>
      </c>
      <c r="R903">
        <v>0</v>
      </c>
      <c r="S903">
        <v>0</v>
      </c>
      <c r="T903">
        <v>15</v>
      </c>
      <c r="U903">
        <v>12</v>
      </c>
      <c r="V903">
        <v>7</v>
      </c>
      <c r="W903">
        <v>0</v>
      </c>
      <c r="X903">
        <v>0</v>
      </c>
    </row>
    <row r="904" spans="1:24" x14ac:dyDescent="0.2">
      <c r="A904">
        <v>8010700</v>
      </c>
      <c r="B904" t="s">
        <v>903</v>
      </c>
      <c r="C904">
        <v>700</v>
      </c>
      <c r="D904">
        <v>700</v>
      </c>
      <c r="E904">
        <v>10000</v>
      </c>
      <c r="F904">
        <v>120</v>
      </c>
      <c r="G904">
        <v>0</v>
      </c>
      <c r="H904">
        <v>120</v>
      </c>
      <c r="I904">
        <v>0</v>
      </c>
      <c r="J904">
        <v>0</v>
      </c>
      <c r="K904">
        <v>0</v>
      </c>
      <c r="L904">
        <v>0</v>
      </c>
      <c r="M904">
        <v>4</v>
      </c>
      <c r="N904">
        <v>0</v>
      </c>
      <c r="O904">
        <v>0</v>
      </c>
      <c r="P904">
        <v>60</v>
      </c>
      <c r="Q904">
        <v>10</v>
      </c>
      <c r="R904">
        <v>70</v>
      </c>
      <c r="S904">
        <v>70</v>
      </c>
      <c r="T904">
        <v>15</v>
      </c>
      <c r="U904">
        <v>12</v>
      </c>
      <c r="V904">
        <v>7</v>
      </c>
      <c r="W904">
        <v>0</v>
      </c>
      <c r="X904">
        <v>0</v>
      </c>
    </row>
    <row r="905" spans="1:24" x14ac:dyDescent="0.2">
      <c r="A905">
        <v>8010800</v>
      </c>
      <c r="B905" t="s">
        <v>904</v>
      </c>
      <c r="C905">
        <v>800</v>
      </c>
      <c r="D905">
        <v>800</v>
      </c>
      <c r="E905">
        <v>10000</v>
      </c>
      <c r="F905">
        <v>125</v>
      </c>
      <c r="G905">
        <v>0</v>
      </c>
      <c r="H905">
        <v>0</v>
      </c>
      <c r="I905">
        <v>125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60</v>
      </c>
      <c r="Q905">
        <v>10</v>
      </c>
      <c r="R905">
        <v>0</v>
      </c>
      <c r="S905">
        <v>70</v>
      </c>
      <c r="T905">
        <v>15</v>
      </c>
      <c r="U905">
        <v>12</v>
      </c>
      <c r="V905">
        <v>7</v>
      </c>
      <c r="W905">
        <v>0</v>
      </c>
      <c r="X905">
        <v>0</v>
      </c>
    </row>
    <row r="906" spans="1:24" x14ac:dyDescent="0.2">
      <c r="A906">
        <v>8010900</v>
      </c>
      <c r="B906" t="s">
        <v>905</v>
      </c>
      <c r="C906">
        <v>900</v>
      </c>
      <c r="D906">
        <v>900</v>
      </c>
      <c r="E906">
        <v>10000</v>
      </c>
      <c r="F906">
        <v>115</v>
      </c>
      <c r="G906">
        <v>0</v>
      </c>
      <c r="H906">
        <v>0</v>
      </c>
      <c r="I906">
        <v>0</v>
      </c>
      <c r="J906">
        <v>115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60</v>
      </c>
      <c r="Q906">
        <v>10</v>
      </c>
      <c r="R906">
        <v>0</v>
      </c>
      <c r="S906">
        <v>0</v>
      </c>
      <c r="T906">
        <v>15</v>
      </c>
      <c r="U906">
        <v>12</v>
      </c>
      <c r="V906">
        <v>7</v>
      </c>
      <c r="W906">
        <v>0</v>
      </c>
      <c r="X906">
        <v>0</v>
      </c>
    </row>
    <row r="907" spans="1:24" x14ac:dyDescent="0.2">
      <c r="A907">
        <v>8011000</v>
      </c>
      <c r="B907" t="s">
        <v>906</v>
      </c>
      <c r="C907">
        <v>1000</v>
      </c>
      <c r="D907">
        <v>1000</v>
      </c>
      <c r="E907">
        <v>10000</v>
      </c>
      <c r="F907">
        <v>120</v>
      </c>
      <c r="G907">
        <v>0</v>
      </c>
      <c r="H907">
        <v>0</v>
      </c>
      <c r="I907">
        <v>0</v>
      </c>
      <c r="J907">
        <v>120</v>
      </c>
      <c r="K907">
        <v>0</v>
      </c>
      <c r="L907">
        <v>0</v>
      </c>
      <c r="M907">
        <v>0</v>
      </c>
      <c r="N907">
        <v>0</v>
      </c>
      <c r="O907">
        <v>4</v>
      </c>
      <c r="P907">
        <v>60</v>
      </c>
      <c r="Q907">
        <v>10</v>
      </c>
      <c r="R907">
        <v>70</v>
      </c>
      <c r="S907">
        <v>70</v>
      </c>
      <c r="T907">
        <v>15</v>
      </c>
      <c r="U907">
        <v>12</v>
      </c>
      <c r="V907">
        <v>7</v>
      </c>
      <c r="W907">
        <v>0</v>
      </c>
      <c r="X907">
        <v>0</v>
      </c>
    </row>
    <row r="908" spans="1:24" x14ac:dyDescent="0.2">
      <c r="A908">
        <v>8011100</v>
      </c>
      <c r="B908" t="s">
        <v>907</v>
      </c>
      <c r="C908">
        <v>1100</v>
      </c>
      <c r="D908">
        <v>1100</v>
      </c>
      <c r="E908">
        <v>10000</v>
      </c>
      <c r="F908">
        <v>115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60</v>
      </c>
      <c r="Q908">
        <v>10</v>
      </c>
      <c r="R908">
        <v>0</v>
      </c>
      <c r="S908">
        <v>0</v>
      </c>
      <c r="T908">
        <v>15</v>
      </c>
      <c r="U908">
        <v>12</v>
      </c>
      <c r="V908">
        <v>7</v>
      </c>
      <c r="W908">
        <v>0</v>
      </c>
      <c r="X908">
        <v>0</v>
      </c>
    </row>
    <row r="909" spans="1:24" x14ac:dyDescent="0.2">
      <c r="A909">
        <v>8011200</v>
      </c>
      <c r="B909" t="s">
        <v>908</v>
      </c>
      <c r="C909">
        <v>1200</v>
      </c>
      <c r="D909">
        <v>1200</v>
      </c>
      <c r="E909">
        <v>10000</v>
      </c>
      <c r="F909">
        <v>115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60</v>
      </c>
      <c r="Q909">
        <v>10</v>
      </c>
      <c r="R909">
        <v>0</v>
      </c>
      <c r="S909">
        <v>0</v>
      </c>
      <c r="T909">
        <v>15</v>
      </c>
      <c r="U909">
        <v>12</v>
      </c>
      <c r="V909">
        <v>7</v>
      </c>
      <c r="W909">
        <v>0</v>
      </c>
      <c r="X909">
        <v>0</v>
      </c>
    </row>
    <row r="910" spans="1:24" x14ac:dyDescent="0.2">
      <c r="A910">
        <v>8011300</v>
      </c>
      <c r="B910" t="s">
        <v>909</v>
      </c>
      <c r="C910">
        <v>1300</v>
      </c>
      <c r="D910">
        <v>1300</v>
      </c>
      <c r="E910">
        <v>10000</v>
      </c>
      <c r="F910">
        <v>135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60</v>
      </c>
      <c r="Q910">
        <v>10</v>
      </c>
      <c r="R910">
        <v>0</v>
      </c>
      <c r="S910">
        <v>0</v>
      </c>
      <c r="T910">
        <v>15</v>
      </c>
      <c r="U910">
        <v>12</v>
      </c>
      <c r="V910">
        <v>7</v>
      </c>
      <c r="W910">
        <v>0</v>
      </c>
      <c r="X910">
        <v>0</v>
      </c>
    </row>
    <row r="911" spans="1:24" x14ac:dyDescent="0.2">
      <c r="A911">
        <v>8011400</v>
      </c>
      <c r="B911" t="s">
        <v>910</v>
      </c>
      <c r="C911">
        <v>1400</v>
      </c>
      <c r="D911">
        <v>1400</v>
      </c>
      <c r="E911">
        <v>10014</v>
      </c>
      <c r="F911">
        <v>120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60</v>
      </c>
      <c r="Q911">
        <v>10</v>
      </c>
      <c r="R911">
        <v>0</v>
      </c>
      <c r="S911">
        <v>70</v>
      </c>
      <c r="T911">
        <v>15</v>
      </c>
      <c r="U911">
        <v>12</v>
      </c>
      <c r="V911">
        <v>7</v>
      </c>
      <c r="W911">
        <v>0</v>
      </c>
      <c r="X911">
        <v>0</v>
      </c>
    </row>
    <row r="912" spans="1:24" x14ac:dyDescent="0.2">
      <c r="A912">
        <v>8011500</v>
      </c>
      <c r="B912" t="s">
        <v>911</v>
      </c>
      <c r="C912">
        <v>1500</v>
      </c>
      <c r="D912">
        <v>1500</v>
      </c>
      <c r="E912">
        <v>10015</v>
      </c>
      <c r="F912">
        <v>115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60</v>
      </c>
      <c r="Q912">
        <v>10</v>
      </c>
      <c r="R912">
        <v>0</v>
      </c>
      <c r="S912">
        <v>0</v>
      </c>
      <c r="T912">
        <v>15</v>
      </c>
      <c r="U912">
        <v>12</v>
      </c>
      <c r="V912">
        <v>7</v>
      </c>
      <c r="W912">
        <v>0</v>
      </c>
      <c r="X912">
        <v>0</v>
      </c>
    </row>
    <row r="913" spans="1:24" x14ac:dyDescent="0.2">
      <c r="A913">
        <v>8020000</v>
      </c>
      <c r="B913" t="s">
        <v>912</v>
      </c>
      <c r="C913">
        <v>0</v>
      </c>
      <c r="D913">
        <v>0</v>
      </c>
      <c r="E913">
        <v>10000</v>
      </c>
      <c r="F913">
        <v>122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43</v>
      </c>
      <c r="Q913">
        <v>11</v>
      </c>
      <c r="R913">
        <v>0</v>
      </c>
      <c r="S913">
        <v>0</v>
      </c>
      <c r="T913">
        <v>12</v>
      </c>
      <c r="U913">
        <v>11</v>
      </c>
      <c r="V913">
        <v>9</v>
      </c>
      <c r="W913">
        <v>0</v>
      </c>
      <c r="X913">
        <v>0</v>
      </c>
    </row>
    <row r="914" spans="1:24" x14ac:dyDescent="0.2">
      <c r="A914">
        <v>8020100</v>
      </c>
      <c r="B914" t="s">
        <v>913</v>
      </c>
      <c r="C914">
        <v>200</v>
      </c>
      <c r="D914">
        <v>100</v>
      </c>
      <c r="E914">
        <v>10000</v>
      </c>
      <c r="F914">
        <v>122</v>
      </c>
      <c r="G914">
        <v>0</v>
      </c>
      <c r="H914">
        <v>0</v>
      </c>
      <c r="I914">
        <v>0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0</v>
      </c>
      <c r="P914">
        <v>43</v>
      </c>
      <c r="Q914">
        <v>0</v>
      </c>
      <c r="R914">
        <v>0</v>
      </c>
      <c r="S914">
        <v>0</v>
      </c>
      <c r="T914">
        <v>12</v>
      </c>
      <c r="U914">
        <v>11</v>
      </c>
      <c r="V914">
        <v>9</v>
      </c>
      <c r="W914">
        <v>0</v>
      </c>
      <c r="X914">
        <v>0</v>
      </c>
    </row>
    <row r="915" spans="1:24" x14ac:dyDescent="0.2">
      <c r="A915">
        <v>8020200</v>
      </c>
      <c r="B915" t="s">
        <v>914</v>
      </c>
      <c r="C915">
        <v>100</v>
      </c>
      <c r="D915">
        <v>200</v>
      </c>
      <c r="E915">
        <v>10000</v>
      </c>
      <c r="F915">
        <v>122</v>
      </c>
      <c r="G915">
        <v>0</v>
      </c>
      <c r="H915">
        <v>0</v>
      </c>
      <c r="I915">
        <v>0</v>
      </c>
      <c r="J915">
        <v>0</v>
      </c>
      <c r="K915">
        <v>2</v>
      </c>
      <c r="L915">
        <v>0</v>
      </c>
      <c r="M915">
        <v>0</v>
      </c>
      <c r="N915">
        <v>0</v>
      </c>
      <c r="O915">
        <v>0</v>
      </c>
      <c r="P915">
        <v>8</v>
      </c>
      <c r="Q915">
        <v>36</v>
      </c>
      <c r="R915">
        <v>0</v>
      </c>
      <c r="S915">
        <v>0</v>
      </c>
      <c r="T915">
        <v>12</v>
      </c>
      <c r="U915">
        <v>11</v>
      </c>
      <c r="V915">
        <v>9</v>
      </c>
      <c r="W915">
        <v>0</v>
      </c>
      <c r="X915">
        <v>0</v>
      </c>
    </row>
    <row r="916" spans="1:24" x14ac:dyDescent="0.2">
      <c r="A916">
        <v>8020300</v>
      </c>
      <c r="B916" t="s">
        <v>915</v>
      </c>
      <c r="C916">
        <v>300</v>
      </c>
      <c r="D916">
        <v>6100</v>
      </c>
      <c r="E916">
        <v>10000</v>
      </c>
      <c r="F916">
        <v>122</v>
      </c>
      <c r="G916">
        <v>0</v>
      </c>
      <c r="H916">
        <v>0</v>
      </c>
      <c r="I916">
        <v>0</v>
      </c>
      <c r="J916">
        <v>0</v>
      </c>
      <c r="K916">
        <v>8</v>
      </c>
      <c r="L916">
        <v>0</v>
      </c>
      <c r="M916">
        <v>0</v>
      </c>
      <c r="N916">
        <v>0</v>
      </c>
      <c r="O916">
        <v>0</v>
      </c>
      <c r="P916">
        <v>42</v>
      </c>
      <c r="Q916">
        <v>37</v>
      </c>
      <c r="R916">
        <v>0</v>
      </c>
      <c r="S916">
        <v>0</v>
      </c>
      <c r="T916">
        <v>12</v>
      </c>
      <c r="U916">
        <v>11</v>
      </c>
      <c r="V916">
        <v>9</v>
      </c>
      <c r="W916">
        <v>0</v>
      </c>
      <c r="X916">
        <v>0</v>
      </c>
    </row>
    <row r="917" spans="1:24" x14ac:dyDescent="0.2">
      <c r="A917">
        <v>8020400</v>
      </c>
      <c r="B917" t="s">
        <v>916</v>
      </c>
      <c r="C917">
        <v>500</v>
      </c>
      <c r="D917">
        <v>500</v>
      </c>
      <c r="E917">
        <v>10000</v>
      </c>
      <c r="F917">
        <v>127</v>
      </c>
      <c r="G917">
        <v>127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43</v>
      </c>
      <c r="Q917">
        <v>11</v>
      </c>
      <c r="R917">
        <v>54</v>
      </c>
      <c r="S917">
        <v>0</v>
      </c>
      <c r="T917">
        <v>12</v>
      </c>
      <c r="U917">
        <v>11</v>
      </c>
      <c r="V917">
        <v>9</v>
      </c>
      <c r="W917">
        <v>0</v>
      </c>
      <c r="X917">
        <v>0</v>
      </c>
    </row>
    <row r="918" spans="1:24" x14ac:dyDescent="0.2">
      <c r="A918">
        <v>8020500</v>
      </c>
      <c r="B918" t="s">
        <v>917</v>
      </c>
      <c r="C918">
        <v>400</v>
      </c>
      <c r="D918">
        <v>400</v>
      </c>
      <c r="E918">
        <v>10000</v>
      </c>
      <c r="F918">
        <v>127</v>
      </c>
      <c r="G918">
        <v>127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43</v>
      </c>
      <c r="Q918">
        <v>11</v>
      </c>
      <c r="R918">
        <v>54</v>
      </c>
      <c r="S918">
        <v>0</v>
      </c>
      <c r="T918">
        <v>12</v>
      </c>
      <c r="U918">
        <v>11</v>
      </c>
      <c r="V918">
        <v>9</v>
      </c>
      <c r="W918">
        <v>0</v>
      </c>
      <c r="X918">
        <v>0</v>
      </c>
    </row>
    <row r="919" spans="1:24" x14ac:dyDescent="0.2">
      <c r="A919">
        <v>8020600</v>
      </c>
      <c r="B919" t="s">
        <v>918</v>
      </c>
      <c r="C919">
        <v>600</v>
      </c>
      <c r="D919">
        <v>600</v>
      </c>
      <c r="E919">
        <v>10000</v>
      </c>
      <c r="F919">
        <v>112</v>
      </c>
      <c r="G919">
        <v>0</v>
      </c>
      <c r="H919">
        <v>112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43</v>
      </c>
      <c r="Q919">
        <v>11</v>
      </c>
      <c r="R919">
        <v>0</v>
      </c>
      <c r="S919">
        <v>0</v>
      </c>
      <c r="T919">
        <v>12</v>
      </c>
      <c r="U919">
        <v>11</v>
      </c>
      <c r="V919">
        <v>9</v>
      </c>
      <c r="W919">
        <v>0</v>
      </c>
      <c r="X919">
        <v>0</v>
      </c>
    </row>
    <row r="920" spans="1:24" x14ac:dyDescent="0.2">
      <c r="A920">
        <v>8020700</v>
      </c>
      <c r="B920" t="s">
        <v>919</v>
      </c>
      <c r="C920">
        <v>700</v>
      </c>
      <c r="D920">
        <v>700</v>
      </c>
      <c r="E920">
        <v>10000</v>
      </c>
      <c r="F920">
        <v>127</v>
      </c>
      <c r="G920">
        <v>0</v>
      </c>
      <c r="H920">
        <v>127</v>
      </c>
      <c r="I920">
        <v>0</v>
      </c>
      <c r="J920">
        <v>0</v>
      </c>
      <c r="K920">
        <v>0</v>
      </c>
      <c r="L920">
        <v>0</v>
      </c>
      <c r="M920">
        <v>4</v>
      </c>
      <c r="N920">
        <v>0</v>
      </c>
      <c r="O920">
        <v>0</v>
      </c>
      <c r="P920">
        <v>43</v>
      </c>
      <c r="Q920">
        <v>11</v>
      </c>
      <c r="R920">
        <v>54</v>
      </c>
      <c r="S920">
        <v>54</v>
      </c>
      <c r="T920">
        <v>12</v>
      </c>
      <c r="U920">
        <v>11</v>
      </c>
      <c r="V920">
        <v>9</v>
      </c>
      <c r="W920">
        <v>0</v>
      </c>
      <c r="X920">
        <v>0</v>
      </c>
    </row>
    <row r="921" spans="1:24" x14ac:dyDescent="0.2">
      <c r="A921">
        <v>8020800</v>
      </c>
      <c r="B921" t="s">
        <v>920</v>
      </c>
      <c r="C921">
        <v>800</v>
      </c>
      <c r="D921">
        <v>800</v>
      </c>
      <c r="E921">
        <v>10000</v>
      </c>
      <c r="F921">
        <v>132</v>
      </c>
      <c r="G921">
        <v>0</v>
      </c>
      <c r="H921">
        <v>0</v>
      </c>
      <c r="I921">
        <v>132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43</v>
      </c>
      <c r="Q921">
        <v>11</v>
      </c>
      <c r="R921">
        <v>0</v>
      </c>
      <c r="S921">
        <v>54</v>
      </c>
      <c r="T921">
        <v>12</v>
      </c>
      <c r="U921">
        <v>11</v>
      </c>
      <c r="V921">
        <v>9</v>
      </c>
      <c r="W921">
        <v>0</v>
      </c>
      <c r="X921">
        <v>0</v>
      </c>
    </row>
    <row r="922" spans="1:24" x14ac:dyDescent="0.2">
      <c r="A922">
        <v>8020900</v>
      </c>
      <c r="B922" t="s">
        <v>921</v>
      </c>
      <c r="C922">
        <v>900</v>
      </c>
      <c r="D922">
        <v>900</v>
      </c>
      <c r="E922">
        <v>10000</v>
      </c>
      <c r="F922">
        <v>112</v>
      </c>
      <c r="G922">
        <v>0</v>
      </c>
      <c r="H922">
        <v>0</v>
      </c>
      <c r="I922">
        <v>0</v>
      </c>
      <c r="J922">
        <v>112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43</v>
      </c>
      <c r="Q922">
        <v>11</v>
      </c>
      <c r="R922">
        <v>0</v>
      </c>
      <c r="S922">
        <v>0</v>
      </c>
      <c r="T922">
        <v>12</v>
      </c>
      <c r="U922">
        <v>11</v>
      </c>
      <c r="V922">
        <v>9</v>
      </c>
      <c r="W922">
        <v>0</v>
      </c>
      <c r="X922">
        <v>0</v>
      </c>
    </row>
    <row r="923" spans="1:24" x14ac:dyDescent="0.2">
      <c r="A923">
        <v>8021000</v>
      </c>
      <c r="B923" t="s">
        <v>922</v>
      </c>
      <c r="C923">
        <v>1000</v>
      </c>
      <c r="D923">
        <v>1000</v>
      </c>
      <c r="E923">
        <v>10000</v>
      </c>
      <c r="F923">
        <v>127</v>
      </c>
      <c r="G923">
        <v>0</v>
      </c>
      <c r="H923">
        <v>0</v>
      </c>
      <c r="I923">
        <v>0</v>
      </c>
      <c r="J923">
        <v>127</v>
      </c>
      <c r="K923">
        <v>0</v>
      </c>
      <c r="L923">
        <v>0</v>
      </c>
      <c r="M923">
        <v>0</v>
      </c>
      <c r="N923">
        <v>0</v>
      </c>
      <c r="O923">
        <v>4</v>
      </c>
      <c r="P923">
        <v>43</v>
      </c>
      <c r="Q923">
        <v>11</v>
      </c>
      <c r="R923">
        <v>54</v>
      </c>
      <c r="S923">
        <v>54</v>
      </c>
      <c r="T923">
        <v>12</v>
      </c>
      <c r="U923">
        <v>11</v>
      </c>
      <c r="V923">
        <v>9</v>
      </c>
      <c r="W923">
        <v>0</v>
      </c>
      <c r="X923">
        <v>0</v>
      </c>
    </row>
    <row r="924" spans="1:24" x14ac:dyDescent="0.2">
      <c r="A924">
        <v>8021100</v>
      </c>
      <c r="B924" t="s">
        <v>923</v>
      </c>
      <c r="C924">
        <v>1100</v>
      </c>
      <c r="D924">
        <v>1100</v>
      </c>
      <c r="E924">
        <v>10000</v>
      </c>
      <c r="F924">
        <v>122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43</v>
      </c>
      <c r="Q924">
        <v>11</v>
      </c>
      <c r="R924">
        <v>0</v>
      </c>
      <c r="S924">
        <v>0</v>
      </c>
      <c r="T924">
        <v>12</v>
      </c>
      <c r="U924">
        <v>11</v>
      </c>
      <c r="V924">
        <v>9</v>
      </c>
      <c r="W924">
        <v>0</v>
      </c>
      <c r="X924">
        <v>0</v>
      </c>
    </row>
    <row r="925" spans="1:24" x14ac:dyDescent="0.2">
      <c r="A925">
        <v>8021200</v>
      </c>
      <c r="B925" t="s">
        <v>924</v>
      </c>
      <c r="C925">
        <v>1200</v>
      </c>
      <c r="D925">
        <v>1200</v>
      </c>
      <c r="E925">
        <v>10000</v>
      </c>
      <c r="F925">
        <v>122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43</v>
      </c>
      <c r="Q925">
        <v>11</v>
      </c>
      <c r="R925">
        <v>0</v>
      </c>
      <c r="S925">
        <v>0</v>
      </c>
      <c r="T925">
        <v>12</v>
      </c>
      <c r="U925">
        <v>11</v>
      </c>
      <c r="V925">
        <v>9</v>
      </c>
      <c r="W925">
        <v>0</v>
      </c>
      <c r="X925">
        <v>0</v>
      </c>
    </row>
    <row r="926" spans="1:24" x14ac:dyDescent="0.2">
      <c r="A926">
        <v>8021300</v>
      </c>
      <c r="B926" t="s">
        <v>925</v>
      </c>
      <c r="C926">
        <v>1300</v>
      </c>
      <c r="D926">
        <v>1300</v>
      </c>
      <c r="E926">
        <v>10000</v>
      </c>
      <c r="F926">
        <v>127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43</v>
      </c>
      <c r="Q926">
        <v>11</v>
      </c>
      <c r="R926">
        <v>0</v>
      </c>
      <c r="S926">
        <v>0</v>
      </c>
      <c r="T926">
        <v>12</v>
      </c>
      <c r="U926">
        <v>11</v>
      </c>
      <c r="V926">
        <v>9</v>
      </c>
      <c r="W926">
        <v>0</v>
      </c>
      <c r="X926">
        <v>0</v>
      </c>
    </row>
    <row r="927" spans="1:24" x14ac:dyDescent="0.2">
      <c r="A927">
        <v>8021400</v>
      </c>
      <c r="B927" t="s">
        <v>926</v>
      </c>
      <c r="C927">
        <v>1400</v>
      </c>
      <c r="D927">
        <v>1400</v>
      </c>
      <c r="E927">
        <v>10014</v>
      </c>
      <c r="F927">
        <v>127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43</v>
      </c>
      <c r="Q927">
        <v>11</v>
      </c>
      <c r="R927">
        <v>0</v>
      </c>
      <c r="S927">
        <v>54</v>
      </c>
      <c r="T927">
        <v>12</v>
      </c>
      <c r="U927">
        <v>11</v>
      </c>
      <c r="V927">
        <v>9</v>
      </c>
      <c r="W927">
        <v>0</v>
      </c>
      <c r="X927">
        <v>0</v>
      </c>
    </row>
    <row r="928" spans="1:24" x14ac:dyDescent="0.2">
      <c r="A928">
        <v>8021500</v>
      </c>
      <c r="B928" t="s">
        <v>927</v>
      </c>
      <c r="C928">
        <v>1500</v>
      </c>
      <c r="D928">
        <v>1500</v>
      </c>
      <c r="E928">
        <v>10015</v>
      </c>
      <c r="F928">
        <v>122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43</v>
      </c>
      <c r="Q928">
        <v>11</v>
      </c>
      <c r="R928">
        <v>0</v>
      </c>
      <c r="S928">
        <v>0</v>
      </c>
      <c r="T928">
        <v>12</v>
      </c>
      <c r="U928">
        <v>11</v>
      </c>
      <c r="V928">
        <v>9</v>
      </c>
      <c r="W928">
        <v>0</v>
      </c>
      <c r="X928">
        <v>0</v>
      </c>
    </row>
    <row r="929" spans="1:24" x14ac:dyDescent="0.2">
      <c r="A929">
        <v>8030000</v>
      </c>
      <c r="B929" t="s">
        <v>928</v>
      </c>
      <c r="C929">
        <v>0</v>
      </c>
      <c r="D929">
        <v>0</v>
      </c>
      <c r="E929">
        <v>10000</v>
      </c>
      <c r="F929">
        <v>110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66</v>
      </c>
      <c r="Q929">
        <v>0</v>
      </c>
      <c r="R929">
        <v>0</v>
      </c>
      <c r="S929">
        <v>0</v>
      </c>
      <c r="T929">
        <v>14</v>
      </c>
      <c r="U929">
        <v>12</v>
      </c>
      <c r="V929">
        <v>0</v>
      </c>
      <c r="W929">
        <v>0</v>
      </c>
      <c r="X929">
        <v>0</v>
      </c>
    </row>
    <row r="930" spans="1:24" x14ac:dyDescent="0.2">
      <c r="A930">
        <v>8030100</v>
      </c>
      <c r="B930" t="s">
        <v>929</v>
      </c>
      <c r="C930">
        <v>200</v>
      </c>
      <c r="D930">
        <v>4000</v>
      </c>
      <c r="E930">
        <v>10000</v>
      </c>
      <c r="F930">
        <v>110</v>
      </c>
      <c r="G930">
        <v>0</v>
      </c>
      <c r="H930">
        <v>0</v>
      </c>
      <c r="I930">
        <v>0</v>
      </c>
      <c r="J930">
        <v>0</v>
      </c>
      <c r="K930">
        <v>1</v>
      </c>
      <c r="L930">
        <v>0</v>
      </c>
      <c r="M930">
        <v>0</v>
      </c>
      <c r="N930">
        <v>0</v>
      </c>
      <c r="O930">
        <v>0</v>
      </c>
      <c r="P930">
        <v>66</v>
      </c>
      <c r="Q930">
        <v>0</v>
      </c>
      <c r="R930">
        <v>0</v>
      </c>
      <c r="S930">
        <v>0</v>
      </c>
      <c r="T930">
        <v>14</v>
      </c>
      <c r="U930">
        <v>12</v>
      </c>
      <c r="V930">
        <v>0</v>
      </c>
      <c r="W930">
        <v>0</v>
      </c>
      <c r="X930">
        <v>0</v>
      </c>
    </row>
    <row r="931" spans="1:24" x14ac:dyDescent="0.2">
      <c r="A931">
        <v>8030200</v>
      </c>
      <c r="B931" t="s">
        <v>930</v>
      </c>
      <c r="C931">
        <v>100</v>
      </c>
      <c r="D931">
        <v>200</v>
      </c>
      <c r="E931">
        <v>10000</v>
      </c>
      <c r="F931">
        <v>110</v>
      </c>
      <c r="G931">
        <v>0</v>
      </c>
      <c r="H931">
        <v>0</v>
      </c>
      <c r="I931">
        <v>0</v>
      </c>
      <c r="J931">
        <v>0</v>
      </c>
      <c r="K931">
        <v>2</v>
      </c>
      <c r="L931">
        <v>0</v>
      </c>
      <c r="M931">
        <v>0</v>
      </c>
      <c r="N931">
        <v>0</v>
      </c>
      <c r="O931">
        <v>0</v>
      </c>
      <c r="P931">
        <v>13</v>
      </c>
      <c r="Q931">
        <v>42</v>
      </c>
      <c r="R931">
        <v>0</v>
      </c>
      <c r="S931">
        <v>0</v>
      </c>
      <c r="T931">
        <v>14</v>
      </c>
      <c r="U931">
        <v>12</v>
      </c>
      <c r="V931">
        <v>0</v>
      </c>
      <c r="W931">
        <v>0</v>
      </c>
      <c r="X931">
        <v>0</v>
      </c>
    </row>
    <row r="932" spans="1:24" x14ac:dyDescent="0.2">
      <c r="A932">
        <v>8030300</v>
      </c>
      <c r="B932" t="s">
        <v>931</v>
      </c>
      <c r="C932">
        <v>300</v>
      </c>
      <c r="D932">
        <v>4100</v>
      </c>
      <c r="E932">
        <v>10000</v>
      </c>
      <c r="F932">
        <v>110</v>
      </c>
      <c r="G932">
        <v>0</v>
      </c>
      <c r="H932">
        <v>0</v>
      </c>
      <c r="I932">
        <v>0</v>
      </c>
      <c r="J932">
        <v>0</v>
      </c>
      <c r="K932">
        <v>8</v>
      </c>
      <c r="L932">
        <v>0</v>
      </c>
      <c r="M932">
        <v>0</v>
      </c>
      <c r="N932">
        <v>0</v>
      </c>
      <c r="O932">
        <v>0</v>
      </c>
      <c r="P932">
        <v>52</v>
      </c>
      <c r="Q932">
        <v>52</v>
      </c>
      <c r="R932">
        <v>0</v>
      </c>
      <c r="S932">
        <v>0</v>
      </c>
      <c r="T932">
        <v>14</v>
      </c>
      <c r="U932">
        <v>12</v>
      </c>
      <c r="V932">
        <v>0</v>
      </c>
      <c r="W932">
        <v>0</v>
      </c>
      <c r="X932">
        <v>0</v>
      </c>
    </row>
    <row r="933" spans="1:24" x14ac:dyDescent="0.2">
      <c r="A933">
        <v>8030400</v>
      </c>
      <c r="B933" t="s">
        <v>932</v>
      </c>
      <c r="C933">
        <v>500</v>
      </c>
      <c r="D933">
        <v>500</v>
      </c>
      <c r="E933">
        <v>10000</v>
      </c>
      <c r="F933">
        <v>115</v>
      </c>
      <c r="G933">
        <v>115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66</v>
      </c>
      <c r="Q933">
        <v>0</v>
      </c>
      <c r="R933">
        <v>66</v>
      </c>
      <c r="S933">
        <v>0</v>
      </c>
      <c r="T933">
        <v>14</v>
      </c>
      <c r="U933">
        <v>12</v>
      </c>
      <c r="V933">
        <v>0</v>
      </c>
      <c r="W933">
        <v>0</v>
      </c>
      <c r="X933">
        <v>0</v>
      </c>
    </row>
    <row r="934" spans="1:24" x14ac:dyDescent="0.2">
      <c r="A934">
        <v>8030500</v>
      </c>
      <c r="B934" t="s">
        <v>933</v>
      </c>
      <c r="C934">
        <v>400</v>
      </c>
      <c r="D934">
        <v>400</v>
      </c>
      <c r="E934">
        <v>10000</v>
      </c>
      <c r="F934">
        <v>115</v>
      </c>
      <c r="G934">
        <v>115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66</v>
      </c>
      <c r="Q934">
        <v>0</v>
      </c>
      <c r="R934">
        <v>66</v>
      </c>
      <c r="S934">
        <v>0</v>
      </c>
      <c r="T934">
        <v>14</v>
      </c>
      <c r="U934">
        <v>12</v>
      </c>
      <c r="V934">
        <v>0</v>
      </c>
      <c r="W934">
        <v>0</v>
      </c>
      <c r="X934">
        <v>0</v>
      </c>
    </row>
    <row r="935" spans="1:24" x14ac:dyDescent="0.2">
      <c r="A935">
        <v>8030600</v>
      </c>
      <c r="B935" t="s">
        <v>934</v>
      </c>
      <c r="C935">
        <v>600</v>
      </c>
      <c r="D935">
        <v>600</v>
      </c>
      <c r="E935">
        <v>10000</v>
      </c>
      <c r="F935">
        <v>110</v>
      </c>
      <c r="G935">
        <v>0</v>
      </c>
      <c r="H935">
        <v>110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66</v>
      </c>
      <c r="Q935">
        <v>0</v>
      </c>
      <c r="R935">
        <v>0</v>
      </c>
      <c r="S935">
        <v>0</v>
      </c>
      <c r="T935">
        <v>14</v>
      </c>
      <c r="U935">
        <v>12</v>
      </c>
      <c r="V935">
        <v>0</v>
      </c>
      <c r="W935">
        <v>0</v>
      </c>
      <c r="X935">
        <v>0</v>
      </c>
    </row>
    <row r="936" spans="1:24" x14ac:dyDescent="0.2">
      <c r="A936">
        <v>8030700</v>
      </c>
      <c r="B936" t="s">
        <v>935</v>
      </c>
      <c r="C936">
        <v>700</v>
      </c>
      <c r="D936">
        <v>700</v>
      </c>
      <c r="E936">
        <v>10000</v>
      </c>
      <c r="F936">
        <v>115</v>
      </c>
      <c r="G936">
        <v>0</v>
      </c>
      <c r="H936">
        <v>115</v>
      </c>
      <c r="I936">
        <v>0</v>
      </c>
      <c r="J936">
        <v>0</v>
      </c>
      <c r="K936">
        <v>0</v>
      </c>
      <c r="L936">
        <v>0</v>
      </c>
      <c r="M936">
        <v>4</v>
      </c>
      <c r="N936">
        <v>0</v>
      </c>
      <c r="O936">
        <v>0</v>
      </c>
      <c r="P936">
        <v>66</v>
      </c>
      <c r="Q936">
        <v>0</v>
      </c>
      <c r="R936">
        <v>66</v>
      </c>
      <c r="S936">
        <v>66</v>
      </c>
      <c r="T936">
        <v>14</v>
      </c>
      <c r="U936">
        <v>12</v>
      </c>
      <c r="V936">
        <v>0</v>
      </c>
      <c r="W936">
        <v>0</v>
      </c>
      <c r="X936">
        <v>0</v>
      </c>
    </row>
    <row r="937" spans="1:24" x14ac:dyDescent="0.2">
      <c r="A937">
        <v>8030800</v>
      </c>
      <c r="B937" t="s">
        <v>936</v>
      </c>
      <c r="C937">
        <v>800</v>
      </c>
      <c r="D937">
        <v>800</v>
      </c>
      <c r="E937">
        <v>10000</v>
      </c>
      <c r="F937">
        <v>115</v>
      </c>
      <c r="G937">
        <v>0</v>
      </c>
      <c r="H937">
        <v>0</v>
      </c>
      <c r="I937">
        <v>115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66</v>
      </c>
      <c r="Q937">
        <v>0</v>
      </c>
      <c r="R937">
        <v>0</v>
      </c>
      <c r="S937">
        <v>66</v>
      </c>
      <c r="T937">
        <v>14</v>
      </c>
      <c r="U937">
        <v>12</v>
      </c>
      <c r="V937">
        <v>0</v>
      </c>
      <c r="W937">
        <v>0</v>
      </c>
      <c r="X937">
        <v>0</v>
      </c>
    </row>
    <row r="938" spans="1:24" x14ac:dyDescent="0.2">
      <c r="A938">
        <v>8030900</v>
      </c>
      <c r="B938" t="s">
        <v>937</v>
      </c>
      <c r="C938">
        <v>900</v>
      </c>
      <c r="D938">
        <v>900</v>
      </c>
      <c r="E938">
        <v>10000</v>
      </c>
      <c r="F938">
        <v>110</v>
      </c>
      <c r="G938">
        <v>0</v>
      </c>
      <c r="H938">
        <v>0</v>
      </c>
      <c r="I938">
        <v>0</v>
      </c>
      <c r="J938">
        <v>110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66</v>
      </c>
      <c r="Q938">
        <v>0</v>
      </c>
      <c r="R938">
        <v>0</v>
      </c>
      <c r="S938">
        <v>0</v>
      </c>
      <c r="T938">
        <v>14</v>
      </c>
      <c r="U938">
        <v>12</v>
      </c>
      <c r="V938">
        <v>0</v>
      </c>
      <c r="W938">
        <v>0</v>
      </c>
      <c r="X938">
        <v>0</v>
      </c>
    </row>
    <row r="939" spans="1:24" x14ac:dyDescent="0.2">
      <c r="A939">
        <v>8031000</v>
      </c>
      <c r="B939" t="s">
        <v>938</v>
      </c>
      <c r="C939">
        <v>1000</v>
      </c>
      <c r="D939">
        <v>1000</v>
      </c>
      <c r="E939">
        <v>10000</v>
      </c>
      <c r="F939">
        <v>115</v>
      </c>
      <c r="G939">
        <v>0</v>
      </c>
      <c r="H939">
        <v>0</v>
      </c>
      <c r="I939">
        <v>0</v>
      </c>
      <c r="J939">
        <v>115</v>
      </c>
      <c r="K939">
        <v>0</v>
      </c>
      <c r="L939">
        <v>0</v>
      </c>
      <c r="M939">
        <v>0</v>
      </c>
      <c r="N939">
        <v>0</v>
      </c>
      <c r="O939">
        <v>4</v>
      </c>
      <c r="P939">
        <v>66</v>
      </c>
      <c r="Q939">
        <v>0</v>
      </c>
      <c r="R939">
        <v>66</v>
      </c>
      <c r="S939">
        <v>66</v>
      </c>
      <c r="T939">
        <v>14</v>
      </c>
      <c r="U939">
        <v>12</v>
      </c>
      <c r="V939">
        <v>0</v>
      </c>
      <c r="W939">
        <v>0</v>
      </c>
      <c r="X939">
        <v>0</v>
      </c>
    </row>
    <row r="940" spans="1:24" x14ac:dyDescent="0.2">
      <c r="A940">
        <v>8031100</v>
      </c>
      <c r="B940" t="s">
        <v>939</v>
      </c>
      <c r="C940">
        <v>1100</v>
      </c>
      <c r="D940">
        <v>1100</v>
      </c>
      <c r="E940">
        <v>10000</v>
      </c>
      <c r="F940">
        <v>110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66</v>
      </c>
      <c r="Q940">
        <v>0</v>
      </c>
      <c r="R940">
        <v>0</v>
      </c>
      <c r="S940">
        <v>0</v>
      </c>
      <c r="T940">
        <v>14</v>
      </c>
      <c r="U940">
        <v>12</v>
      </c>
      <c r="V940">
        <v>0</v>
      </c>
      <c r="W940">
        <v>0</v>
      </c>
      <c r="X940">
        <v>0</v>
      </c>
    </row>
    <row r="941" spans="1:24" x14ac:dyDescent="0.2">
      <c r="A941">
        <v>8031200</v>
      </c>
      <c r="B941" t="s">
        <v>940</v>
      </c>
      <c r="C941">
        <v>1200</v>
      </c>
      <c r="D941">
        <v>1200</v>
      </c>
      <c r="E941">
        <v>10000</v>
      </c>
      <c r="F941">
        <v>110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66</v>
      </c>
      <c r="Q941">
        <v>0</v>
      </c>
      <c r="R941">
        <v>0</v>
      </c>
      <c r="S941">
        <v>0</v>
      </c>
      <c r="T941">
        <v>14</v>
      </c>
      <c r="U941">
        <v>12</v>
      </c>
      <c r="V941">
        <v>0</v>
      </c>
      <c r="W941">
        <v>0</v>
      </c>
      <c r="X941">
        <v>0</v>
      </c>
    </row>
    <row r="942" spans="1:24" x14ac:dyDescent="0.2">
      <c r="A942">
        <v>8031300</v>
      </c>
      <c r="B942" t="s">
        <v>941</v>
      </c>
      <c r="C942">
        <v>1300</v>
      </c>
      <c r="D942">
        <v>1300</v>
      </c>
      <c r="E942">
        <v>10000</v>
      </c>
      <c r="F942">
        <v>125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66</v>
      </c>
      <c r="Q942">
        <v>0</v>
      </c>
      <c r="R942">
        <v>0</v>
      </c>
      <c r="S942">
        <v>0</v>
      </c>
      <c r="T942">
        <v>14</v>
      </c>
      <c r="U942">
        <v>12</v>
      </c>
      <c r="V942">
        <v>0</v>
      </c>
      <c r="W942">
        <v>0</v>
      </c>
      <c r="X942">
        <v>0</v>
      </c>
    </row>
    <row r="943" spans="1:24" x14ac:dyDescent="0.2">
      <c r="A943">
        <v>8031400</v>
      </c>
      <c r="B943" t="s">
        <v>942</v>
      </c>
      <c r="C943">
        <v>1400</v>
      </c>
      <c r="D943">
        <v>1400</v>
      </c>
      <c r="E943">
        <v>10014</v>
      </c>
      <c r="F943">
        <v>115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66</v>
      </c>
      <c r="Q943">
        <v>0</v>
      </c>
      <c r="R943">
        <v>0</v>
      </c>
      <c r="S943">
        <v>66</v>
      </c>
      <c r="T943">
        <v>14</v>
      </c>
      <c r="U943">
        <v>12</v>
      </c>
      <c r="V943">
        <v>0</v>
      </c>
      <c r="W943">
        <v>0</v>
      </c>
      <c r="X943">
        <v>0</v>
      </c>
    </row>
    <row r="944" spans="1:24" x14ac:dyDescent="0.2">
      <c r="A944">
        <v>8031500</v>
      </c>
      <c r="B944" t="s">
        <v>943</v>
      </c>
      <c r="C944">
        <v>1500</v>
      </c>
      <c r="D944">
        <v>1500</v>
      </c>
      <c r="E944">
        <v>10015</v>
      </c>
      <c r="F944">
        <v>110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66</v>
      </c>
      <c r="Q944">
        <v>0</v>
      </c>
      <c r="R944">
        <v>0</v>
      </c>
      <c r="S944">
        <v>0</v>
      </c>
      <c r="T944">
        <v>14</v>
      </c>
      <c r="U944">
        <v>12</v>
      </c>
      <c r="V944">
        <v>0</v>
      </c>
      <c r="W944">
        <v>0</v>
      </c>
      <c r="X944">
        <v>0</v>
      </c>
    </row>
    <row r="945" spans="1:24" x14ac:dyDescent="0.2">
      <c r="A945">
        <v>8060000</v>
      </c>
      <c r="B945" t="s">
        <v>944</v>
      </c>
      <c r="C945">
        <v>0</v>
      </c>
      <c r="D945">
        <v>0</v>
      </c>
      <c r="E945">
        <v>10000</v>
      </c>
      <c r="F945">
        <v>148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58</v>
      </c>
      <c r="Q945">
        <v>0</v>
      </c>
      <c r="R945">
        <v>0</v>
      </c>
      <c r="S945">
        <v>0</v>
      </c>
      <c r="T945">
        <v>18</v>
      </c>
      <c r="U945">
        <v>22</v>
      </c>
      <c r="V945">
        <v>0</v>
      </c>
      <c r="W945">
        <v>0</v>
      </c>
      <c r="X945">
        <v>0</v>
      </c>
    </row>
    <row r="946" spans="1:24" x14ac:dyDescent="0.2">
      <c r="A946">
        <v>8060100</v>
      </c>
      <c r="B946" t="s">
        <v>945</v>
      </c>
      <c r="C946">
        <v>200</v>
      </c>
      <c r="D946">
        <v>4000</v>
      </c>
      <c r="E946">
        <v>10000</v>
      </c>
      <c r="F946">
        <v>148</v>
      </c>
      <c r="G946">
        <v>0</v>
      </c>
      <c r="H946">
        <v>0</v>
      </c>
      <c r="I946">
        <v>0</v>
      </c>
      <c r="J946">
        <v>0</v>
      </c>
      <c r="K946">
        <v>1</v>
      </c>
      <c r="L946">
        <v>0</v>
      </c>
      <c r="M946">
        <v>0</v>
      </c>
      <c r="N946">
        <v>0</v>
      </c>
      <c r="O946">
        <v>0</v>
      </c>
      <c r="P946">
        <v>55</v>
      </c>
      <c r="Q946">
        <v>0</v>
      </c>
      <c r="R946">
        <v>0</v>
      </c>
      <c r="S946">
        <v>0</v>
      </c>
      <c r="T946">
        <v>18</v>
      </c>
      <c r="U946">
        <v>22</v>
      </c>
      <c r="V946">
        <v>0</v>
      </c>
      <c r="W946">
        <v>0</v>
      </c>
      <c r="X946">
        <v>0</v>
      </c>
    </row>
    <row r="947" spans="1:24" x14ac:dyDescent="0.2">
      <c r="A947">
        <v>8060200</v>
      </c>
      <c r="B947" t="s">
        <v>946</v>
      </c>
      <c r="C947">
        <v>100</v>
      </c>
      <c r="D947">
        <v>200</v>
      </c>
      <c r="E947">
        <v>10000</v>
      </c>
      <c r="F947">
        <v>148</v>
      </c>
      <c r="G947">
        <v>0</v>
      </c>
      <c r="H947">
        <v>0</v>
      </c>
      <c r="I947">
        <v>0</v>
      </c>
      <c r="J947">
        <v>0</v>
      </c>
      <c r="K947">
        <v>2</v>
      </c>
      <c r="L947">
        <v>0</v>
      </c>
      <c r="M947">
        <v>0</v>
      </c>
      <c r="N947">
        <v>0</v>
      </c>
      <c r="O947">
        <v>0</v>
      </c>
      <c r="P947">
        <v>11</v>
      </c>
      <c r="Q947">
        <v>37</v>
      </c>
      <c r="R947">
        <v>0</v>
      </c>
      <c r="S947">
        <v>0</v>
      </c>
      <c r="T947">
        <v>18</v>
      </c>
      <c r="U947">
        <v>22</v>
      </c>
      <c r="V947">
        <v>0</v>
      </c>
      <c r="W947">
        <v>0</v>
      </c>
      <c r="X947">
        <v>0</v>
      </c>
    </row>
    <row r="948" spans="1:24" x14ac:dyDescent="0.2">
      <c r="A948">
        <v>8060300</v>
      </c>
      <c r="B948" t="s">
        <v>947</v>
      </c>
      <c r="C948">
        <v>300</v>
      </c>
      <c r="D948">
        <v>4100</v>
      </c>
      <c r="E948">
        <v>10000</v>
      </c>
      <c r="F948">
        <v>148</v>
      </c>
      <c r="G948">
        <v>0</v>
      </c>
      <c r="H948">
        <v>0</v>
      </c>
      <c r="I948">
        <v>0</v>
      </c>
      <c r="J948">
        <v>0</v>
      </c>
      <c r="K948">
        <v>8</v>
      </c>
      <c r="L948">
        <v>0</v>
      </c>
      <c r="M948">
        <v>0</v>
      </c>
      <c r="N948">
        <v>0</v>
      </c>
      <c r="O948">
        <v>0</v>
      </c>
      <c r="P948">
        <v>46</v>
      </c>
      <c r="Q948">
        <v>46</v>
      </c>
      <c r="R948">
        <v>0</v>
      </c>
      <c r="S948">
        <v>0</v>
      </c>
      <c r="T948">
        <v>18</v>
      </c>
      <c r="U948">
        <v>22</v>
      </c>
      <c r="V948">
        <v>0</v>
      </c>
      <c r="W948">
        <v>0</v>
      </c>
      <c r="X948">
        <v>0</v>
      </c>
    </row>
    <row r="949" spans="1:24" x14ac:dyDescent="0.2">
      <c r="A949">
        <v>8060400</v>
      </c>
      <c r="B949" t="s">
        <v>948</v>
      </c>
      <c r="C949">
        <v>500</v>
      </c>
      <c r="D949">
        <v>500</v>
      </c>
      <c r="E949">
        <v>10000</v>
      </c>
      <c r="F949">
        <v>141</v>
      </c>
      <c r="G949">
        <v>141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58</v>
      </c>
      <c r="Q949">
        <v>0</v>
      </c>
      <c r="R949">
        <v>58</v>
      </c>
      <c r="S949">
        <v>0</v>
      </c>
      <c r="T949">
        <v>18</v>
      </c>
      <c r="U949">
        <v>22</v>
      </c>
      <c r="V949">
        <v>0</v>
      </c>
      <c r="W949">
        <v>0</v>
      </c>
      <c r="X949">
        <v>0</v>
      </c>
    </row>
    <row r="950" spans="1:24" x14ac:dyDescent="0.2">
      <c r="A950">
        <v>8060500</v>
      </c>
      <c r="B950" t="s">
        <v>949</v>
      </c>
      <c r="C950">
        <v>400</v>
      </c>
      <c r="D950">
        <v>400</v>
      </c>
      <c r="E950">
        <v>10000</v>
      </c>
      <c r="F950">
        <v>141</v>
      </c>
      <c r="G950">
        <v>141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58</v>
      </c>
      <c r="Q950">
        <v>0</v>
      </c>
      <c r="R950">
        <v>58</v>
      </c>
      <c r="S950">
        <v>0</v>
      </c>
      <c r="T950">
        <v>18</v>
      </c>
      <c r="U950">
        <v>22</v>
      </c>
      <c r="V950">
        <v>0</v>
      </c>
      <c r="W950">
        <v>0</v>
      </c>
      <c r="X950">
        <v>0</v>
      </c>
    </row>
    <row r="951" spans="1:24" x14ac:dyDescent="0.2">
      <c r="A951">
        <v>8060600</v>
      </c>
      <c r="B951" t="s">
        <v>950</v>
      </c>
      <c r="C951">
        <v>600</v>
      </c>
      <c r="D951">
        <v>600</v>
      </c>
      <c r="E951">
        <v>10000</v>
      </c>
      <c r="F951">
        <v>128</v>
      </c>
      <c r="G951">
        <v>0</v>
      </c>
      <c r="H951">
        <v>128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58</v>
      </c>
      <c r="Q951">
        <v>0</v>
      </c>
      <c r="R951">
        <v>0</v>
      </c>
      <c r="S951">
        <v>0</v>
      </c>
      <c r="T951">
        <v>18</v>
      </c>
      <c r="U951">
        <v>22</v>
      </c>
      <c r="V951">
        <v>0</v>
      </c>
      <c r="W951">
        <v>0</v>
      </c>
      <c r="X951">
        <v>0</v>
      </c>
    </row>
    <row r="952" spans="1:24" x14ac:dyDescent="0.2">
      <c r="A952">
        <v>8060700</v>
      </c>
      <c r="B952" t="s">
        <v>951</v>
      </c>
      <c r="C952">
        <v>700</v>
      </c>
      <c r="D952">
        <v>700</v>
      </c>
      <c r="E952">
        <v>10000</v>
      </c>
      <c r="F952">
        <v>141</v>
      </c>
      <c r="G952">
        <v>0</v>
      </c>
      <c r="H952">
        <v>141</v>
      </c>
      <c r="I952">
        <v>0</v>
      </c>
      <c r="J952">
        <v>0</v>
      </c>
      <c r="K952">
        <v>0</v>
      </c>
      <c r="L952">
        <v>0</v>
      </c>
      <c r="M952">
        <v>4</v>
      </c>
      <c r="N952">
        <v>0</v>
      </c>
      <c r="O952">
        <v>0</v>
      </c>
      <c r="P952">
        <v>58</v>
      </c>
      <c r="Q952">
        <v>0</v>
      </c>
      <c r="R952">
        <v>58</v>
      </c>
      <c r="S952">
        <v>58</v>
      </c>
      <c r="T952">
        <v>18</v>
      </c>
      <c r="U952">
        <v>22</v>
      </c>
      <c r="V952">
        <v>0</v>
      </c>
      <c r="W952">
        <v>0</v>
      </c>
      <c r="X952">
        <v>0</v>
      </c>
    </row>
    <row r="953" spans="1:24" x14ac:dyDescent="0.2">
      <c r="A953">
        <v>8060800</v>
      </c>
      <c r="B953" t="s">
        <v>952</v>
      </c>
      <c r="C953">
        <v>800</v>
      </c>
      <c r="D953">
        <v>800</v>
      </c>
      <c r="E953">
        <v>10000</v>
      </c>
      <c r="F953">
        <v>141</v>
      </c>
      <c r="G953">
        <v>0</v>
      </c>
      <c r="H953">
        <v>0</v>
      </c>
      <c r="I953">
        <v>141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58</v>
      </c>
      <c r="Q953">
        <v>0</v>
      </c>
      <c r="R953">
        <v>0</v>
      </c>
      <c r="S953">
        <v>58</v>
      </c>
      <c r="T953">
        <v>18</v>
      </c>
      <c r="U953">
        <v>22</v>
      </c>
      <c r="V953">
        <v>0</v>
      </c>
      <c r="W953">
        <v>0</v>
      </c>
      <c r="X953">
        <v>0</v>
      </c>
    </row>
    <row r="954" spans="1:24" x14ac:dyDescent="0.2">
      <c r="A954">
        <v>8060900</v>
      </c>
      <c r="B954" t="s">
        <v>953</v>
      </c>
      <c r="C954">
        <v>900</v>
      </c>
      <c r="D954">
        <v>900</v>
      </c>
      <c r="E954">
        <v>10000</v>
      </c>
      <c r="F954">
        <v>128</v>
      </c>
      <c r="G954">
        <v>0</v>
      </c>
      <c r="H954">
        <v>0</v>
      </c>
      <c r="I954">
        <v>0</v>
      </c>
      <c r="J954">
        <v>128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58</v>
      </c>
      <c r="Q954">
        <v>0</v>
      </c>
      <c r="R954">
        <v>0</v>
      </c>
      <c r="S954">
        <v>0</v>
      </c>
      <c r="T954">
        <v>18</v>
      </c>
      <c r="U954">
        <v>22</v>
      </c>
      <c r="V954">
        <v>0</v>
      </c>
      <c r="W954">
        <v>0</v>
      </c>
      <c r="X954">
        <v>0</v>
      </c>
    </row>
    <row r="955" spans="1:24" x14ac:dyDescent="0.2">
      <c r="A955">
        <v>8061000</v>
      </c>
      <c r="B955" t="s">
        <v>954</v>
      </c>
      <c r="C955">
        <v>1000</v>
      </c>
      <c r="D955">
        <v>1000</v>
      </c>
      <c r="E955">
        <v>10000</v>
      </c>
      <c r="F955">
        <v>141</v>
      </c>
      <c r="G955">
        <v>0</v>
      </c>
      <c r="H955">
        <v>0</v>
      </c>
      <c r="I955">
        <v>0</v>
      </c>
      <c r="J955">
        <v>141</v>
      </c>
      <c r="K955">
        <v>0</v>
      </c>
      <c r="L955">
        <v>0</v>
      </c>
      <c r="M955">
        <v>0</v>
      </c>
      <c r="N955">
        <v>0</v>
      </c>
      <c r="O955">
        <v>4</v>
      </c>
      <c r="P955">
        <v>58</v>
      </c>
      <c r="Q955">
        <v>0</v>
      </c>
      <c r="R955">
        <v>58</v>
      </c>
      <c r="S955">
        <v>58</v>
      </c>
      <c r="T955">
        <v>18</v>
      </c>
      <c r="U955">
        <v>22</v>
      </c>
      <c r="V955">
        <v>0</v>
      </c>
      <c r="W955">
        <v>0</v>
      </c>
      <c r="X955">
        <v>0</v>
      </c>
    </row>
    <row r="956" spans="1:24" x14ac:dyDescent="0.2">
      <c r="A956">
        <v>8061100</v>
      </c>
      <c r="B956" t="s">
        <v>955</v>
      </c>
      <c r="C956">
        <v>1100</v>
      </c>
      <c r="D956">
        <v>1100</v>
      </c>
      <c r="E956">
        <v>10000</v>
      </c>
      <c r="F956">
        <v>148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58</v>
      </c>
      <c r="Q956">
        <v>0</v>
      </c>
      <c r="R956">
        <v>0</v>
      </c>
      <c r="S956">
        <v>0</v>
      </c>
      <c r="T956">
        <v>18</v>
      </c>
      <c r="U956">
        <v>22</v>
      </c>
      <c r="V956">
        <v>0</v>
      </c>
      <c r="W956">
        <v>0</v>
      </c>
      <c r="X956">
        <v>0</v>
      </c>
    </row>
    <row r="957" spans="1:24" x14ac:dyDescent="0.2">
      <c r="A957">
        <v>8061200</v>
      </c>
      <c r="B957" t="s">
        <v>956</v>
      </c>
      <c r="C957">
        <v>1200</v>
      </c>
      <c r="D957">
        <v>1200</v>
      </c>
      <c r="E957">
        <v>10000</v>
      </c>
      <c r="F957">
        <v>148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58</v>
      </c>
      <c r="Q957">
        <v>0</v>
      </c>
      <c r="R957">
        <v>0</v>
      </c>
      <c r="S957">
        <v>0</v>
      </c>
      <c r="T957">
        <v>18</v>
      </c>
      <c r="U957">
        <v>22</v>
      </c>
      <c r="V957">
        <v>0</v>
      </c>
      <c r="W957">
        <v>0</v>
      </c>
      <c r="X957">
        <v>0</v>
      </c>
    </row>
    <row r="958" spans="1:24" x14ac:dyDescent="0.2">
      <c r="A958">
        <v>8061300</v>
      </c>
      <c r="B958" t="s">
        <v>957</v>
      </c>
      <c r="C958">
        <v>1300</v>
      </c>
      <c r="D958">
        <v>1300</v>
      </c>
      <c r="E958">
        <v>10000</v>
      </c>
      <c r="F958">
        <v>153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58</v>
      </c>
      <c r="Q958">
        <v>0</v>
      </c>
      <c r="R958">
        <v>0</v>
      </c>
      <c r="S958">
        <v>0</v>
      </c>
      <c r="T958">
        <v>18</v>
      </c>
      <c r="U958">
        <v>22</v>
      </c>
      <c r="V958">
        <v>0</v>
      </c>
      <c r="W958">
        <v>0</v>
      </c>
      <c r="X958">
        <v>0</v>
      </c>
    </row>
    <row r="959" spans="1:24" x14ac:dyDescent="0.2">
      <c r="A959">
        <v>8061400</v>
      </c>
      <c r="B959" t="s">
        <v>958</v>
      </c>
      <c r="C959">
        <v>1400</v>
      </c>
      <c r="D959">
        <v>1400</v>
      </c>
      <c r="E959">
        <v>10014</v>
      </c>
      <c r="F959">
        <v>141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58</v>
      </c>
      <c r="Q959">
        <v>0</v>
      </c>
      <c r="R959">
        <v>0</v>
      </c>
      <c r="S959">
        <v>58</v>
      </c>
      <c r="T959">
        <v>18</v>
      </c>
      <c r="U959">
        <v>22</v>
      </c>
      <c r="V959">
        <v>0</v>
      </c>
      <c r="W959">
        <v>0</v>
      </c>
      <c r="X959">
        <v>0</v>
      </c>
    </row>
    <row r="960" spans="1:24" x14ac:dyDescent="0.2">
      <c r="A960">
        <v>8061500</v>
      </c>
      <c r="B960" t="s">
        <v>959</v>
      </c>
      <c r="C960">
        <v>1500</v>
      </c>
      <c r="D960">
        <v>1500</v>
      </c>
      <c r="E960">
        <v>10015</v>
      </c>
      <c r="F960">
        <v>148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58</v>
      </c>
      <c r="Q960">
        <v>0</v>
      </c>
      <c r="R960">
        <v>0</v>
      </c>
      <c r="S960">
        <v>0</v>
      </c>
      <c r="T960">
        <v>18</v>
      </c>
      <c r="U960">
        <v>22</v>
      </c>
      <c r="V960">
        <v>0</v>
      </c>
      <c r="W960">
        <v>0</v>
      </c>
      <c r="X960">
        <v>0</v>
      </c>
    </row>
    <row r="961" spans="1:24" x14ac:dyDescent="0.2">
      <c r="A961">
        <v>8080000</v>
      </c>
      <c r="B961" t="s">
        <v>960</v>
      </c>
      <c r="C961">
        <v>0</v>
      </c>
      <c r="D961">
        <v>0</v>
      </c>
      <c r="E961">
        <v>10000</v>
      </c>
      <c r="F961">
        <v>152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67</v>
      </c>
      <c r="Q961">
        <v>0</v>
      </c>
      <c r="R961">
        <v>0</v>
      </c>
      <c r="S961">
        <v>0</v>
      </c>
      <c r="T961">
        <v>20</v>
      </c>
      <c r="U961">
        <v>28</v>
      </c>
      <c r="V961">
        <v>0</v>
      </c>
      <c r="W961">
        <v>0</v>
      </c>
      <c r="X961">
        <v>0</v>
      </c>
    </row>
    <row r="962" spans="1:24" x14ac:dyDescent="0.2">
      <c r="A962">
        <v>8080100</v>
      </c>
      <c r="B962" t="s">
        <v>961</v>
      </c>
      <c r="C962">
        <v>200</v>
      </c>
      <c r="D962">
        <v>4000</v>
      </c>
      <c r="E962">
        <v>10000</v>
      </c>
      <c r="F962">
        <v>152</v>
      </c>
      <c r="G962">
        <v>0</v>
      </c>
      <c r="H962">
        <v>0</v>
      </c>
      <c r="I962">
        <v>0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0</v>
      </c>
      <c r="P962">
        <v>64</v>
      </c>
      <c r="Q962">
        <v>0</v>
      </c>
      <c r="R962">
        <v>0</v>
      </c>
      <c r="S962">
        <v>0</v>
      </c>
      <c r="T962">
        <v>20</v>
      </c>
      <c r="U962">
        <v>28</v>
      </c>
      <c r="V962">
        <v>0</v>
      </c>
      <c r="W962">
        <v>0</v>
      </c>
      <c r="X962">
        <v>0</v>
      </c>
    </row>
    <row r="963" spans="1:24" x14ac:dyDescent="0.2">
      <c r="A963">
        <v>8080200</v>
      </c>
      <c r="B963" t="s">
        <v>962</v>
      </c>
      <c r="C963">
        <v>100</v>
      </c>
      <c r="D963">
        <v>200</v>
      </c>
      <c r="E963">
        <v>10000</v>
      </c>
      <c r="F963">
        <v>152</v>
      </c>
      <c r="G963">
        <v>0</v>
      </c>
      <c r="H963">
        <v>0</v>
      </c>
      <c r="I963">
        <v>0</v>
      </c>
      <c r="J963">
        <v>0</v>
      </c>
      <c r="K963">
        <v>2</v>
      </c>
      <c r="L963">
        <v>0</v>
      </c>
      <c r="M963">
        <v>0</v>
      </c>
      <c r="N963">
        <v>0</v>
      </c>
      <c r="O963">
        <v>0</v>
      </c>
      <c r="P963">
        <v>13</v>
      </c>
      <c r="Q963">
        <v>40</v>
      </c>
      <c r="R963">
        <v>0</v>
      </c>
      <c r="S963">
        <v>0</v>
      </c>
      <c r="T963">
        <v>20</v>
      </c>
      <c r="U963">
        <v>28</v>
      </c>
      <c r="V963">
        <v>0</v>
      </c>
      <c r="W963">
        <v>0</v>
      </c>
      <c r="X963">
        <v>0</v>
      </c>
    </row>
    <row r="964" spans="1:24" x14ac:dyDescent="0.2">
      <c r="A964">
        <v>8080300</v>
      </c>
      <c r="B964" t="s">
        <v>963</v>
      </c>
      <c r="C964">
        <v>300</v>
      </c>
      <c r="D964">
        <v>4100</v>
      </c>
      <c r="E964">
        <v>10000</v>
      </c>
      <c r="F964">
        <v>152</v>
      </c>
      <c r="G964">
        <v>0</v>
      </c>
      <c r="H964">
        <v>0</v>
      </c>
      <c r="I964">
        <v>0</v>
      </c>
      <c r="J964">
        <v>0</v>
      </c>
      <c r="K964">
        <v>8</v>
      </c>
      <c r="L964">
        <v>0</v>
      </c>
      <c r="M964">
        <v>0</v>
      </c>
      <c r="N964">
        <v>0</v>
      </c>
      <c r="O964">
        <v>0</v>
      </c>
      <c r="P964">
        <v>60</v>
      </c>
      <c r="Q964">
        <v>53</v>
      </c>
      <c r="R964">
        <v>0</v>
      </c>
      <c r="S964">
        <v>0</v>
      </c>
      <c r="T964">
        <v>20</v>
      </c>
      <c r="U964">
        <v>28</v>
      </c>
      <c r="V964">
        <v>0</v>
      </c>
      <c r="W964">
        <v>0</v>
      </c>
      <c r="X964">
        <v>0</v>
      </c>
    </row>
    <row r="965" spans="1:24" x14ac:dyDescent="0.2">
      <c r="A965">
        <v>8080400</v>
      </c>
      <c r="B965" t="s">
        <v>964</v>
      </c>
      <c r="C965">
        <v>500</v>
      </c>
      <c r="D965">
        <v>500</v>
      </c>
      <c r="E965">
        <v>10000</v>
      </c>
      <c r="F965">
        <v>147</v>
      </c>
      <c r="G965">
        <v>147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67</v>
      </c>
      <c r="Q965">
        <v>0</v>
      </c>
      <c r="R965">
        <v>67</v>
      </c>
      <c r="S965">
        <v>0</v>
      </c>
      <c r="T965">
        <v>20</v>
      </c>
      <c r="U965">
        <v>28</v>
      </c>
      <c r="V965">
        <v>0</v>
      </c>
      <c r="W965">
        <v>0</v>
      </c>
      <c r="X965">
        <v>0</v>
      </c>
    </row>
    <row r="966" spans="1:24" x14ac:dyDescent="0.2">
      <c r="A966">
        <v>8080500</v>
      </c>
      <c r="B966" t="s">
        <v>965</v>
      </c>
      <c r="C966">
        <v>400</v>
      </c>
      <c r="D966">
        <v>400</v>
      </c>
      <c r="E966">
        <v>10000</v>
      </c>
      <c r="F966">
        <v>147</v>
      </c>
      <c r="G966">
        <v>147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67</v>
      </c>
      <c r="Q966">
        <v>0</v>
      </c>
      <c r="R966">
        <v>67</v>
      </c>
      <c r="S966">
        <v>0</v>
      </c>
      <c r="T966">
        <v>20</v>
      </c>
      <c r="U966">
        <v>28</v>
      </c>
      <c r="V966">
        <v>0</v>
      </c>
      <c r="W966">
        <v>0</v>
      </c>
      <c r="X966">
        <v>0</v>
      </c>
    </row>
    <row r="967" spans="1:24" x14ac:dyDescent="0.2">
      <c r="A967">
        <v>8080600</v>
      </c>
      <c r="B967" t="s">
        <v>966</v>
      </c>
      <c r="C967">
        <v>600</v>
      </c>
      <c r="D967">
        <v>600</v>
      </c>
      <c r="E967">
        <v>10000</v>
      </c>
      <c r="F967">
        <v>143</v>
      </c>
      <c r="G967">
        <v>0</v>
      </c>
      <c r="H967">
        <v>143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67</v>
      </c>
      <c r="Q967">
        <v>0</v>
      </c>
      <c r="R967">
        <v>0</v>
      </c>
      <c r="S967">
        <v>0</v>
      </c>
      <c r="T967">
        <v>20</v>
      </c>
      <c r="U967">
        <v>28</v>
      </c>
      <c r="V967">
        <v>0</v>
      </c>
      <c r="W967">
        <v>0</v>
      </c>
      <c r="X967">
        <v>0</v>
      </c>
    </row>
    <row r="968" spans="1:24" x14ac:dyDescent="0.2">
      <c r="A968">
        <v>8080700</v>
      </c>
      <c r="B968" t="s">
        <v>967</v>
      </c>
      <c r="C968">
        <v>700</v>
      </c>
      <c r="D968">
        <v>700</v>
      </c>
      <c r="E968">
        <v>10000</v>
      </c>
      <c r="F968">
        <v>147</v>
      </c>
      <c r="G968">
        <v>0</v>
      </c>
      <c r="H968">
        <v>147</v>
      </c>
      <c r="I968">
        <v>0</v>
      </c>
      <c r="J968">
        <v>0</v>
      </c>
      <c r="K968">
        <v>0</v>
      </c>
      <c r="L968">
        <v>0</v>
      </c>
      <c r="M968">
        <v>4</v>
      </c>
      <c r="N968">
        <v>0</v>
      </c>
      <c r="O968">
        <v>0</v>
      </c>
      <c r="P968">
        <v>67</v>
      </c>
      <c r="Q968">
        <v>0</v>
      </c>
      <c r="R968">
        <v>67</v>
      </c>
      <c r="S968">
        <v>67</v>
      </c>
      <c r="T968">
        <v>20</v>
      </c>
      <c r="U968">
        <v>28</v>
      </c>
      <c r="V968">
        <v>0</v>
      </c>
      <c r="W968">
        <v>0</v>
      </c>
      <c r="X968">
        <v>0</v>
      </c>
    </row>
    <row r="969" spans="1:24" x14ac:dyDescent="0.2">
      <c r="A969">
        <v>8080800</v>
      </c>
      <c r="B969" t="s">
        <v>968</v>
      </c>
      <c r="C969">
        <v>800</v>
      </c>
      <c r="D969">
        <v>800</v>
      </c>
      <c r="E969">
        <v>10000</v>
      </c>
      <c r="F969">
        <v>147</v>
      </c>
      <c r="G969">
        <v>0</v>
      </c>
      <c r="H969">
        <v>0</v>
      </c>
      <c r="I969">
        <v>147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67</v>
      </c>
      <c r="Q969">
        <v>0</v>
      </c>
      <c r="R969">
        <v>0</v>
      </c>
      <c r="S969">
        <v>67</v>
      </c>
      <c r="T969">
        <v>20</v>
      </c>
      <c r="U969">
        <v>28</v>
      </c>
      <c r="V969">
        <v>0</v>
      </c>
      <c r="W969">
        <v>0</v>
      </c>
      <c r="X969">
        <v>0</v>
      </c>
    </row>
    <row r="970" spans="1:24" x14ac:dyDescent="0.2">
      <c r="A970">
        <v>8080900</v>
      </c>
      <c r="B970" t="s">
        <v>969</v>
      </c>
      <c r="C970">
        <v>900</v>
      </c>
      <c r="D970">
        <v>900</v>
      </c>
      <c r="E970">
        <v>10000</v>
      </c>
      <c r="F970">
        <v>143</v>
      </c>
      <c r="G970">
        <v>0</v>
      </c>
      <c r="H970">
        <v>0</v>
      </c>
      <c r="I970">
        <v>0</v>
      </c>
      <c r="J970">
        <v>143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67</v>
      </c>
      <c r="Q970">
        <v>0</v>
      </c>
      <c r="R970">
        <v>0</v>
      </c>
      <c r="S970">
        <v>0</v>
      </c>
      <c r="T970">
        <v>20</v>
      </c>
      <c r="U970">
        <v>28</v>
      </c>
      <c r="V970">
        <v>0</v>
      </c>
      <c r="W970">
        <v>0</v>
      </c>
      <c r="X970">
        <v>0</v>
      </c>
    </row>
    <row r="971" spans="1:24" x14ac:dyDescent="0.2">
      <c r="A971">
        <v>8081000</v>
      </c>
      <c r="B971" t="s">
        <v>970</v>
      </c>
      <c r="C971">
        <v>1000</v>
      </c>
      <c r="D971">
        <v>1000</v>
      </c>
      <c r="E971">
        <v>10000</v>
      </c>
      <c r="F971">
        <v>147</v>
      </c>
      <c r="G971">
        <v>0</v>
      </c>
      <c r="H971">
        <v>0</v>
      </c>
      <c r="I971">
        <v>0</v>
      </c>
      <c r="J971">
        <v>147</v>
      </c>
      <c r="K971">
        <v>0</v>
      </c>
      <c r="L971">
        <v>0</v>
      </c>
      <c r="M971">
        <v>0</v>
      </c>
      <c r="N971">
        <v>0</v>
      </c>
      <c r="O971">
        <v>4</v>
      </c>
      <c r="P971">
        <v>67</v>
      </c>
      <c r="Q971">
        <v>0</v>
      </c>
      <c r="R971">
        <v>67</v>
      </c>
      <c r="S971">
        <v>67</v>
      </c>
      <c r="T971">
        <v>20</v>
      </c>
      <c r="U971">
        <v>28</v>
      </c>
      <c r="V971">
        <v>0</v>
      </c>
      <c r="W971">
        <v>0</v>
      </c>
      <c r="X971">
        <v>0</v>
      </c>
    </row>
    <row r="972" spans="1:24" x14ac:dyDescent="0.2">
      <c r="A972">
        <v>8081100</v>
      </c>
      <c r="B972" t="s">
        <v>971</v>
      </c>
      <c r="C972">
        <v>1100</v>
      </c>
      <c r="D972">
        <v>1100</v>
      </c>
      <c r="E972">
        <v>10000</v>
      </c>
      <c r="F972">
        <v>152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67</v>
      </c>
      <c r="Q972">
        <v>0</v>
      </c>
      <c r="R972">
        <v>0</v>
      </c>
      <c r="S972">
        <v>0</v>
      </c>
      <c r="T972">
        <v>20</v>
      </c>
      <c r="U972">
        <v>28</v>
      </c>
      <c r="V972">
        <v>0</v>
      </c>
      <c r="W972">
        <v>0</v>
      </c>
      <c r="X972">
        <v>0</v>
      </c>
    </row>
    <row r="973" spans="1:24" x14ac:dyDescent="0.2">
      <c r="A973">
        <v>8081200</v>
      </c>
      <c r="B973" t="s">
        <v>972</v>
      </c>
      <c r="C973">
        <v>1200</v>
      </c>
      <c r="D973">
        <v>1200</v>
      </c>
      <c r="E973">
        <v>10000</v>
      </c>
      <c r="F973">
        <v>152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67</v>
      </c>
      <c r="Q973">
        <v>0</v>
      </c>
      <c r="R973">
        <v>0</v>
      </c>
      <c r="S973">
        <v>0</v>
      </c>
      <c r="T973">
        <v>20</v>
      </c>
      <c r="U973">
        <v>28</v>
      </c>
      <c r="V973">
        <v>0</v>
      </c>
      <c r="W973">
        <v>0</v>
      </c>
      <c r="X973">
        <v>0</v>
      </c>
    </row>
    <row r="974" spans="1:24" x14ac:dyDescent="0.2">
      <c r="A974">
        <v>8081300</v>
      </c>
      <c r="B974" t="s">
        <v>973</v>
      </c>
      <c r="C974">
        <v>1300</v>
      </c>
      <c r="D974">
        <v>1300</v>
      </c>
      <c r="E974">
        <v>10000</v>
      </c>
      <c r="F974">
        <v>173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67</v>
      </c>
      <c r="Q974">
        <v>0</v>
      </c>
      <c r="R974">
        <v>0</v>
      </c>
      <c r="S974">
        <v>0</v>
      </c>
      <c r="T974">
        <v>20</v>
      </c>
      <c r="U974">
        <v>28</v>
      </c>
      <c r="V974">
        <v>0</v>
      </c>
      <c r="W974">
        <v>0</v>
      </c>
      <c r="X974">
        <v>0</v>
      </c>
    </row>
    <row r="975" spans="1:24" x14ac:dyDescent="0.2">
      <c r="A975">
        <v>8081400</v>
      </c>
      <c r="B975" t="s">
        <v>974</v>
      </c>
      <c r="C975">
        <v>1400</v>
      </c>
      <c r="D975">
        <v>1400</v>
      </c>
      <c r="E975">
        <v>10014</v>
      </c>
      <c r="F975">
        <v>147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67</v>
      </c>
      <c r="Q975">
        <v>0</v>
      </c>
      <c r="R975">
        <v>0</v>
      </c>
      <c r="S975">
        <v>67</v>
      </c>
      <c r="T975">
        <v>20</v>
      </c>
      <c r="U975">
        <v>28</v>
      </c>
      <c r="V975">
        <v>0</v>
      </c>
      <c r="W975">
        <v>0</v>
      </c>
      <c r="X975">
        <v>0</v>
      </c>
    </row>
    <row r="976" spans="1:24" x14ac:dyDescent="0.2">
      <c r="A976">
        <v>8081500</v>
      </c>
      <c r="B976" t="s">
        <v>975</v>
      </c>
      <c r="C976">
        <v>1500</v>
      </c>
      <c r="D976">
        <v>1500</v>
      </c>
      <c r="E976">
        <v>10015</v>
      </c>
      <c r="F976">
        <v>152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67</v>
      </c>
      <c r="Q976">
        <v>0</v>
      </c>
      <c r="R976">
        <v>0</v>
      </c>
      <c r="S976">
        <v>0</v>
      </c>
      <c r="T976">
        <v>20</v>
      </c>
      <c r="U976">
        <v>28</v>
      </c>
      <c r="V976">
        <v>0</v>
      </c>
      <c r="W976">
        <v>0</v>
      </c>
      <c r="X976">
        <v>0</v>
      </c>
    </row>
    <row r="977" spans="1:24" x14ac:dyDescent="0.2">
      <c r="A977">
        <v>8110000</v>
      </c>
      <c r="B977" t="s">
        <v>976</v>
      </c>
      <c r="C977">
        <v>0</v>
      </c>
      <c r="D977">
        <v>0</v>
      </c>
      <c r="E977">
        <v>10000</v>
      </c>
      <c r="F977">
        <v>185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50</v>
      </c>
      <c r="Q977">
        <v>0</v>
      </c>
      <c r="R977">
        <v>0</v>
      </c>
      <c r="S977">
        <v>0</v>
      </c>
      <c r="T977">
        <v>15</v>
      </c>
      <c r="U977">
        <v>32</v>
      </c>
      <c r="V977">
        <v>0</v>
      </c>
      <c r="W977">
        <v>0</v>
      </c>
      <c r="X977">
        <v>0</v>
      </c>
    </row>
    <row r="978" spans="1:24" x14ac:dyDescent="0.2">
      <c r="A978">
        <v>8110100</v>
      </c>
      <c r="B978" t="s">
        <v>977</v>
      </c>
      <c r="C978">
        <v>200</v>
      </c>
      <c r="D978">
        <v>4000</v>
      </c>
      <c r="E978">
        <v>10000</v>
      </c>
      <c r="F978">
        <v>185</v>
      </c>
      <c r="G978">
        <v>0</v>
      </c>
      <c r="H978">
        <v>0</v>
      </c>
      <c r="I978">
        <v>0</v>
      </c>
      <c r="J978">
        <v>0</v>
      </c>
      <c r="K978">
        <v>1</v>
      </c>
      <c r="L978">
        <v>0</v>
      </c>
      <c r="M978">
        <v>0</v>
      </c>
      <c r="N978">
        <v>0</v>
      </c>
      <c r="O978">
        <v>0</v>
      </c>
      <c r="P978">
        <v>45</v>
      </c>
      <c r="Q978">
        <v>0</v>
      </c>
      <c r="R978">
        <v>0</v>
      </c>
      <c r="S978">
        <v>0</v>
      </c>
      <c r="T978">
        <v>15</v>
      </c>
      <c r="U978">
        <v>32</v>
      </c>
      <c r="V978">
        <v>0</v>
      </c>
      <c r="W978">
        <v>0</v>
      </c>
      <c r="X978">
        <v>0</v>
      </c>
    </row>
    <row r="979" spans="1:24" x14ac:dyDescent="0.2">
      <c r="A979">
        <v>8110200</v>
      </c>
      <c r="B979" t="s">
        <v>978</v>
      </c>
      <c r="C979">
        <v>100</v>
      </c>
      <c r="D979">
        <v>200</v>
      </c>
      <c r="E979">
        <v>10000</v>
      </c>
      <c r="F979">
        <v>185</v>
      </c>
      <c r="G979">
        <v>0</v>
      </c>
      <c r="H979">
        <v>0</v>
      </c>
      <c r="I979">
        <v>0</v>
      </c>
      <c r="J979">
        <v>0</v>
      </c>
      <c r="K979">
        <v>2</v>
      </c>
      <c r="L979">
        <v>0</v>
      </c>
      <c r="M979">
        <v>0</v>
      </c>
      <c r="N979">
        <v>0</v>
      </c>
      <c r="O979">
        <v>0</v>
      </c>
      <c r="P979">
        <v>10</v>
      </c>
      <c r="Q979">
        <v>30</v>
      </c>
      <c r="R979">
        <v>0</v>
      </c>
      <c r="S979">
        <v>0</v>
      </c>
      <c r="T979">
        <v>15</v>
      </c>
      <c r="U979">
        <v>32</v>
      </c>
      <c r="V979">
        <v>0</v>
      </c>
      <c r="W979">
        <v>0</v>
      </c>
      <c r="X979">
        <v>0</v>
      </c>
    </row>
    <row r="980" spans="1:24" x14ac:dyDescent="0.2">
      <c r="A980">
        <v>8110300</v>
      </c>
      <c r="B980" t="s">
        <v>979</v>
      </c>
      <c r="C980">
        <v>300</v>
      </c>
      <c r="D980">
        <v>4100</v>
      </c>
      <c r="E980">
        <v>10000</v>
      </c>
      <c r="F980">
        <v>185</v>
      </c>
      <c r="G980">
        <v>0</v>
      </c>
      <c r="H980">
        <v>0</v>
      </c>
      <c r="I980">
        <v>0</v>
      </c>
      <c r="J980">
        <v>0</v>
      </c>
      <c r="K980">
        <v>8</v>
      </c>
      <c r="L980">
        <v>0</v>
      </c>
      <c r="M980">
        <v>0</v>
      </c>
      <c r="N980">
        <v>0</v>
      </c>
      <c r="O980">
        <v>0</v>
      </c>
      <c r="P980">
        <v>37</v>
      </c>
      <c r="Q980">
        <v>35</v>
      </c>
      <c r="R980">
        <v>0</v>
      </c>
      <c r="S980">
        <v>0</v>
      </c>
      <c r="T980">
        <v>15</v>
      </c>
      <c r="U980">
        <v>32</v>
      </c>
      <c r="V980">
        <v>0</v>
      </c>
      <c r="W980">
        <v>0</v>
      </c>
      <c r="X980">
        <v>0</v>
      </c>
    </row>
    <row r="981" spans="1:24" x14ac:dyDescent="0.2">
      <c r="A981">
        <v>8110400</v>
      </c>
      <c r="B981" t="s">
        <v>980</v>
      </c>
      <c r="C981">
        <v>500</v>
      </c>
      <c r="D981">
        <v>500</v>
      </c>
      <c r="E981">
        <v>10000</v>
      </c>
      <c r="F981">
        <v>175</v>
      </c>
      <c r="G981">
        <v>175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50</v>
      </c>
      <c r="Q981">
        <v>0</v>
      </c>
      <c r="R981">
        <v>50</v>
      </c>
      <c r="S981">
        <v>0</v>
      </c>
      <c r="T981">
        <v>15</v>
      </c>
      <c r="U981">
        <v>32</v>
      </c>
      <c r="V981">
        <v>0</v>
      </c>
      <c r="W981">
        <v>0</v>
      </c>
      <c r="X981">
        <v>0</v>
      </c>
    </row>
    <row r="982" spans="1:24" x14ac:dyDescent="0.2">
      <c r="A982">
        <v>8110500</v>
      </c>
      <c r="B982" t="s">
        <v>981</v>
      </c>
      <c r="C982">
        <v>400</v>
      </c>
      <c r="D982">
        <v>400</v>
      </c>
      <c r="E982">
        <v>10000</v>
      </c>
      <c r="F982">
        <v>175</v>
      </c>
      <c r="G982">
        <v>175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50</v>
      </c>
      <c r="Q982">
        <v>0</v>
      </c>
      <c r="R982">
        <v>50</v>
      </c>
      <c r="S982">
        <v>0</v>
      </c>
      <c r="T982">
        <v>15</v>
      </c>
      <c r="U982">
        <v>32</v>
      </c>
      <c r="V982">
        <v>0</v>
      </c>
      <c r="W982">
        <v>0</v>
      </c>
      <c r="X982">
        <v>0</v>
      </c>
    </row>
    <row r="983" spans="1:24" x14ac:dyDescent="0.2">
      <c r="A983">
        <v>8110600</v>
      </c>
      <c r="B983" t="s">
        <v>982</v>
      </c>
      <c r="C983">
        <v>600</v>
      </c>
      <c r="D983">
        <v>600</v>
      </c>
      <c r="E983">
        <v>10000</v>
      </c>
      <c r="F983">
        <v>160</v>
      </c>
      <c r="G983">
        <v>0</v>
      </c>
      <c r="H983">
        <v>160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50</v>
      </c>
      <c r="Q983">
        <v>0</v>
      </c>
      <c r="R983">
        <v>0</v>
      </c>
      <c r="S983">
        <v>0</v>
      </c>
      <c r="T983">
        <v>15</v>
      </c>
      <c r="U983">
        <v>32</v>
      </c>
      <c r="V983">
        <v>0</v>
      </c>
      <c r="W983">
        <v>0</v>
      </c>
      <c r="X983">
        <v>0</v>
      </c>
    </row>
    <row r="984" spans="1:24" x14ac:dyDescent="0.2">
      <c r="A984">
        <v>8110700</v>
      </c>
      <c r="B984" t="s">
        <v>983</v>
      </c>
      <c r="C984">
        <v>700</v>
      </c>
      <c r="D984">
        <v>700</v>
      </c>
      <c r="E984">
        <v>10000</v>
      </c>
      <c r="F984">
        <v>175</v>
      </c>
      <c r="G984">
        <v>0</v>
      </c>
      <c r="H984">
        <v>175</v>
      </c>
      <c r="I984">
        <v>0</v>
      </c>
      <c r="J984">
        <v>0</v>
      </c>
      <c r="K984">
        <v>0</v>
      </c>
      <c r="L984">
        <v>0</v>
      </c>
      <c r="M984">
        <v>4</v>
      </c>
      <c r="N984">
        <v>0</v>
      </c>
      <c r="O984">
        <v>0</v>
      </c>
      <c r="P984">
        <v>50</v>
      </c>
      <c r="Q984">
        <v>0</v>
      </c>
      <c r="R984">
        <v>50</v>
      </c>
      <c r="S984">
        <v>50</v>
      </c>
      <c r="T984">
        <v>15</v>
      </c>
      <c r="U984">
        <v>32</v>
      </c>
      <c r="V984">
        <v>0</v>
      </c>
      <c r="W984">
        <v>0</v>
      </c>
      <c r="X984">
        <v>0</v>
      </c>
    </row>
    <row r="985" spans="1:24" x14ac:dyDescent="0.2">
      <c r="A985">
        <v>8110800</v>
      </c>
      <c r="B985" t="s">
        <v>984</v>
      </c>
      <c r="C985">
        <v>800</v>
      </c>
      <c r="D985">
        <v>800</v>
      </c>
      <c r="E985">
        <v>10000</v>
      </c>
      <c r="F985">
        <v>180</v>
      </c>
      <c r="G985">
        <v>0</v>
      </c>
      <c r="H985">
        <v>0</v>
      </c>
      <c r="I985">
        <v>180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50</v>
      </c>
      <c r="Q985">
        <v>0</v>
      </c>
      <c r="R985">
        <v>0</v>
      </c>
      <c r="S985">
        <v>50</v>
      </c>
      <c r="T985">
        <v>15</v>
      </c>
      <c r="U985">
        <v>32</v>
      </c>
      <c r="V985">
        <v>0</v>
      </c>
      <c r="W985">
        <v>0</v>
      </c>
      <c r="X985">
        <v>0</v>
      </c>
    </row>
    <row r="986" spans="1:24" x14ac:dyDescent="0.2">
      <c r="A986">
        <v>8110900</v>
      </c>
      <c r="B986" t="s">
        <v>985</v>
      </c>
      <c r="C986">
        <v>900</v>
      </c>
      <c r="D986">
        <v>900</v>
      </c>
      <c r="E986">
        <v>10000</v>
      </c>
      <c r="F986">
        <v>160</v>
      </c>
      <c r="G986">
        <v>0</v>
      </c>
      <c r="H986">
        <v>0</v>
      </c>
      <c r="I986">
        <v>0</v>
      </c>
      <c r="J986">
        <v>160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50</v>
      </c>
      <c r="Q986">
        <v>0</v>
      </c>
      <c r="R986">
        <v>0</v>
      </c>
      <c r="S986">
        <v>0</v>
      </c>
      <c r="T986">
        <v>15</v>
      </c>
      <c r="U986">
        <v>32</v>
      </c>
      <c r="V986">
        <v>0</v>
      </c>
      <c r="W986">
        <v>0</v>
      </c>
      <c r="X986">
        <v>0</v>
      </c>
    </row>
    <row r="987" spans="1:24" x14ac:dyDescent="0.2">
      <c r="A987">
        <v>8111000</v>
      </c>
      <c r="B987" t="s">
        <v>986</v>
      </c>
      <c r="C987">
        <v>1000</v>
      </c>
      <c r="D987">
        <v>1000</v>
      </c>
      <c r="E987">
        <v>10000</v>
      </c>
      <c r="F987">
        <v>175</v>
      </c>
      <c r="G987">
        <v>0</v>
      </c>
      <c r="H987">
        <v>0</v>
      </c>
      <c r="I987">
        <v>0</v>
      </c>
      <c r="J987">
        <v>175</v>
      </c>
      <c r="K987">
        <v>0</v>
      </c>
      <c r="L987">
        <v>0</v>
      </c>
      <c r="M987">
        <v>0</v>
      </c>
      <c r="N987">
        <v>0</v>
      </c>
      <c r="O987">
        <v>4</v>
      </c>
      <c r="P987">
        <v>50</v>
      </c>
      <c r="Q987">
        <v>0</v>
      </c>
      <c r="R987">
        <v>50</v>
      </c>
      <c r="S987">
        <v>50</v>
      </c>
      <c r="T987">
        <v>15</v>
      </c>
      <c r="U987">
        <v>32</v>
      </c>
      <c r="V987">
        <v>0</v>
      </c>
      <c r="W987">
        <v>0</v>
      </c>
      <c r="X987">
        <v>0</v>
      </c>
    </row>
    <row r="988" spans="1:24" x14ac:dyDescent="0.2">
      <c r="A988">
        <v>8111100</v>
      </c>
      <c r="B988" t="s">
        <v>987</v>
      </c>
      <c r="C988">
        <v>1100</v>
      </c>
      <c r="D988">
        <v>1100</v>
      </c>
      <c r="E988">
        <v>10000</v>
      </c>
      <c r="F988">
        <v>185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50</v>
      </c>
      <c r="Q988">
        <v>0</v>
      </c>
      <c r="R988">
        <v>0</v>
      </c>
      <c r="S988">
        <v>0</v>
      </c>
      <c r="T988">
        <v>15</v>
      </c>
      <c r="U988">
        <v>32</v>
      </c>
      <c r="V988">
        <v>0</v>
      </c>
      <c r="W988">
        <v>0</v>
      </c>
      <c r="X988">
        <v>0</v>
      </c>
    </row>
    <row r="989" spans="1:24" x14ac:dyDescent="0.2">
      <c r="A989">
        <v>8111200</v>
      </c>
      <c r="B989" t="s">
        <v>988</v>
      </c>
      <c r="C989">
        <v>1200</v>
      </c>
      <c r="D989">
        <v>1200</v>
      </c>
      <c r="E989">
        <v>10000</v>
      </c>
      <c r="F989">
        <v>185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50</v>
      </c>
      <c r="Q989">
        <v>0</v>
      </c>
      <c r="R989">
        <v>0</v>
      </c>
      <c r="S989">
        <v>0</v>
      </c>
      <c r="T989">
        <v>15</v>
      </c>
      <c r="U989">
        <v>32</v>
      </c>
      <c r="V989">
        <v>0</v>
      </c>
      <c r="W989">
        <v>0</v>
      </c>
      <c r="X989">
        <v>0</v>
      </c>
    </row>
    <row r="990" spans="1:24" x14ac:dyDescent="0.2">
      <c r="A990">
        <v>8111300</v>
      </c>
      <c r="B990" t="s">
        <v>989</v>
      </c>
      <c r="C990">
        <v>1300</v>
      </c>
      <c r="D990">
        <v>1300</v>
      </c>
      <c r="E990">
        <v>10000</v>
      </c>
      <c r="F990">
        <v>190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50</v>
      </c>
      <c r="Q990">
        <v>0</v>
      </c>
      <c r="R990">
        <v>0</v>
      </c>
      <c r="S990">
        <v>0</v>
      </c>
      <c r="T990">
        <v>15</v>
      </c>
      <c r="U990">
        <v>32</v>
      </c>
      <c r="V990">
        <v>0</v>
      </c>
      <c r="W990">
        <v>0</v>
      </c>
      <c r="X990">
        <v>0</v>
      </c>
    </row>
    <row r="991" spans="1:24" x14ac:dyDescent="0.2">
      <c r="A991">
        <v>8111400</v>
      </c>
      <c r="B991" t="s">
        <v>990</v>
      </c>
      <c r="C991">
        <v>1400</v>
      </c>
      <c r="D991">
        <v>1400</v>
      </c>
      <c r="E991">
        <v>10014</v>
      </c>
      <c r="F991">
        <v>175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50</v>
      </c>
      <c r="Q991">
        <v>0</v>
      </c>
      <c r="R991">
        <v>0</v>
      </c>
      <c r="S991">
        <v>50</v>
      </c>
      <c r="T991">
        <v>15</v>
      </c>
      <c r="U991">
        <v>32</v>
      </c>
      <c r="V991">
        <v>0</v>
      </c>
      <c r="W991">
        <v>0</v>
      </c>
      <c r="X991">
        <v>0</v>
      </c>
    </row>
    <row r="992" spans="1:24" x14ac:dyDescent="0.2">
      <c r="A992">
        <v>8111500</v>
      </c>
      <c r="B992" t="s">
        <v>991</v>
      </c>
      <c r="C992">
        <v>1500</v>
      </c>
      <c r="D992">
        <v>1500</v>
      </c>
      <c r="E992">
        <v>10015</v>
      </c>
      <c r="F992">
        <v>185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50</v>
      </c>
      <c r="Q992">
        <v>0</v>
      </c>
      <c r="R992">
        <v>0</v>
      </c>
      <c r="S992">
        <v>0</v>
      </c>
      <c r="T992">
        <v>15</v>
      </c>
      <c r="U992">
        <v>32</v>
      </c>
      <c r="V992">
        <v>0</v>
      </c>
      <c r="W992">
        <v>0</v>
      </c>
      <c r="X992">
        <v>0</v>
      </c>
    </row>
    <row r="993" spans="1:24" x14ac:dyDescent="0.2">
      <c r="A993">
        <v>8160000</v>
      </c>
      <c r="B993" t="s">
        <v>992</v>
      </c>
      <c r="C993">
        <v>0</v>
      </c>
      <c r="D993">
        <v>0</v>
      </c>
      <c r="E993">
        <v>10000</v>
      </c>
      <c r="F993">
        <v>125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61</v>
      </c>
      <c r="Q993">
        <v>0</v>
      </c>
      <c r="R993">
        <v>0</v>
      </c>
      <c r="S993">
        <v>0</v>
      </c>
      <c r="T993">
        <v>19</v>
      </c>
      <c r="U993">
        <v>18</v>
      </c>
      <c r="V993">
        <v>0</v>
      </c>
      <c r="W993">
        <v>0</v>
      </c>
      <c r="X993">
        <v>0</v>
      </c>
    </row>
    <row r="994" spans="1:24" x14ac:dyDescent="0.2">
      <c r="A994">
        <v>8160100</v>
      </c>
      <c r="B994" t="s">
        <v>993</v>
      </c>
      <c r="C994">
        <v>200</v>
      </c>
      <c r="D994">
        <v>4000</v>
      </c>
      <c r="E994">
        <v>10000</v>
      </c>
      <c r="F994">
        <v>125</v>
      </c>
      <c r="G994">
        <v>0</v>
      </c>
      <c r="H994">
        <v>0</v>
      </c>
      <c r="I994">
        <v>0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61</v>
      </c>
      <c r="Q994">
        <v>0</v>
      </c>
      <c r="R994">
        <v>0</v>
      </c>
      <c r="S994">
        <v>0</v>
      </c>
      <c r="T994">
        <v>19</v>
      </c>
      <c r="U994">
        <v>18</v>
      </c>
      <c r="V994">
        <v>0</v>
      </c>
      <c r="W994">
        <v>0</v>
      </c>
      <c r="X994">
        <v>0</v>
      </c>
    </row>
    <row r="995" spans="1:24" x14ac:dyDescent="0.2">
      <c r="A995">
        <v>8160200</v>
      </c>
      <c r="B995" t="s">
        <v>994</v>
      </c>
      <c r="C995">
        <v>100</v>
      </c>
      <c r="D995">
        <v>200</v>
      </c>
      <c r="E995">
        <v>10000</v>
      </c>
      <c r="F995">
        <v>125</v>
      </c>
      <c r="G995">
        <v>0</v>
      </c>
      <c r="H995">
        <v>0</v>
      </c>
      <c r="I995">
        <v>0</v>
      </c>
      <c r="J995">
        <v>0</v>
      </c>
      <c r="K995">
        <v>2</v>
      </c>
      <c r="L995">
        <v>0</v>
      </c>
      <c r="M995">
        <v>0</v>
      </c>
      <c r="N995">
        <v>0</v>
      </c>
      <c r="O995">
        <v>0</v>
      </c>
      <c r="P995">
        <v>12</v>
      </c>
      <c r="Q995">
        <v>39</v>
      </c>
      <c r="R995">
        <v>0</v>
      </c>
      <c r="S995">
        <v>0</v>
      </c>
      <c r="T995">
        <v>19</v>
      </c>
      <c r="U995">
        <v>18</v>
      </c>
      <c r="V995">
        <v>0</v>
      </c>
      <c r="W995">
        <v>0</v>
      </c>
      <c r="X995">
        <v>0</v>
      </c>
    </row>
    <row r="996" spans="1:24" x14ac:dyDescent="0.2">
      <c r="A996">
        <v>8160300</v>
      </c>
      <c r="B996" t="s">
        <v>995</v>
      </c>
      <c r="C996">
        <v>300</v>
      </c>
      <c r="D996">
        <v>4100</v>
      </c>
      <c r="E996">
        <v>10000</v>
      </c>
      <c r="F996">
        <v>125</v>
      </c>
      <c r="G996">
        <v>0</v>
      </c>
      <c r="H996">
        <v>0</v>
      </c>
      <c r="I996">
        <v>0</v>
      </c>
      <c r="J996">
        <v>0</v>
      </c>
      <c r="K996">
        <v>8</v>
      </c>
      <c r="L996">
        <v>0</v>
      </c>
      <c r="M996">
        <v>0</v>
      </c>
      <c r="N996">
        <v>0</v>
      </c>
      <c r="O996">
        <v>0</v>
      </c>
      <c r="P996">
        <v>48</v>
      </c>
      <c r="Q996">
        <v>48</v>
      </c>
      <c r="R996">
        <v>0</v>
      </c>
      <c r="S996">
        <v>0</v>
      </c>
      <c r="T996">
        <v>19</v>
      </c>
      <c r="U996">
        <v>18</v>
      </c>
      <c r="V996">
        <v>0</v>
      </c>
      <c r="W996">
        <v>0</v>
      </c>
      <c r="X996">
        <v>0</v>
      </c>
    </row>
    <row r="997" spans="1:24" x14ac:dyDescent="0.2">
      <c r="A997">
        <v>8160400</v>
      </c>
      <c r="B997" t="s">
        <v>996</v>
      </c>
      <c r="C997">
        <v>500</v>
      </c>
      <c r="D997">
        <v>500</v>
      </c>
      <c r="E997">
        <v>10000</v>
      </c>
      <c r="F997">
        <v>130</v>
      </c>
      <c r="G997">
        <v>130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61</v>
      </c>
      <c r="Q997">
        <v>0</v>
      </c>
      <c r="R997">
        <v>61</v>
      </c>
      <c r="S997">
        <v>0</v>
      </c>
      <c r="T997">
        <v>19</v>
      </c>
      <c r="U997">
        <v>18</v>
      </c>
      <c r="V997">
        <v>0</v>
      </c>
      <c r="W997">
        <v>0</v>
      </c>
      <c r="X997">
        <v>0</v>
      </c>
    </row>
    <row r="998" spans="1:24" x14ac:dyDescent="0.2">
      <c r="A998">
        <v>8160500</v>
      </c>
      <c r="B998" t="s">
        <v>997</v>
      </c>
      <c r="C998">
        <v>400</v>
      </c>
      <c r="D998">
        <v>400</v>
      </c>
      <c r="E998">
        <v>10000</v>
      </c>
      <c r="F998">
        <v>130</v>
      </c>
      <c r="G998">
        <v>130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61</v>
      </c>
      <c r="Q998">
        <v>0</v>
      </c>
      <c r="R998">
        <v>61</v>
      </c>
      <c r="S998">
        <v>0</v>
      </c>
      <c r="T998">
        <v>19</v>
      </c>
      <c r="U998">
        <v>18</v>
      </c>
      <c r="V998">
        <v>0</v>
      </c>
      <c r="W998">
        <v>0</v>
      </c>
      <c r="X998">
        <v>0</v>
      </c>
    </row>
    <row r="999" spans="1:24" x14ac:dyDescent="0.2">
      <c r="A999">
        <v>8160600</v>
      </c>
      <c r="B999" t="s">
        <v>998</v>
      </c>
      <c r="C999">
        <v>600</v>
      </c>
      <c r="D999">
        <v>600</v>
      </c>
      <c r="E999">
        <v>10000</v>
      </c>
      <c r="F999">
        <v>130</v>
      </c>
      <c r="G999">
        <v>0</v>
      </c>
      <c r="H999">
        <v>130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61</v>
      </c>
      <c r="Q999">
        <v>0</v>
      </c>
      <c r="R999">
        <v>0</v>
      </c>
      <c r="S999">
        <v>0</v>
      </c>
      <c r="T999">
        <v>19</v>
      </c>
      <c r="U999">
        <v>18</v>
      </c>
      <c r="V999">
        <v>0</v>
      </c>
      <c r="W999">
        <v>0</v>
      </c>
      <c r="X999">
        <v>0</v>
      </c>
    </row>
    <row r="1000" spans="1:24" x14ac:dyDescent="0.2">
      <c r="A1000">
        <v>8160700</v>
      </c>
      <c r="B1000" t="s">
        <v>999</v>
      </c>
      <c r="C1000">
        <v>700</v>
      </c>
      <c r="D1000">
        <v>700</v>
      </c>
      <c r="E1000">
        <v>10000</v>
      </c>
      <c r="F1000">
        <v>130</v>
      </c>
      <c r="G1000">
        <v>0</v>
      </c>
      <c r="H1000">
        <v>130</v>
      </c>
      <c r="I1000">
        <v>0</v>
      </c>
      <c r="J1000">
        <v>0</v>
      </c>
      <c r="K1000">
        <v>0</v>
      </c>
      <c r="L1000">
        <v>0</v>
      </c>
      <c r="M1000">
        <v>4</v>
      </c>
      <c r="N1000">
        <v>0</v>
      </c>
      <c r="O1000">
        <v>0</v>
      </c>
      <c r="P1000">
        <v>61</v>
      </c>
      <c r="Q1000">
        <v>0</v>
      </c>
      <c r="R1000">
        <v>61</v>
      </c>
      <c r="S1000">
        <v>61</v>
      </c>
      <c r="T1000">
        <v>19</v>
      </c>
      <c r="U1000">
        <v>18</v>
      </c>
      <c r="V1000">
        <v>0</v>
      </c>
      <c r="W1000">
        <v>0</v>
      </c>
      <c r="X1000">
        <v>0</v>
      </c>
    </row>
    <row r="1001" spans="1:24" x14ac:dyDescent="0.2">
      <c r="A1001">
        <v>8160800</v>
      </c>
      <c r="B1001" t="s">
        <v>1000</v>
      </c>
      <c r="C1001">
        <v>800</v>
      </c>
      <c r="D1001">
        <v>800</v>
      </c>
      <c r="E1001">
        <v>10000</v>
      </c>
      <c r="F1001">
        <v>130</v>
      </c>
      <c r="G1001">
        <v>0</v>
      </c>
      <c r="H1001">
        <v>0</v>
      </c>
      <c r="I1001">
        <v>130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61</v>
      </c>
      <c r="Q1001">
        <v>0</v>
      </c>
      <c r="R1001">
        <v>0</v>
      </c>
      <c r="S1001">
        <v>61</v>
      </c>
      <c r="T1001">
        <v>19</v>
      </c>
      <c r="U1001">
        <v>18</v>
      </c>
      <c r="V1001">
        <v>0</v>
      </c>
      <c r="W1001">
        <v>0</v>
      </c>
      <c r="X1001">
        <v>0</v>
      </c>
    </row>
    <row r="1002" spans="1:24" x14ac:dyDescent="0.2">
      <c r="A1002">
        <v>8160900</v>
      </c>
      <c r="B1002" t="s">
        <v>1001</v>
      </c>
      <c r="C1002">
        <v>900</v>
      </c>
      <c r="D1002">
        <v>900</v>
      </c>
      <c r="E1002">
        <v>10000</v>
      </c>
      <c r="F1002">
        <v>130</v>
      </c>
      <c r="G1002">
        <v>0</v>
      </c>
      <c r="H1002">
        <v>0</v>
      </c>
      <c r="I1002">
        <v>0</v>
      </c>
      <c r="J1002">
        <v>130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61</v>
      </c>
      <c r="Q1002">
        <v>0</v>
      </c>
      <c r="R1002">
        <v>0</v>
      </c>
      <c r="S1002">
        <v>0</v>
      </c>
      <c r="T1002">
        <v>19</v>
      </c>
      <c r="U1002">
        <v>18</v>
      </c>
      <c r="V1002">
        <v>0</v>
      </c>
      <c r="W1002">
        <v>0</v>
      </c>
      <c r="X1002">
        <v>0</v>
      </c>
    </row>
    <row r="1003" spans="1:24" x14ac:dyDescent="0.2">
      <c r="A1003">
        <v>8161000</v>
      </c>
      <c r="B1003" t="s">
        <v>1002</v>
      </c>
      <c r="C1003">
        <v>1000</v>
      </c>
      <c r="D1003">
        <v>1000</v>
      </c>
      <c r="E1003">
        <v>10000</v>
      </c>
      <c r="F1003">
        <v>130</v>
      </c>
      <c r="G1003">
        <v>0</v>
      </c>
      <c r="H1003">
        <v>0</v>
      </c>
      <c r="I1003">
        <v>0</v>
      </c>
      <c r="J1003">
        <v>130</v>
      </c>
      <c r="K1003">
        <v>0</v>
      </c>
      <c r="L1003">
        <v>0</v>
      </c>
      <c r="M1003">
        <v>0</v>
      </c>
      <c r="N1003">
        <v>0</v>
      </c>
      <c r="O1003">
        <v>4</v>
      </c>
      <c r="P1003">
        <v>61</v>
      </c>
      <c r="Q1003">
        <v>0</v>
      </c>
      <c r="R1003">
        <v>61</v>
      </c>
      <c r="S1003">
        <v>61</v>
      </c>
      <c r="T1003">
        <v>19</v>
      </c>
      <c r="U1003">
        <v>18</v>
      </c>
      <c r="V1003">
        <v>0</v>
      </c>
      <c r="W1003">
        <v>0</v>
      </c>
      <c r="X1003">
        <v>0</v>
      </c>
    </row>
    <row r="1004" spans="1:24" x14ac:dyDescent="0.2">
      <c r="A1004">
        <v>8161100</v>
      </c>
      <c r="B1004" t="s">
        <v>1003</v>
      </c>
      <c r="C1004">
        <v>1100</v>
      </c>
      <c r="D1004">
        <v>1100</v>
      </c>
      <c r="E1004">
        <v>10000</v>
      </c>
      <c r="F1004">
        <v>125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61</v>
      </c>
      <c r="Q1004">
        <v>0</v>
      </c>
      <c r="R1004">
        <v>0</v>
      </c>
      <c r="S1004">
        <v>0</v>
      </c>
      <c r="T1004">
        <v>19</v>
      </c>
      <c r="U1004">
        <v>18</v>
      </c>
      <c r="V1004">
        <v>0</v>
      </c>
      <c r="W1004">
        <v>0</v>
      </c>
      <c r="X1004">
        <v>0</v>
      </c>
    </row>
    <row r="1005" spans="1:24" x14ac:dyDescent="0.2">
      <c r="A1005">
        <v>8161200</v>
      </c>
      <c r="B1005" t="s">
        <v>1004</v>
      </c>
      <c r="C1005">
        <v>1200</v>
      </c>
      <c r="D1005">
        <v>1200</v>
      </c>
      <c r="E1005">
        <v>10000</v>
      </c>
      <c r="F1005">
        <v>125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61</v>
      </c>
      <c r="Q1005">
        <v>0</v>
      </c>
      <c r="R1005">
        <v>0</v>
      </c>
      <c r="S1005">
        <v>0</v>
      </c>
      <c r="T1005">
        <v>19</v>
      </c>
      <c r="U1005">
        <v>18</v>
      </c>
      <c r="V1005">
        <v>0</v>
      </c>
      <c r="W1005">
        <v>0</v>
      </c>
      <c r="X1005">
        <v>0</v>
      </c>
    </row>
    <row r="1006" spans="1:24" x14ac:dyDescent="0.2">
      <c r="A1006">
        <v>8161300</v>
      </c>
      <c r="B1006" t="s">
        <v>1005</v>
      </c>
      <c r="C1006">
        <v>1300</v>
      </c>
      <c r="D1006">
        <v>1300</v>
      </c>
      <c r="E1006">
        <v>10000</v>
      </c>
      <c r="F1006">
        <v>150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61</v>
      </c>
      <c r="Q1006">
        <v>0</v>
      </c>
      <c r="R1006">
        <v>0</v>
      </c>
      <c r="S1006">
        <v>0</v>
      </c>
      <c r="T1006">
        <v>19</v>
      </c>
      <c r="U1006">
        <v>18</v>
      </c>
      <c r="V1006">
        <v>0</v>
      </c>
      <c r="W1006">
        <v>0</v>
      </c>
      <c r="X1006">
        <v>0</v>
      </c>
    </row>
    <row r="1007" spans="1:24" x14ac:dyDescent="0.2">
      <c r="A1007">
        <v>8161400</v>
      </c>
      <c r="B1007" t="s">
        <v>1006</v>
      </c>
      <c r="C1007">
        <v>1400</v>
      </c>
      <c r="D1007">
        <v>1400</v>
      </c>
      <c r="E1007">
        <v>10014</v>
      </c>
      <c r="F1007">
        <v>130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61</v>
      </c>
      <c r="Q1007">
        <v>0</v>
      </c>
      <c r="R1007">
        <v>0</v>
      </c>
      <c r="S1007">
        <v>61</v>
      </c>
      <c r="T1007">
        <v>19</v>
      </c>
      <c r="U1007">
        <v>18</v>
      </c>
      <c r="V1007">
        <v>0</v>
      </c>
      <c r="W1007">
        <v>0</v>
      </c>
      <c r="X1007">
        <v>0</v>
      </c>
    </row>
    <row r="1008" spans="1:24" x14ac:dyDescent="0.2">
      <c r="A1008">
        <v>8161500</v>
      </c>
      <c r="B1008" t="s">
        <v>1007</v>
      </c>
      <c r="C1008">
        <v>1500</v>
      </c>
      <c r="D1008">
        <v>1500</v>
      </c>
      <c r="E1008">
        <v>10015</v>
      </c>
      <c r="F1008">
        <v>125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61</v>
      </c>
      <c r="Q1008">
        <v>0</v>
      </c>
      <c r="R1008">
        <v>0</v>
      </c>
      <c r="S1008">
        <v>0</v>
      </c>
      <c r="T1008">
        <v>19</v>
      </c>
      <c r="U1008">
        <v>18</v>
      </c>
      <c r="V1008">
        <v>0</v>
      </c>
      <c r="W1008">
        <v>0</v>
      </c>
      <c r="X1008">
        <v>0</v>
      </c>
    </row>
    <row r="1009" spans="1:24" x14ac:dyDescent="0.2">
      <c r="A1009">
        <v>8170000</v>
      </c>
      <c r="B1009" t="s">
        <v>1008</v>
      </c>
      <c r="C1009">
        <v>0</v>
      </c>
      <c r="D1009">
        <v>0</v>
      </c>
      <c r="E1009">
        <v>10000</v>
      </c>
      <c r="F1009">
        <v>122</v>
      </c>
      <c r="G1009">
        <v>0</v>
      </c>
      <c r="H1009">
        <v>100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50</v>
      </c>
      <c r="Q1009">
        <v>0</v>
      </c>
      <c r="R1009">
        <v>20</v>
      </c>
      <c r="S1009">
        <v>20</v>
      </c>
      <c r="T1009">
        <v>15</v>
      </c>
      <c r="U1009">
        <v>22</v>
      </c>
      <c r="V1009">
        <v>0</v>
      </c>
      <c r="W1009">
        <v>9</v>
      </c>
      <c r="X1009">
        <v>9</v>
      </c>
    </row>
    <row r="1010" spans="1:24" x14ac:dyDescent="0.2">
      <c r="A1010">
        <v>8180000</v>
      </c>
      <c r="B1010" t="s">
        <v>1009</v>
      </c>
      <c r="C1010">
        <v>2000</v>
      </c>
      <c r="D1010">
        <v>4500</v>
      </c>
      <c r="E1010">
        <v>10000</v>
      </c>
      <c r="F1010">
        <v>160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61</v>
      </c>
      <c r="Q1010">
        <v>0</v>
      </c>
      <c r="R1010">
        <v>0</v>
      </c>
      <c r="S1010">
        <v>0</v>
      </c>
      <c r="T1010">
        <v>19</v>
      </c>
      <c r="U1010">
        <v>30</v>
      </c>
      <c r="V1010">
        <v>0</v>
      </c>
      <c r="W1010">
        <v>0</v>
      </c>
      <c r="X1010">
        <v>0</v>
      </c>
    </row>
    <row r="1011" spans="1:24" x14ac:dyDescent="0.2">
      <c r="A1011">
        <v>8190000</v>
      </c>
      <c r="B1011" t="s">
        <v>1010</v>
      </c>
      <c r="C1011">
        <v>2000</v>
      </c>
      <c r="D1011">
        <v>4500</v>
      </c>
      <c r="E1011">
        <v>10000</v>
      </c>
      <c r="F1011">
        <v>164</v>
      </c>
      <c r="G1011">
        <v>0</v>
      </c>
      <c r="H1011">
        <v>63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42</v>
      </c>
      <c r="Q1011">
        <v>0</v>
      </c>
      <c r="R1011">
        <v>36</v>
      </c>
      <c r="S1011">
        <v>36</v>
      </c>
      <c r="T1011">
        <v>13</v>
      </c>
      <c r="U1011">
        <v>30</v>
      </c>
      <c r="V1011">
        <v>0</v>
      </c>
      <c r="W1011">
        <v>10</v>
      </c>
      <c r="X1011">
        <v>10</v>
      </c>
    </row>
    <row r="1012" spans="1:24" x14ac:dyDescent="0.2">
      <c r="A1012">
        <v>8220000</v>
      </c>
      <c r="B1012" t="s">
        <v>1011</v>
      </c>
      <c r="C1012">
        <v>2200</v>
      </c>
      <c r="D1012">
        <v>2600</v>
      </c>
      <c r="E1012">
        <v>10000</v>
      </c>
      <c r="F1012">
        <v>81</v>
      </c>
      <c r="G1012">
        <v>61</v>
      </c>
      <c r="H1012">
        <v>0</v>
      </c>
      <c r="I1012">
        <v>0</v>
      </c>
      <c r="J1012">
        <v>0</v>
      </c>
      <c r="K1012">
        <v>0</v>
      </c>
      <c r="L1012">
        <v>16</v>
      </c>
      <c r="M1012">
        <v>16</v>
      </c>
      <c r="N1012">
        <v>16</v>
      </c>
      <c r="O1012">
        <v>16</v>
      </c>
      <c r="P1012">
        <v>31</v>
      </c>
      <c r="Q1012">
        <v>10</v>
      </c>
      <c r="R1012">
        <v>86</v>
      </c>
      <c r="S1012">
        <v>0</v>
      </c>
      <c r="T1012">
        <v>0</v>
      </c>
      <c r="U1012">
        <v>12</v>
      </c>
      <c r="V1012">
        <v>10</v>
      </c>
      <c r="W1012">
        <v>19</v>
      </c>
      <c r="X1012">
        <v>0</v>
      </c>
    </row>
    <row r="1013" spans="1:24" x14ac:dyDescent="0.2">
      <c r="A1013">
        <v>8240000</v>
      </c>
      <c r="B1013" t="s">
        <v>1012</v>
      </c>
      <c r="C1013">
        <v>0</v>
      </c>
      <c r="D1013">
        <v>0</v>
      </c>
      <c r="E1013">
        <v>10000</v>
      </c>
      <c r="F1013">
        <v>113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59</v>
      </c>
      <c r="Q1013">
        <v>11</v>
      </c>
      <c r="R1013">
        <v>0</v>
      </c>
      <c r="S1013">
        <v>0</v>
      </c>
      <c r="T1013">
        <v>15</v>
      </c>
      <c r="U1013">
        <v>12</v>
      </c>
      <c r="V1013">
        <v>10</v>
      </c>
      <c r="W1013">
        <v>0</v>
      </c>
      <c r="X1013">
        <v>0</v>
      </c>
    </row>
    <row r="1014" spans="1:24" x14ac:dyDescent="0.2">
      <c r="A1014">
        <v>8240100</v>
      </c>
      <c r="B1014" t="s">
        <v>1013</v>
      </c>
      <c r="C1014">
        <v>200</v>
      </c>
      <c r="D1014">
        <v>100</v>
      </c>
      <c r="E1014">
        <v>10000</v>
      </c>
      <c r="F1014">
        <v>113</v>
      </c>
      <c r="G1014">
        <v>0</v>
      </c>
      <c r="H1014">
        <v>0</v>
      </c>
      <c r="I1014">
        <v>0</v>
      </c>
      <c r="J1014">
        <v>0</v>
      </c>
      <c r="K1014">
        <v>1</v>
      </c>
      <c r="L1014">
        <v>0</v>
      </c>
      <c r="M1014">
        <v>0</v>
      </c>
      <c r="N1014">
        <v>0</v>
      </c>
      <c r="O1014">
        <v>0</v>
      </c>
      <c r="P1014">
        <v>54</v>
      </c>
      <c r="Q1014">
        <v>0</v>
      </c>
      <c r="R1014">
        <v>0</v>
      </c>
      <c r="S1014">
        <v>0</v>
      </c>
      <c r="T1014">
        <v>15</v>
      </c>
      <c r="U1014">
        <v>12</v>
      </c>
      <c r="V1014">
        <v>10</v>
      </c>
      <c r="W1014">
        <v>0</v>
      </c>
      <c r="X1014">
        <v>0</v>
      </c>
    </row>
    <row r="1015" spans="1:24" x14ac:dyDescent="0.2">
      <c r="A1015">
        <v>8240200</v>
      </c>
      <c r="B1015" t="s">
        <v>1014</v>
      </c>
      <c r="C1015">
        <v>100</v>
      </c>
      <c r="D1015">
        <v>200</v>
      </c>
      <c r="E1015">
        <v>10000</v>
      </c>
      <c r="F1015">
        <v>113</v>
      </c>
      <c r="G1015">
        <v>0</v>
      </c>
      <c r="H1015">
        <v>0</v>
      </c>
      <c r="I1015">
        <v>0</v>
      </c>
      <c r="J1015">
        <v>0</v>
      </c>
      <c r="K1015">
        <v>2</v>
      </c>
      <c r="L1015">
        <v>0</v>
      </c>
      <c r="M1015">
        <v>0</v>
      </c>
      <c r="N1015">
        <v>0</v>
      </c>
      <c r="O1015">
        <v>0</v>
      </c>
      <c r="P1015">
        <v>34</v>
      </c>
      <c r="Q1015">
        <v>44</v>
      </c>
      <c r="R1015">
        <v>0</v>
      </c>
      <c r="S1015">
        <v>0</v>
      </c>
      <c r="T1015">
        <v>15</v>
      </c>
      <c r="U1015">
        <v>12</v>
      </c>
      <c r="V1015">
        <v>10</v>
      </c>
      <c r="W1015">
        <v>0</v>
      </c>
      <c r="X1015">
        <v>0</v>
      </c>
    </row>
    <row r="1016" spans="1:24" x14ac:dyDescent="0.2">
      <c r="A1016">
        <v>8240300</v>
      </c>
      <c r="B1016" t="s">
        <v>1015</v>
      </c>
      <c r="C1016">
        <v>300</v>
      </c>
      <c r="D1016">
        <v>6100</v>
      </c>
      <c r="E1016">
        <v>10000</v>
      </c>
      <c r="F1016">
        <v>113</v>
      </c>
      <c r="G1016">
        <v>0</v>
      </c>
      <c r="H1016">
        <v>0</v>
      </c>
      <c r="I1016">
        <v>0</v>
      </c>
      <c r="J1016">
        <v>0</v>
      </c>
      <c r="K1016">
        <v>8</v>
      </c>
      <c r="L1016">
        <v>0</v>
      </c>
      <c r="M1016">
        <v>0</v>
      </c>
      <c r="N1016">
        <v>0</v>
      </c>
      <c r="O1016">
        <v>0</v>
      </c>
      <c r="P1016">
        <v>50</v>
      </c>
      <c r="Q1016">
        <v>50</v>
      </c>
      <c r="R1016">
        <v>0</v>
      </c>
      <c r="S1016">
        <v>0</v>
      </c>
      <c r="T1016">
        <v>15</v>
      </c>
      <c r="U1016">
        <v>12</v>
      </c>
      <c r="V1016">
        <v>10</v>
      </c>
      <c r="W1016">
        <v>0</v>
      </c>
      <c r="X1016">
        <v>0</v>
      </c>
    </row>
    <row r="1017" spans="1:24" x14ac:dyDescent="0.2">
      <c r="A1017">
        <v>8240400</v>
      </c>
      <c r="B1017" t="s">
        <v>1016</v>
      </c>
      <c r="C1017">
        <v>500</v>
      </c>
      <c r="D1017">
        <v>500</v>
      </c>
      <c r="E1017">
        <v>10000</v>
      </c>
      <c r="F1017">
        <v>118</v>
      </c>
      <c r="G1017">
        <v>118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59</v>
      </c>
      <c r="Q1017">
        <v>11</v>
      </c>
      <c r="R1017">
        <v>70</v>
      </c>
      <c r="S1017">
        <v>0</v>
      </c>
      <c r="T1017">
        <v>15</v>
      </c>
      <c r="U1017">
        <v>12</v>
      </c>
      <c r="V1017">
        <v>10</v>
      </c>
      <c r="W1017">
        <v>0</v>
      </c>
      <c r="X1017">
        <v>0</v>
      </c>
    </row>
    <row r="1018" spans="1:24" x14ac:dyDescent="0.2">
      <c r="A1018">
        <v>8240500</v>
      </c>
      <c r="B1018" t="s">
        <v>1017</v>
      </c>
      <c r="C1018">
        <v>400</v>
      </c>
      <c r="D1018">
        <v>400</v>
      </c>
      <c r="E1018">
        <v>10000</v>
      </c>
      <c r="F1018">
        <v>118</v>
      </c>
      <c r="G1018">
        <v>118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59</v>
      </c>
      <c r="Q1018">
        <v>11</v>
      </c>
      <c r="R1018">
        <v>70</v>
      </c>
      <c r="S1018">
        <v>0</v>
      </c>
      <c r="T1018">
        <v>15</v>
      </c>
      <c r="U1018">
        <v>12</v>
      </c>
      <c r="V1018">
        <v>10</v>
      </c>
      <c r="W1018">
        <v>0</v>
      </c>
      <c r="X1018">
        <v>0</v>
      </c>
    </row>
    <row r="1019" spans="1:24" x14ac:dyDescent="0.2">
      <c r="A1019">
        <v>8240600</v>
      </c>
      <c r="B1019" t="s">
        <v>1018</v>
      </c>
      <c r="C1019">
        <v>600</v>
      </c>
      <c r="D1019">
        <v>600</v>
      </c>
      <c r="E1019">
        <v>10000</v>
      </c>
      <c r="F1019">
        <v>113</v>
      </c>
      <c r="G1019">
        <v>0</v>
      </c>
      <c r="H1019">
        <v>113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59</v>
      </c>
      <c r="Q1019">
        <v>11</v>
      </c>
      <c r="R1019">
        <v>0</v>
      </c>
      <c r="S1019">
        <v>0</v>
      </c>
      <c r="T1019">
        <v>15</v>
      </c>
      <c r="U1019">
        <v>12</v>
      </c>
      <c r="V1019">
        <v>10</v>
      </c>
      <c r="W1019">
        <v>0</v>
      </c>
      <c r="X1019">
        <v>0</v>
      </c>
    </row>
    <row r="1020" spans="1:24" x14ac:dyDescent="0.2">
      <c r="A1020">
        <v>8240700</v>
      </c>
      <c r="B1020" t="s">
        <v>1019</v>
      </c>
      <c r="C1020">
        <v>700</v>
      </c>
      <c r="D1020">
        <v>700</v>
      </c>
      <c r="E1020">
        <v>10000</v>
      </c>
      <c r="F1020">
        <v>118</v>
      </c>
      <c r="G1020">
        <v>0</v>
      </c>
      <c r="H1020">
        <v>118</v>
      </c>
      <c r="I1020">
        <v>0</v>
      </c>
      <c r="J1020">
        <v>0</v>
      </c>
      <c r="K1020">
        <v>0</v>
      </c>
      <c r="L1020">
        <v>0</v>
      </c>
      <c r="M1020">
        <v>4</v>
      </c>
      <c r="N1020">
        <v>0</v>
      </c>
      <c r="O1020">
        <v>0</v>
      </c>
      <c r="P1020">
        <v>59</v>
      </c>
      <c r="Q1020">
        <v>11</v>
      </c>
      <c r="R1020">
        <v>70</v>
      </c>
      <c r="S1020">
        <v>70</v>
      </c>
      <c r="T1020">
        <v>15</v>
      </c>
      <c r="U1020">
        <v>12</v>
      </c>
      <c r="V1020">
        <v>10</v>
      </c>
      <c r="W1020">
        <v>0</v>
      </c>
      <c r="X1020">
        <v>0</v>
      </c>
    </row>
    <row r="1021" spans="1:24" x14ac:dyDescent="0.2">
      <c r="A1021">
        <v>8240800</v>
      </c>
      <c r="B1021" t="s">
        <v>1020</v>
      </c>
      <c r="C1021">
        <v>800</v>
      </c>
      <c r="D1021">
        <v>800</v>
      </c>
      <c r="E1021">
        <v>10000</v>
      </c>
      <c r="F1021">
        <v>118</v>
      </c>
      <c r="G1021">
        <v>0</v>
      </c>
      <c r="H1021">
        <v>0</v>
      </c>
      <c r="I1021">
        <v>118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59</v>
      </c>
      <c r="Q1021">
        <v>11</v>
      </c>
      <c r="R1021">
        <v>0</v>
      </c>
      <c r="S1021">
        <v>70</v>
      </c>
      <c r="T1021">
        <v>15</v>
      </c>
      <c r="U1021">
        <v>12</v>
      </c>
      <c r="V1021">
        <v>10</v>
      </c>
      <c r="W1021">
        <v>0</v>
      </c>
      <c r="X1021">
        <v>0</v>
      </c>
    </row>
    <row r="1022" spans="1:24" x14ac:dyDescent="0.2">
      <c r="A1022">
        <v>8240900</v>
      </c>
      <c r="B1022" t="s">
        <v>1021</v>
      </c>
      <c r="C1022">
        <v>900</v>
      </c>
      <c r="D1022">
        <v>900</v>
      </c>
      <c r="E1022">
        <v>10000</v>
      </c>
      <c r="F1022">
        <v>113</v>
      </c>
      <c r="G1022">
        <v>0</v>
      </c>
      <c r="H1022">
        <v>0</v>
      </c>
      <c r="I1022">
        <v>0</v>
      </c>
      <c r="J1022">
        <v>113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59</v>
      </c>
      <c r="Q1022">
        <v>11</v>
      </c>
      <c r="R1022">
        <v>0</v>
      </c>
      <c r="S1022">
        <v>0</v>
      </c>
      <c r="T1022">
        <v>15</v>
      </c>
      <c r="U1022">
        <v>12</v>
      </c>
      <c r="V1022">
        <v>10</v>
      </c>
      <c r="W1022">
        <v>0</v>
      </c>
      <c r="X1022">
        <v>0</v>
      </c>
    </row>
    <row r="1023" spans="1:24" x14ac:dyDescent="0.2">
      <c r="A1023">
        <v>8241000</v>
      </c>
      <c r="B1023" t="s">
        <v>1022</v>
      </c>
      <c r="C1023">
        <v>1000</v>
      </c>
      <c r="D1023">
        <v>1000</v>
      </c>
      <c r="E1023">
        <v>10000</v>
      </c>
      <c r="F1023">
        <v>118</v>
      </c>
      <c r="G1023">
        <v>0</v>
      </c>
      <c r="H1023">
        <v>0</v>
      </c>
      <c r="I1023">
        <v>0</v>
      </c>
      <c r="J1023">
        <v>118</v>
      </c>
      <c r="K1023">
        <v>0</v>
      </c>
      <c r="L1023">
        <v>0</v>
      </c>
      <c r="M1023">
        <v>0</v>
      </c>
      <c r="N1023">
        <v>0</v>
      </c>
      <c r="O1023">
        <v>4</v>
      </c>
      <c r="P1023">
        <v>59</v>
      </c>
      <c r="Q1023">
        <v>11</v>
      </c>
      <c r="R1023">
        <v>70</v>
      </c>
      <c r="S1023">
        <v>70</v>
      </c>
      <c r="T1023">
        <v>15</v>
      </c>
      <c r="U1023">
        <v>12</v>
      </c>
      <c r="V1023">
        <v>10</v>
      </c>
      <c r="W1023">
        <v>0</v>
      </c>
      <c r="X1023">
        <v>0</v>
      </c>
    </row>
    <row r="1024" spans="1:24" x14ac:dyDescent="0.2">
      <c r="A1024">
        <v>8241100</v>
      </c>
      <c r="B1024" t="s">
        <v>1023</v>
      </c>
      <c r="C1024">
        <v>1100</v>
      </c>
      <c r="D1024">
        <v>1100</v>
      </c>
      <c r="E1024">
        <v>10000</v>
      </c>
      <c r="F1024">
        <v>113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59</v>
      </c>
      <c r="Q1024">
        <v>11</v>
      </c>
      <c r="R1024">
        <v>0</v>
      </c>
      <c r="S1024">
        <v>0</v>
      </c>
      <c r="T1024">
        <v>15</v>
      </c>
      <c r="U1024">
        <v>12</v>
      </c>
      <c r="V1024">
        <v>10</v>
      </c>
      <c r="W1024">
        <v>0</v>
      </c>
      <c r="X1024">
        <v>0</v>
      </c>
    </row>
    <row r="1025" spans="1:24" x14ac:dyDescent="0.2">
      <c r="A1025">
        <v>8241200</v>
      </c>
      <c r="B1025" t="s">
        <v>1024</v>
      </c>
      <c r="C1025">
        <v>1200</v>
      </c>
      <c r="D1025">
        <v>1200</v>
      </c>
      <c r="E1025">
        <v>10000</v>
      </c>
      <c r="F1025">
        <v>113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59</v>
      </c>
      <c r="Q1025">
        <v>11</v>
      </c>
      <c r="R1025">
        <v>0</v>
      </c>
      <c r="S1025">
        <v>0</v>
      </c>
      <c r="T1025">
        <v>15</v>
      </c>
      <c r="U1025">
        <v>12</v>
      </c>
      <c r="V1025">
        <v>10</v>
      </c>
      <c r="W1025">
        <v>0</v>
      </c>
      <c r="X1025">
        <v>0</v>
      </c>
    </row>
    <row r="1026" spans="1:24" x14ac:dyDescent="0.2">
      <c r="A1026">
        <v>8241300</v>
      </c>
      <c r="B1026" t="s">
        <v>1025</v>
      </c>
      <c r="C1026">
        <v>1300</v>
      </c>
      <c r="D1026">
        <v>1300</v>
      </c>
      <c r="E1026">
        <v>10000</v>
      </c>
      <c r="F1026">
        <v>128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59</v>
      </c>
      <c r="Q1026">
        <v>11</v>
      </c>
      <c r="R1026">
        <v>0</v>
      </c>
      <c r="S1026">
        <v>0</v>
      </c>
      <c r="T1026">
        <v>15</v>
      </c>
      <c r="U1026">
        <v>12</v>
      </c>
      <c r="V1026">
        <v>10</v>
      </c>
      <c r="W1026">
        <v>0</v>
      </c>
      <c r="X1026">
        <v>0</v>
      </c>
    </row>
    <row r="1027" spans="1:24" x14ac:dyDescent="0.2">
      <c r="A1027">
        <v>8241400</v>
      </c>
      <c r="B1027" t="s">
        <v>1026</v>
      </c>
      <c r="C1027">
        <v>1400</v>
      </c>
      <c r="D1027">
        <v>1400</v>
      </c>
      <c r="E1027">
        <v>10014</v>
      </c>
      <c r="F1027">
        <v>118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59</v>
      </c>
      <c r="Q1027">
        <v>11</v>
      </c>
      <c r="R1027">
        <v>0</v>
      </c>
      <c r="S1027">
        <v>70</v>
      </c>
      <c r="T1027">
        <v>15</v>
      </c>
      <c r="U1027">
        <v>12</v>
      </c>
      <c r="V1027">
        <v>10</v>
      </c>
      <c r="W1027">
        <v>0</v>
      </c>
      <c r="X1027">
        <v>0</v>
      </c>
    </row>
    <row r="1028" spans="1:24" x14ac:dyDescent="0.2">
      <c r="A1028">
        <v>8241500</v>
      </c>
      <c r="B1028" t="s">
        <v>1027</v>
      </c>
      <c r="C1028">
        <v>1500</v>
      </c>
      <c r="D1028">
        <v>1500</v>
      </c>
      <c r="E1028">
        <v>10015</v>
      </c>
      <c r="F1028">
        <v>113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59</v>
      </c>
      <c r="Q1028">
        <v>11</v>
      </c>
      <c r="R1028">
        <v>0</v>
      </c>
      <c r="S1028">
        <v>0</v>
      </c>
      <c r="T1028">
        <v>15</v>
      </c>
      <c r="U1028">
        <v>12</v>
      </c>
      <c r="V1028">
        <v>10</v>
      </c>
      <c r="W1028">
        <v>0</v>
      </c>
      <c r="X1028">
        <v>0</v>
      </c>
    </row>
    <row r="1029" spans="1:24" x14ac:dyDescent="0.2">
      <c r="A1029">
        <v>8250000</v>
      </c>
      <c r="B1029" t="s">
        <v>1028</v>
      </c>
      <c r="C1029">
        <v>0</v>
      </c>
      <c r="D1029">
        <v>0</v>
      </c>
      <c r="E1029">
        <v>10000</v>
      </c>
      <c r="F1029">
        <v>140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59</v>
      </c>
      <c r="Q1029">
        <v>0</v>
      </c>
      <c r="R1029">
        <v>0</v>
      </c>
      <c r="S1029">
        <v>0</v>
      </c>
      <c r="T1029">
        <v>18</v>
      </c>
      <c r="U1029">
        <v>18</v>
      </c>
      <c r="V1029">
        <v>9</v>
      </c>
      <c r="W1029">
        <v>0</v>
      </c>
      <c r="X1029">
        <v>0</v>
      </c>
    </row>
    <row r="1030" spans="1:24" x14ac:dyDescent="0.2">
      <c r="A1030">
        <v>8250100</v>
      </c>
      <c r="B1030" t="s">
        <v>1029</v>
      </c>
      <c r="C1030">
        <v>200</v>
      </c>
      <c r="D1030">
        <v>4000</v>
      </c>
      <c r="E1030">
        <v>10000</v>
      </c>
      <c r="F1030">
        <v>140</v>
      </c>
      <c r="G1030">
        <v>0</v>
      </c>
      <c r="H1030">
        <v>0</v>
      </c>
      <c r="I1030">
        <v>0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59</v>
      </c>
      <c r="Q1030">
        <v>0</v>
      </c>
      <c r="R1030">
        <v>0</v>
      </c>
      <c r="S1030">
        <v>0</v>
      </c>
      <c r="T1030">
        <v>18</v>
      </c>
      <c r="U1030">
        <v>18</v>
      </c>
      <c r="V1030">
        <v>9</v>
      </c>
      <c r="W1030">
        <v>0</v>
      </c>
      <c r="X1030">
        <v>0</v>
      </c>
    </row>
    <row r="1031" spans="1:24" x14ac:dyDescent="0.2">
      <c r="A1031">
        <v>8250200</v>
      </c>
      <c r="B1031" t="s">
        <v>1030</v>
      </c>
      <c r="C1031">
        <v>100</v>
      </c>
      <c r="D1031">
        <v>200</v>
      </c>
      <c r="E1031">
        <v>10000</v>
      </c>
      <c r="F1031">
        <v>140</v>
      </c>
      <c r="G1031">
        <v>0</v>
      </c>
      <c r="H1031">
        <v>0</v>
      </c>
      <c r="I1031">
        <v>0</v>
      </c>
      <c r="J1031">
        <v>0</v>
      </c>
      <c r="K1031">
        <v>2</v>
      </c>
      <c r="L1031">
        <v>0</v>
      </c>
      <c r="M1031">
        <v>0</v>
      </c>
      <c r="N1031">
        <v>0</v>
      </c>
      <c r="O1031">
        <v>0</v>
      </c>
      <c r="P1031">
        <v>11</v>
      </c>
      <c r="Q1031">
        <v>38</v>
      </c>
      <c r="R1031">
        <v>0</v>
      </c>
      <c r="S1031">
        <v>0</v>
      </c>
      <c r="T1031">
        <v>18</v>
      </c>
      <c r="U1031">
        <v>18</v>
      </c>
      <c r="V1031">
        <v>9</v>
      </c>
      <c r="W1031">
        <v>0</v>
      </c>
      <c r="X1031">
        <v>0</v>
      </c>
    </row>
    <row r="1032" spans="1:24" x14ac:dyDescent="0.2">
      <c r="A1032">
        <v>8250300</v>
      </c>
      <c r="B1032" t="s">
        <v>1031</v>
      </c>
      <c r="C1032">
        <v>300</v>
      </c>
      <c r="D1032">
        <v>4100</v>
      </c>
      <c r="E1032">
        <v>10000</v>
      </c>
      <c r="F1032">
        <v>140</v>
      </c>
      <c r="G1032">
        <v>0</v>
      </c>
      <c r="H1032">
        <v>0</v>
      </c>
      <c r="I1032">
        <v>0</v>
      </c>
      <c r="J1032">
        <v>0</v>
      </c>
      <c r="K1032">
        <v>8</v>
      </c>
      <c r="L1032">
        <v>0</v>
      </c>
      <c r="M1032">
        <v>0</v>
      </c>
      <c r="N1032">
        <v>0</v>
      </c>
      <c r="O1032">
        <v>0</v>
      </c>
      <c r="P1032">
        <v>47</v>
      </c>
      <c r="Q1032">
        <v>47</v>
      </c>
      <c r="R1032">
        <v>0</v>
      </c>
      <c r="S1032">
        <v>0</v>
      </c>
      <c r="T1032">
        <v>18</v>
      </c>
      <c r="U1032">
        <v>18</v>
      </c>
      <c r="V1032">
        <v>9</v>
      </c>
      <c r="W1032">
        <v>0</v>
      </c>
      <c r="X1032">
        <v>0</v>
      </c>
    </row>
    <row r="1033" spans="1:24" x14ac:dyDescent="0.2">
      <c r="A1033">
        <v>8250400</v>
      </c>
      <c r="B1033" t="s">
        <v>1032</v>
      </c>
      <c r="C1033">
        <v>500</v>
      </c>
      <c r="D1033">
        <v>500</v>
      </c>
      <c r="E1033">
        <v>10000</v>
      </c>
      <c r="F1033">
        <v>135</v>
      </c>
      <c r="G1033">
        <v>135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59</v>
      </c>
      <c r="Q1033">
        <v>0</v>
      </c>
      <c r="R1033">
        <v>59</v>
      </c>
      <c r="S1033">
        <v>0</v>
      </c>
      <c r="T1033">
        <v>18</v>
      </c>
      <c r="U1033">
        <v>18</v>
      </c>
      <c r="V1033">
        <v>9</v>
      </c>
      <c r="W1033">
        <v>0</v>
      </c>
      <c r="X1033">
        <v>0</v>
      </c>
    </row>
    <row r="1034" spans="1:24" x14ac:dyDescent="0.2">
      <c r="A1034">
        <v>8250500</v>
      </c>
      <c r="B1034" t="s">
        <v>1033</v>
      </c>
      <c r="C1034">
        <v>400</v>
      </c>
      <c r="D1034">
        <v>400</v>
      </c>
      <c r="E1034">
        <v>10000</v>
      </c>
      <c r="F1034">
        <v>135</v>
      </c>
      <c r="G1034">
        <v>135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59</v>
      </c>
      <c r="Q1034">
        <v>0</v>
      </c>
      <c r="R1034">
        <v>59</v>
      </c>
      <c r="S1034">
        <v>0</v>
      </c>
      <c r="T1034">
        <v>18</v>
      </c>
      <c r="U1034">
        <v>18</v>
      </c>
      <c r="V1034">
        <v>9</v>
      </c>
      <c r="W1034">
        <v>0</v>
      </c>
      <c r="X1034">
        <v>0</v>
      </c>
    </row>
    <row r="1035" spans="1:24" x14ac:dyDescent="0.2">
      <c r="A1035">
        <v>8250600</v>
      </c>
      <c r="B1035" t="s">
        <v>1034</v>
      </c>
      <c r="C1035">
        <v>600</v>
      </c>
      <c r="D1035">
        <v>600</v>
      </c>
      <c r="E1035">
        <v>10000</v>
      </c>
      <c r="F1035">
        <v>130</v>
      </c>
      <c r="G1035">
        <v>0</v>
      </c>
      <c r="H1035">
        <v>130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59</v>
      </c>
      <c r="Q1035">
        <v>0</v>
      </c>
      <c r="R1035">
        <v>0</v>
      </c>
      <c r="S1035">
        <v>0</v>
      </c>
      <c r="T1035">
        <v>18</v>
      </c>
      <c r="U1035">
        <v>18</v>
      </c>
      <c r="V1035">
        <v>9</v>
      </c>
      <c r="W1035">
        <v>0</v>
      </c>
      <c r="X1035">
        <v>0</v>
      </c>
    </row>
    <row r="1036" spans="1:24" x14ac:dyDescent="0.2">
      <c r="A1036">
        <v>8250700</v>
      </c>
      <c r="B1036" t="s">
        <v>1035</v>
      </c>
      <c r="C1036">
        <v>700</v>
      </c>
      <c r="D1036">
        <v>700</v>
      </c>
      <c r="E1036">
        <v>10000</v>
      </c>
      <c r="F1036">
        <v>135</v>
      </c>
      <c r="G1036">
        <v>0</v>
      </c>
      <c r="H1036">
        <v>135</v>
      </c>
      <c r="I1036">
        <v>0</v>
      </c>
      <c r="J1036">
        <v>0</v>
      </c>
      <c r="K1036">
        <v>0</v>
      </c>
      <c r="L1036">
        <v>0</v>
      </c>
      <c r="M1036">
        <v>4</v>
      </c>
      <c r="N1036">
        <v>0</v>
      </c>
      <c r="O1036">
        <v>0</v>
      </c>
      <c r="P1036">
        <v>59</v>
      </c>
      <c r="Q1036">
        <v>0</v>
      </c>
      <c r="R1036">
        <v>59</v>
      </c>
      <c r="S1036">
        <v>59</v>
      </c>
      <c r="T1036">
        <v>18</v>
      </c>
      <c r="U1036">
        <v>18</v>
      </c>
      <c r="V1036">
        <v>9</v>
      </c>
      <c r="W1036">
        <v>0</v>
      </c>
      <c r="X1036">
        <v>0</v>
      </c>
    </row>
    <row r="1037" spans="1:24" x14ac:dyDescent="0.2">
      <c r="A1037">
        <v>8250800</v>
      </c>
      <c r="B1037" t="s">
        <v>1036</v>
      </c>
      <c r="C1037">
        <v>800</v>
      </c>
      <c r="D1037">
        <v>800</v>
      </c>
      <c r="E1037">
        <v>10000</v>
      </c>
      <c r="F1037">
        <v>135</v>
      </c>
      <c r="G1037">
        <v>0</v>
      </c>
      <c r="H1037">
        <v>0</v>
      </c>
      <c r="I1037">
        <v>135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59</v>
      </c>
      <c r="Q1037">
        <v>0</v>
      </c>
      <c r="R1037">
        <v>0</v>
      </c>
      <c r="S1037">
        <v>59</v>
      </c>
      <c r="T1037">
        <v>18</v>
      </c>
      <c r="U1037">
        <v>18</v>
      </c>
      <c r="V1037">
        <v>9</v>
      </c>
      <c r="W1037">
        <v>0</v>
      </c>
      <c r="X1037">
        <v>0</v>
      </c>
    </row>
    <row r="1038" spans="1:24" x14ac:dyDescent="0.2">
      <c r="A1038">
        <v>8250900</v>
      </c>
      <c r="B1038" t="s">
        <v>1037</v>
      </c>
      <c r="C1038">
        <v>900</v>
      </c>
      <c r="D1038">
        <v>900</v>
      </c>
      <c r="E1038">
        <v>10000</v>
      </c>
      <c r="F1038">
        <v>130</v>
      </c>
      <c r="G1038">
        <v>0</v>
      </c>
      <c r="H1038">
        <v>0</v>
      </c>
      <c r="I1038">
        <v>0</v>
      </c>
      <c r="J1038">
        <v>130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59</v>
      </c>
      <c r="Q1038">
        <v>0</v>
      </c>
      <c r="R1038">
        <v>0</v>
      </c>
      <c r="S1038">
        <v>0</v>
      </c>
      <c r="T1038">
        <v>18</v>
      </c>
      <c r="U1038">
        <v>18</v>
      </c>
      <c r="V1038">
        <v>9</v>
      </c>
      <c r="W1038">
        <v>0</v>
      </c>
      <c r="X1038">
        <v>0</v>
      </c>
    </row>
    <row r="1039" spans="1:24" x14ac:dyDescent="0.2">
      <c r="A1039">
        <v>8251000</v>
      </c>
      <c r="B1039" t="s">
        <v>1038</v>
      </c>
      <c r="C1039">
        <v>1000</v>
      </c>
      <c r="D1039">
        <v>1000</v>
      </c>
      <c r="E1039">
        <v>10000</v>
      </c>
      <c r="F1039">
        <v>135</v>
      </c>
      <c r="G1039">
        <v>0</v>
      </c>
      <c r="H1039">
        <v>0</v>
      </c>
      <c r="I1039">
        <v>0</v>
      </c>
      <c r="J1039">
        <v>135</v>
      </c>
      <c r="K1039">
        <v>0</v>
      </c>
      <c r="L1039">
        <v>0</v>
      </c>
      <c r="M1039">
        <v>0</v>
      </c>
      <c r="N1039">
        <v>0</v>
      </c>
      <c r="O1039">
        <v>4</v>
      </c>
      <c r="P1039">
        <v>59</v>
      </c>
      <c r="Q1039">
        <v>0</v>
      </c>
      <c r="R1039">
        <v>59</v>
      </c>
      <c r="S1039">
        <v>59</v>
      </c>
      <c r="T1039">
        <v>18</v>
      </c>
      <c r="U1039">
        <v>18</v>
      </c>
      <c r="V1039">
        <v>9</v>
      </c>
      <c r="W1039">
        <v>0</v>
      </c>
      <c r="X1039">
        <v>0</v>
      </c>
    </row>
    <row r="1040" spans="1:24" x14ac:dyDescent="0.2">
      <c r="A1040">
        <v>8251100</v>
      </c>
      <c r="B1040" t="s">
        <v>1039</v>
      </c>
      <c r="C1040">
        <v>1100</v>
      </c>
      <c r="D1040">
        <v>1100</v>
      </c>
      <c r="E1040">
        <v>10000</v>
      </c>
      <c r="F1040">
        <v>140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59</v>
      </c>
      <c r="Q1040">
        <v>0</v>
      </c>
      <c r="R1040">
        <v>0</v>
      </c>
      <c r="S1040">
        <v>0</v>
      </c>
      <c r="T1040">
        <v>18</v>
      </c>
      <c r="U1040">
        <v>18</v>
      </c>
      <c r="V1040">
        <v>9</v>
      </c>
      <c r="W1040">
        <v>0</v>
      </c>
      <c r="X1040">
        <v>0</v>
      </c>
    </row>
    <row r="1041" spans="1:24" x14ac:dyDescent="0.2">
      <c r="A1041">
        <v>8251200</v>
      </c>
      <c r="B1041" t="s">
        <v>1040</v>
      </c>
      <c r="C1041">
        <v>1200</v>
      </c>
      <c r="D1041">
        <v>1200</v>
      </c>
      <c r="E1041">
        <v>10000</v>
      </c>
      <c r="F1041">
        <v>140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59</v>
      </c>
      <c r="Q1041">
        <v>0</v>
      </c>
      <c r="R1041">
        <v>0</v>
      </c>
      <c r="S1041">
        <v>0</v>
      </c>
      <c r="T1041">
        <v>18</v>
      </c>
      <c r="U1041">
        <v>18</v>
      </c>
      <c r="V1041">
        <v>9</v>
      </c>
      <c r="W1041">
        <v>0</v>
      </c>
      <c r="X1041">
        <v>0</v>
      </c>
    </row>
    <row r="1042" spans="1:24" x14ac:dyDescent="0.2">
      <c r="A1042">
        <v>8251300</v>
      </c>
      <c r="B1042" t="s">
        <v>1041</v>
      </c>
      <c r="C1042">
        <v>1300</v>
      </c>
      <c r="D1042">
        <v>1300</v>
      </c>
      <c r="E1042">
        <v>10000</v>
      </c>
      <c r="F1042">
        <v>150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59</v>
      </c>
      <c r="Q1042">
        <v>0</v>
      </c>
      <c r="R1042">
        <v>0</v>
      </c>
      <c r="S1042">
        <v>0</v>
      </c>
      <c r="T1042">
        <v>18</v>
      </c>
      <c r="U1042">
        <v>18</v>
      </c>
      <c r="V1042">
        <v>9</v>
      </c>
      <c r="W1042">
        <v>0</v>
      </c>
      <c r="X1042">
        <v>0</v>
      </c>
    </row>
    <row r="1043" spans="1:24" x14ac:dyDescent="0.2">
      <c r="A1043">
        <v>8251400</v>
      </c>
      <c r="B1043" t="s">
        <v>1042</v>
      </c>
      <c r="C1043">
        <v>1400</v>
      </c>
      <c r="D1043">
        <v>1400</v>
      </c>
      <c r="E1043">
        <v>10014</v>
      </c>
      <c r="F1043">
        <v>135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59</v>
      </c>
      <c r="Q1043">
        <v>0</v>
      </c>
      <c r="R1043">
        <v>0</v>
      </c>
      <c r="S1043">
        <v>59</v>
      </c>
      <c r="T1043">
        <v>18</v>
      </c>
      <c r="U1043">
        <v>18</v>
      </c>
      <c r="V1043">
        <v>9</v>
      </c>
      <c r="W1043">
        <v>0</v>
      </c>
      <c r="X1043">
        <v>0</v>
      </c>
    </row>
    <row r="1044" spans="1:24" x14ac:dyDescent="0.2">
      <c r="A1044">
        <v>8251500</v>
      </c>
      <c r="B1044" t="s">
        <v>1043</v>
      </c>
      <c r="C1044">
        <v>1500</v>
      </c>
      <c r="D1044">
        <v>1500</v>
      </c>
      <c r="E1044">
        <v>10015</v>
      </c>
      <c r="F1044">
        <v>140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59</v>
      </c>
      <c r="Q1044">
        <v>0</v>
      </c>
      <c r="R1044">
        <v>0</v>
      </c>
      <c r="S1044">
        <v>0</v>
      </c>
      <c r="T1044">
        <v>18</v>
      </c>
      <c r="U1044">
        <v>18</v>
      </c>
      <c r="V1044">
        <v>9</v>
      </c>
      <c r="W1044">
        <v>0</v>
      </c>
      <c r="X1044">
        <v>0</v>
      </c>
    </row>
    <row r="1045" spans="1:24" x14ac:dyDescent="0.2">
      <c r="A1045">
        <v>8260000</v>
      </c>
      <c r="B1045" t="s">
        <v>1044</v>
      </c>
      <c r="C1045">
        <v>2000</v>
      </c>
      <c r="D1045">
        <v>4500</v>
      </c>
      <c r="E1045">
        <v>10000</v>
      </c>
      <c r="F1045">
        <v>171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63</v>
      </c>
      <c r="Q1045">
        <v>0</v>
      </c>
      <c r="R1045">
        <v>0</v>
      </c>
      <c r="S1045">
        <v>0</v>
      </c>
      <c r="T1045">
        <v>19</v>
      </c>
      <c r="U1045">
        <v>40</v>
      </c>
      <c r="V1045">
        <v>0</v>
      </c>
      <c r="W1045">
        <v>0</v>
      </c>
      <c r="X1045">
        <v>0</v>
      </c>
    </row>
    <row r="1046" spans="1:24" x14ac:dyDescent="0.2">
      <c r="A1046">
        <v>8270000</v>
      </c>
      <c r="B1046" t="s">
        <v>1045</v>
      </c>
      <c r="C1046">
        <v>2200</v>
      </c>
      <c r="D1046">
        <v>4600</v>
      </c>
      <c r="E1046">
        <v>10000</v>
      </c>
      <c r="F1046">
        <v>179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62</v>
      </c>
      <c r="Q1046">
        <v>0</v>
      </c>
      <c r="R1046">
        <v>0</v>
      </c>
      <c r="S1046">
        <v>0</v>
      </c>
      <c r="T1046">
        <v>19</v>
      </c>
      <c r="U1046">
        <v>45</v>
      </c>
      <c r="V1046">
        <v>0</v>
      </c>
      <c r="W1046">
        <v>0</v>
      </c>
      <c r="X1046">
        <v>0</v>
      </c>
    </row>
    <row r="1047" spans="1:24" x14ac:dyDescent="0.2">
      <c r="A1047">
        <v>8280000</v>
      </c>
      <c r="B1047" t="s">
        <v>1046</v>
      </c>
      <c r="C1047">
        <v>0</v>
      </c>
      <c r="D1047">
        <v>0</v>
      </c>
      <c r="E1047">
        <v>10000</v>
      </c>
      <c r="F1047">
        <v>105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59</v>
      </c>
      <c r="Q1047">
        <v>0</v>
      </c>
      <c r="R1047">
        <v>0</v>
      </c>
      <c r="S1047">
        <v>0</v>
      </c>
      <c r="T1047">
        <v>12</v>
      </c>
      <c r="U1047">
        <v>13</v>
      </c>
      <c r="V1047">
        <v>13</v>
      </c>
      <c r="W1047">
        <v>0</v>
      </c>
      <c r="X1047">
        <v>0</v>
      </c>
    </row>
    <row r="1048" spans="1:24" x14ac:dyDescent="0.2">
      <c r="A1048">
        <v>8280100</v>
      </c>
      <c r="B1048" t="s">
        <v>1047</v>
      </c>
      <c r="C1048">
        <v>200</v>
      </c>
      <c r="D1048">
        <v>4000</v>
      </c>
      <c r="E1048">
        <v>10000</v>
      </c>
      <c r="F1048">
        <v>105</v>
      </c>
      <c r="G1048">
        <v>0</v>
      </c>
      <c r="H1048">
        <v>0</v>
      </c>
      <c r="I1048">
        <v>0</v>
      </c>
      <c r="J1048">
        <v>0</v>
      </c>
      <c r="K1048">
        <v>1</v>
      </c>
      <c r="L1048">
        <v>0</v>
      </c>
      <c r="M1048">
        <v>0</v>
      </c>
      <c r="N1048">
        <v>0</v>
      </c>
      <c r="O1048">
        <v>0</v>
      </c>
      <c r="P1048">
        <v>59</v>
      </c>
      <c r="Q1048">
        <v>0</v>
      </c>
      <c r="R1048">
        <v>0</v>
      </c>
      <c r="S1048">
        <v>0</v>
      </c>
      <c r="T1048">
        <v>12</v>
      </c>
      <c r="U1048">
        <v>13</v>
      </c>
      <c r="V1048">
        <v>13</v>
      </c>
      <c r="W1048">
        <v>0</v>
      </c>
      <c r="X1048">
        <v>0</v>
      </c>
    </row>
    <row r="1049" spans="1:24" x14ac:dyDescent="0.2">
      <c r="A1049">
        <v>8280200</v>
      </c>
      <c r="B1049" t="s">
        <v>1048</v>
      </c>
      <c r="C1049">
        <v>100</v>
      </c>
      <c r="D1049">
        <v>200</v>
      </c>
      <c r="E1049">
        <v>10000</v>
      </c>
      <c r="F1049">
        <v>105</v>
      </c>
      <c r="G1049">
        <v>0</v>
      </c>
      <c r="H1049">
        <v>0</v>
      </c>
      <c r="I1049">
        <v>0</v>
      </c>
      <c r="J1049">
        <v>0</v>
      </c>
      <c r="K1049">
        <v>2</v>
      </c>
      <c r="L1049">
        <v>0</v>
      </c>
      <c r="M1049">
        <v>0</v>
      </c>
      <c r="N1049">
        <v>0</v>
      </c>
      <c r="O1049">
        <v>0</v>
      </c>
      <c r="P1049">
        <v>11</v>
      </c>
      <c r="Q1049">
        <v>41</v>
      </c>
      <c r="R1049">
        <v>0</v>
      </c>
      <c r="S1049">
        <v>0</v>
      </c>
      <c r="T1049">
        <v>12</v>
      </c>
      <c r="U1049">
        <v>13</v>
      </c>
      <c r="V1049">
        <v>13</v>
      </c>
      <c r="W1049">
        <v>0</v>
      </c>
      <c r="X1049">
        <v>0</v>
      </c>
    </row>
    <row r="1050" spans="1:24" x14ac:dyDescent="0.2">
      <c r="A1050">
        <v>8280300</v>
      </c>
      <c r="B1050" t="s">
        <v>1049</v>
      </c>
      <c r="C1050">
        <v>300</v>
      </c>
      <c r="D1050">
        <v>4100</v>
      </c>
      <c r="E1050">
        <v>10000</v>
      </c>
      <c r="F1050">
        <v>105</v>
      </c>
      <c r="G1050">
        <v>0</v>
      </c>
      <c r="H1050">
        <v>0</v>
      </c>
      <c r="I1050">
        <v>0</v>
      </c>
      <c r="J1050">
        <v>0</v>
      </c>
      <c r="K1050">
        <v>8</v>
      </c>
      <c r="L1050">
        <v>0</v>
      </c>
      <c r="M1050">
        <v>0</v>
      </c>
      <c r="N1050">
        <v>0</v>
      </c>
      <c r="O1050">
        <v>0</v>
      </c>
      <c r="P1050">
        <v>47</v>
      </c>
      <c r="Q1050">
        <v>47</v>
      </c>
      <c r="R1050">
        <v>0</v>
      </c>
      <c r="S1050">
        <v>0</v>
      </c>
      <c r="T1050">
        <v>12</v>
      </c>
      <c r="U1050">
        <v>13</v>
      </c>
      <c r="V1050">
        <v>13</v>
      </c>
      <c r="W1050">
        <v>0</v>
      </c>
      <c r="X1050">
        <v>0</v>
      </c>
    </row>
    <row r="1051" spans="1:24" x14ac:dyDescent="0.2">
      <c r="A1051">
        <v>8280400</v>
      </c>
      <c r="B1051" t="s">
        <v>1050</v>
      </c>
      <c r="C1051">
        <v>500</v>
      </c>
      <c r="D1051">
        <v>500</v>
      </c>
      <c r="E1051">
        <v>10000</v>
      </c>
      <c r="F1051">
        <v>113</v>
      </c>
      <c r="G1051">
        <v>113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59</v>
      </c>
      <c r="Q1051">
        <v>0</v>
      </c>
      <c r="R1051">
        <v>59</v>
      </c>
      <c r="S1051">
        <v>0</v>
      </c>
      <c r="T1051">
        <v>12</v>
      </c>
      <c r="U1051">
        <v>13</v>
      </c>
      <c r="V1051">
        <v>13</v>
      </c>
      <c r="W1051">
        <v>0</v>
      </c>
      <c r="X1051">
        <v>0</v>
      </c>
    </row>
    <row r="1052" spans="1:24" x14ac:dyDescent="0.2">
      <c r="A1052">
        <v>8280500</v>
      </c>
      <c r="B1052" t="s">
        <v>1051</v>
      </c>
      <c r="C1052">
        <v>400</v>
      </c>
      <c r="D1052">
        <v>400</v>
      </c>
      <c r="E1052">
        <v>10000</v>
      </c>
      <c r="F1052">
        <v>113</v>
      </c>
      <c r="G1052">
        <v>113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59</v>
      </c>
      <c r="Q1052">
        <v>0</v>
      </c>
      <c r="R1052">
        <v>59</v>
      </c>
      <c r="S1052">
        <v>0</v>
      </c>
      <c r="T1052">
        <v>12</v>
      </c>
      <c r="U1052">
        <v>13</v>
      </c>
      <c r="V1052">
        <v>13</v>
      </c>
      <c r="W1052">
        <v>0</v>
      </c>
      <c r="X1052">
        <v>0</v>
      </c>
    </row>
    <row r="1053" spans="1:24" x14ac:dyDescent="0.2">
      <c r="A1053">
        <v>8280600</v>
      </c>
      <c r="B1053" t="s">
        <v>1052</v>
      </c>
      <c r="C1053">
        <v>600</v>
      </c>
      <c r="D1053">
        <v>600</v>
      </c>
      <c r="E1053">
        <v>10000</v>
      </c>
      <c r="F1053">
        <v>113</v>
      </c>
      <c r="G1053">
        <v>0</v>
      </c>
      <c r="H1053">
        <v>113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59</v>
      </c>
      <c r="Q1053">
        <v>0</v>
      </c>
      <c r="R1053">
        <v>0</v>
      </c>
      <c r="S1053">
        <v>0</v>
      </c>
      <c r="T1053">
        <v>12</v>
      </c>
      <c r="U1053">
        <v>13</v>
      </c>
      <c r="V1053">
        <v>13</v>
      </c>
      <c r="W1053">
        <v>0</v>
      </c>
      <c r="X1053">
        <v>0</v>
      </c>
    </row>
    <row r="1054" spans="1:24" x14ac:dyDescent="0.2">
      <c r="A1054">
        <v>8280700</v>
      </c>
      <c r="B1054" t="s">
        <v>1053</v>
      </c>
      <c r="C1054">
        <v>700</v>
      </c>
      <c r="D1054">
        <v>700</v>
      </c>
      <c r="E1054">
        <v>10000</v>
      </c>
      <c r="F1054">
        <v>113</v>
      </c>
      <c r="G1054">
        <v>0</v>
      </c>
      <c r="H1054">
        <v>113</v>
      </c>
      <c r="I1054">
        <v>0</v>
      </c>
      <c r="J1054">
        <v>0</v>
      </c>
      <c r="K1054">
        <v>0</v>
      </c>
      <c r="L1054">
        <v>0</v>
      </c>
      <c r="M1054">
        <v>4</v>
      </c>
      <c r="N1054">
        <v>0</v>
      </c>
      <c r="O1054">
        <v>0</v>
      </c>
      <c r="P1054">
        <v>59</v>
      </c>
      <c r="Q1054">
        <v>0</v>
      </c>
      <c r="R1054">
        <v>59</v>
      </c>
      <c r="S1054">
        <v>59</v>
      </c>
      <c r="T1054">
        <v>12</v>
      </c>
      <c r="U1054">
        <v>13</v>
      </c>
      <c r="V1054">
        <v>13</v>
      </c>
      <c r="W1054">
        <v>0</v>
      </c>
      <c r="X1054">
        <v>0</v>
      </c>
    </row>
    <row r="1055" spans="1:24" x14ac:dyDescent="0.2">
      <c r="A1055">
        <v>8280800</v>
      </c>
      <c r="B1055" t="s">
        <v>1054</v>
      </c>
      <c r="C1055">
        <v>800</v>
      </c>
      <c r="D1055">
        <v>800</v>
      </c>
      <c r="E1055">
        <v>10000</v>
      </c>
      <c r="F1055">
        <v>113</v>
      </c>
      <c r="G1055">
        <v>0</v>
      </c>
      <c r="H1055">
        <v>0</v>
      </c>
      <c r="I1055">
        <v>113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59</v>
      </c>
      <c r="Q1055">
        <v>0</v>
      </c>
      <c r="R1055">
        <v>0</v>
      </c>
      <c r="S1055">
        <v>59</v>
      </c>
      <c r="T1055">
        <v>12</v>
      </c>
      <c r="U1055">
        <v>13</v>
      </c>
      <c r="V1055">
        <v>13</v>
      </c>
      <c r="W1055">
        <v>0</v>
      </c>
      <c r="X1055">
        <v>0</v>
      </c>
    </row>
    <row r="1056" spans="1:24" x14ac:dyDescent="0.2">
      <c r="A1056">
        <v>8280900</v>
      </c>
      <c r="B1056" t="s">
        <v>1055</v>
      </c>
      <c r="C1056">
        <v>900</v>
      </c>
      <c r="D1056">
        <v>900</v>
      </c>
      <c r="E1056">
        <v>10000</v>
      </c>
      <c r="F1056">
        <v>113</v>
      </c>
      <c r="G1056">
        <v>0</v>
      </c>
      <c r="H1056">
        <v>0</v>
      </c>
      <c r="I1056">
        <v>0</v>
      </c>
      <c r="J1056">
        <v>113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59</v>
      </c>
      <c r="Q1056">
        <v>0</v>
      </c>
      <c r="R1056">
        <v>0</v>
      </c>
      <c r="S1056">
        <v>0</v>
      </c>
      <c r="T1056">
        <v>12</v>
      </c>
      <c r="U1056">
        <v>13</v>
      </c>
      <c r="V1056">
        <v>13</v>
      </c>
      <c r="W1056">
        <v>0</v>
      </c>
      <c r="X1056">
        <v>0</v>
      </c>
    </row>
    <row r="1057" spans="1:24" x14ac:dyDescent="0.2">
      <c r="A1057">
        <v>8281000</v>
      </c>
      <c r="B1057" t="s">
        <v>1056</v>
      </c>
      <c r="C1057">
        <v>1000</v>
      </c>
      <c r="D1057">
        <v>1000</v>
      </c>
      <c r="E1057">
        <v>10000</v>
      </c>
      <c r="F1057">
        <v>113</v>
      </c>
      <c r="G1057">
        <v>0</v>
      </c>
      <c r="H1057">
        <v>0</v>
      </c>
      <c r="I1057">
        <v>0</v>
      </c>
      <c r="J1057">
        <v>113</v>
      </c>
      <c r="K1057">
        <v>0</v>
      </c>
      <c r="L1057">
        <v>0</v>
      </c>
      <c r="M1057">
        <v>0</v>
      </c>
      <c r="N1057">
        <v>0</v>
      </c>
      <c r="O1057">
        <v>4</v>
      </c>
      <c r="P1057">
        <v>59</v>
      </c>
      <c r="Q1057">
        <v>0</v>
      </c>
      <c r="R1057">
        <v>59</v>
      </c>
      <c r="S1057">
        <v>59</v>
      </c>
      <c r="T1057">
        <v>12</v>
      </c>
      <c r="U1057">
        <v>13</v>
      </c>
      <c r="V1057">
        <v>13</v>
      </c>
      <c r="W1057">
        <v>0</v>
      </c>
      <c r="X1057">
        <v>0</v>
      </c>
    </row>
    <row r="1058" spans="1:24" x14ac:dyDescent="0.2">
      <c r="A1058">
        <v>8281100</v>
      </c>
      <c r="B1058" t="s">
        <v>1057</v>
      </c>
      <c r="C1058">
        <v>1100</v>
      </c>
      <c r="D1058">
        <v>1100</v>
      </c>
      <c r="E1058">
        <v>10000</v>
      </c>
      <c r="F1058">
        <v>105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59</v>
      </c>
      <c r="Q1058">
        <v>0</v>
      </c>
      <c r="R1058">
        <v>0</v>
      </c>
      <c r="S1058">
        <v>0</v>
      </c>
      <c r="T1058">
        <v>12</v>
      </c>
      <c r="U1058">
        <v>13</v>
      </c>
      <c r="V1058">
        <v>13</v>
      </c>
      <c r="W1058">
        <v>0</v>
      </c>
      <c r="X1058">
        <v>0</v>
      </c>
    </row>
    <row r="1059" spans="1:24" x14ac:dyDescent="0.2">
      <c r="A1059">
        <v>8281200</v>
      </c>
      <c r="B1059" t="s">
        <v>1058</v>
      </c>
      <c r="C1059">
        <v>1200</v>
      </c>
      <c r="D1059">
        <v>1200</v>
      </c>
      <c r="E1059">
        <v>10000</v>
      </c>
      <c r="F1059">
        <v>105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59</v>
      </c>
      <c r="Q1059">
        <v>0</v>
      </c>
      <c r="R1059">
        <v>0</v>
      </c>
      <c r="S1059">
        <v>0</v>
      </c>
      <c r="T1059">
        <v>12</v>
      </c>
      <c r="U1059">
        <v>13</v>
      </c>
      <c r="V1059">
        <v>13</v>
      </c>
      <c r="W1059">
        <v>0</v>
      </c>
      <c r="X1059">
        <v>0</v>
      </c>
    </row>
    <row r="1060" spans="1:24" x14ac:dyDescent="0.2">
      <c r="A1060">
        <v>8281300</v>
      </c>
      <c r="B1060" t="s">
        <v>1059</v>
      </c>
      <c r="C1060">
        <v>1300</v>
      </c>
      <c r="D1060">
        <v>1300</v>
      </c>
      <c r="E1060">
        <v>10000</v>
      </c>
      <c r="F1060">
        <v>123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59</v>
      </c>
      <c r="Q1060">
        <v>0</v>
      </c>
      <c r="R1060">
        <v>0</v>
      </c>
      <c r="S1060">
        <v>0</v>
      </c>
      <c r="T1060">
        <v>12</v>
      </c>
      <c r="U1060">
        <v>13</v>
      </c>
      <c r="V1060">
        <v>13</v>
      </c>
      <c r="W1060">
        <v>0</v>
      </c>
      <c r="X1060">
        <v>0</v>
      </c>
    </row>
    <row r="1061" spans="1:24" x14ac:dyDescent="0.2">
      <c r="A1061">
        <v>8281400</v>
      </c>
      <c r="B1061" t="s">
        <v>1060</v>
      </c>
      <c r="C1061">
        <v>1400</v>
      </c>
      <c r="D1061">
        <v>1400</v>
      </c>
      <c r="E1061">
        <v>10014</v>
      </c>
      <c r="F1061">
        <v>113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59</v>
      </c>
      <c r="Q1061">
        <v>0</v>
      </c>
      <c r="R1061">
        <v>0</v>
      </c>
      <c r="S1061">
        <v>59</v>
      </c>
      <c r="T1061">
        <v>12</v>
      </c>
      <c r="U1061">
        <v>13</v>
      </c>
      <c r="V1061">
        <v>13</v>
      </c>
      <c r="W1061">
        <v>0</v>
      </c>
      <c r="X1061">
        <v>0</v>
      </c>
    </row>
    <row r="1062" spans="1:24" x14ac:dyDescent="0.2">
      <c r="A1062">
        <v>8281500</v>
      </c>
      <c r="B1062" t="s">
        <v>1061</v>
      </c>
      <c r="C1062">
        <v>1500</v>
      </c>
      <c r="D1062">
        <v>1500</v>
      </c>
      <c r="E1062">
        <v>10015</v>
      </c>
      <c r="F1062">
        <v>105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59</v>
      </c>
      <c r="Q1062">
        <v>0</v>
      </c>
      <c r="R1062">
        <v>0</v>
      </c>
      <c r="S1062">
        <v>0</v>
      </c>
      <c r="T1062">
        <v>12</v>
      </c>
      <c r="U1062">
        <v>13</v>
      </c>
      <c r="V1062">
        <v>13</v>
      </c>
      <c r="W1062">
        <v>0</v>
      </c>
      <c r="X1062">
        <v>0</v>
      </c>
    </row>
    <row r="1063" spans="1:24" x14ac:dyDescent="0.2">
      <c r="A1063">
        <v>8290000</v>
      </c>
      <c r="B1063" t="s">
        <v>1062</v>
      </c>
      <c r="C1063">
        <v>2200</v>
      </c>
      <c r="D1063">
        <v>4600</v>
      </c>
      <c r="E1063">
        <v>12000</v>
      </c>
      <c r="F1063">
        <v>174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47</v>
      </c>
      <c r="Q1063">
        <v>0</v>
      </c>
      <c r="R1063">
        <v>0</v>
      </c>
      <c r="S1063">
        <v>22</v>
      </c>
      <c r="T1063">
        <v>14</v>
      </c>
      <c r="U1063">
        <v>50</v>
      </c>
      <c r="V1063">
        <v>0</v>
      </c>
      <c r="W1063">
        <v>0</v>
      </c>
      <c r="X1063">
        <v>30</v>
      </c>
    </row>
    <row r="1064" spans="1:24" x14ac:dyDescent="0.2">
      <c r="A1064">
        <v>8300000</v>
      </c>
      <c r="B1064" t="s">
        <v>1063</v>
      </c>
      <c r="C1064">
        <v>0</v>
      </c>
      <c r="D1064">
        <v>0</v>
      </c>
      <c r="E1064">
        <v>10000</v>
      </c>
      <c r="F1064">
        <v>149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60</v>
      </c>
      <c r="Q1064">
        <v>0</v>
      </c>
      <c r="R1064">
        <v>0</v>
      </c>
      <c r="S1064">
        <v>0</v>
      </c>
      <c r="T1064">
        <v>18</v>
      </c>
      <c r="U1064">
        <v>21</v>
      </c>
      <c r="V1064">
        <v>13</v>
      </c>
      <c r="W1064">
        <v>0</v>
      </c>
      <c r="X1064">
        <v>0</v>
      </c>
    </row>
    <row r="1065" spans="1:24" x14ac:dyDescent="0.2">
      <c r="A1065">
        <v>8300100</v>
      </c>
      <c r="B1065" t="s">
        <v>1064</v>
      </c>
      <c r="C1065">
        <v>200</v>
      </c>
      <c r="D1065">
        <v>4000</v>
      </c>
      <c r="E1065">
        <v>10000</v>
      </c>
      <c r="F1065">
        <v>149</v>
      </c>
      <c r="G1065">
        <v>0</v>
      </c>
      <c r="H1065">
        <v>0</v>
      </c>
      <c r="I1065">
        <v>0</v>
      </c>
      <c r="J1065">
        <v>0</v>
      </c>
      <c r="K1065">
        <v>1</v>
      </c>
      <c r="L1065">
        <v>0</v>
      </c>
      <c r="M1065">
        <v>0</v>
      </c>
      <c r="N1065">
        <v>0</v>
      </c>
      <c r="O1065">
        <v>0</v>
      </c>
      <c r="P1065">
        <v>60</v>
      </c>
      <c r="Q1065">
        <v>0</v>
      </c>
      <c r="R1065">
        <v>0</v>
      </c>
      <c r="S1065">
        <v>0</v>
      </c>
      <c r="T1065">
        <v>18</v>
      </c>
      <c r="U1065">
        <v>21</v>
      </c>
      <c r="V1065">
        <v>13</v>
      </c>
      <c r="W1065">
        <v>0</v>
      </c>
      <c r="X1065">
        <v>0</v>
      </c>
    </row>
    <row r="1066" spans="1:24" x14ac:dyDescent="0.2">
      <c r="A1066">
        <v>8300200</v>
      </c>
      <c r="B1066" t="s">
        <v>1065</v>
      </c>
      <c r="C1066">
        <v>100</v>
      </c>
      <c r="D1066">
        <v>200</v>
      </c>
      <c r="E1066">
        <v>10000</v>
      </c>
      <c r="F1066">
        <v>149</v>
      </c>
      <c r="G1066">
        <v>0</v>
      </c>
      <c r="H1066">
        <v>0</v>
      </c>
      <c r="I1066">
        <v>0</v>
      </c>
      <c r="J1066">
        <v>0</v>
      </c>
      <c r="K1066">
        <v>2</v>
      </c>
      <c r="L1066">
        <v>0</v>
      </c>
      <c r="M1066">
        <v>0</v>
      </c>
      <c r="N1066">
        <v>0</v>
      </c>
      <c r="O1066">
        <v>0</v>
      </c>
      <c r="P1066">
        <v>12</v>
      </c>
      <c r="Q1066">
        <v>39</v>
      </c>
      <c r="R1066">
        <v>0</v>
      </c>
      <c r="S1066">
        <v>0</v>
      </c>
      <c r="T1066">
        <v>18</v>
      </c>
      <c r="U1066">
        <v>21</v>
      </c>
      <c r="V1066">
        <v>13</v>
      </c>
      <c r="W1066">
        <v>0</v>
      </c>
      <c r="X1066">
        <v>0</v>
      </c>
    </row>
    <row r="1067" spans="1:24" x14ac:dyDescent="0.2">
      <c r="A1067">
        <v>8300300</v>
      </c>
      <c r="B1067" t="s">
        <v>1066</v>
      </c>
      <c r="C1067">
        <v>300</v>
      </c>
      <c r="D1067">
        <v>4100</v>
      </c>
      <c r="E1067">
        <v>10000</v>
      </c>
      <c r="F1067">
        <v>149</v>
      </c>
      <c r="G1067">
        <v>0</v>
      </c>
      <c r="H1067">
        <v>0</v>
      </c>
      <c r="I1067">
        <v>0</v>
      </c>
      <c r="J1067">
        <v>0</v>
      </c>
      <c r="K1067">
        <v>8</v>
      </c>
      <c r="L1067">
        <v>0</v>
      </c>
      <c r="M1067">
        <v>0</v>
      </c>
      <c r="N1067">
        <v>0</v>
      </c>
      <c r="O1067">
        <v>0</v>
      </c>
      <c r="P1067">
        <v>48</v>
      </c>
      <c r="Q1067">
        <v>48</v>
      </c>
      <c r="R1067">
        <v>0</v>
      </c>
      <c r="S1067">
        <v>0</v>
      </c>
      <c r="T1067">
        <v>18</v>
      </c>
      <c r="U1067">
        <v>21</v>
      </c>
      <c r="V1067">
        <v>13</v>
      </c>
      <c r="W1067">
        <v>0</v>
      </c>
      <c r="X1067">
        <v>0</v>
      </c>
    </row>
    <row r="1068" spans="1:24" x14ac:dyDescent="0.2">
      <c r="A1068">
        <v>8300400</v>
      </c>
      <c r="B1068" t="s">
        <v>1067</v>
      </c>
      <c r="C1068">
        <v>500</v>
      </c>
      <c r="D1068">
        <v>500</v>
      </c>
      <c r="E1068">
        <v>10000</v>
      </c>
      <c r="F1068">
        <v>142</v>
      </c>
      <c r="G1068">
        <v>142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60</v>
      </c>
      <c r="Q1068">
        <v>0</v>
      </c>
      <c r="R1068">
        <v>60</v>
      </c>
      <c r="S1068">
        <v>0</v>
      </c>
      <c r="T1068">
        <v>18</v>
      </c>
      <c r="U1068">
        <v>21</v>
      </c>
      <c r="V1068">
        <v>13</v>
      </c>
      <c r="W1068">
        <v>0</v>
      </c>
      <c r="X1068">
        <v>0</v>
      </c>
    </row>
    <row r="1069" spans="1:24" x14ac:dyDescent="0.2">
      <c r="A1069">
        <v>8300500</v>
      </c>
      <c r="B1069" t="s">
        <v>1068</v>
      </c>
      <c r="C1069">
        <v>400</v>
      </c>
      <c r="D1069">
        <v>400</v>
      </c>
      <c r="E1069">
        <v>10000</v>
      </c>
      <c r="F1069">
        <v>142</v>
      </c>
      <c r="G1069">
        <v>142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60</v>
      </c>
      <c r="Q1069">
        <v>0</v>
      </c>
      <c r="R1069">
        <v>60</v>
      </c>
      <c r="S1069">
        <v>0</v>
      </c>
      <c r="T1069">
        <v>18</v>
      </c>
      <c r="U1069">
        <v>21</v>
      </c>
      <c r="V1069">
        <v>13</v>
      </c>
      <c r="W1069">
        <v>0</v>
      </c>
      <c r="X1069">
        <v>0</v>
      </c>
    </row>
    <row r="1070" spans="1:24" x14ac:dyDescent="0.2">
      <c r="A1070">
        <v>8300600</v>
      </c>
      <c r="B1070" t="s">
        <v>1069</v>
      </c>
      <c r="C1070">
        <v>600</v>
      </c>
      <c r="D1070">
        <v>600</v>
      </c>
      <c r="E1070">
        <v>10000</v>
      </c>
      <c r="F1070">
        <v>131</v>
      </c>
      <c r="G1070">
        <v>0</v>
      </c>
      <c r="H1070">
        <v>131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60</v>
      </c>
      <c r="Q1070">
        <v>0</v>
      </c>
      <c r="R1070">
        <v>0</v>
      </c>
      <c r="S1070">
        <v>0</v>
      </c>
      <c r="T1070">
        <v>18</v>
      </c>
      <c r="U1070">
        <v>21</v>
      </c>
      <c r="V1070">
        <v>13</v>
      </c>
      <c r="W1070">
        <v>0</v>
      </c>
      <c r="X1070">
        <v>0</v>
      </c>
    </row>
    <row r="1071" spans="1:24" x14ac:dyDescent="0.2">
      <c r="A1071">
        <v>8300700</v>
      </c>
      <c r="B1071" t="s">
        <v>1070</v>
      </c>
      <c r="C1071">
        <v>700</v>
      </c>
      <c r="D1071">
        <v>700</v>
      </c>
      <c r="E1071">
        <v>10000</v>
      </c>
      <c r="F1071">
        <v>142</v>
      </c>
      <c r="G1071">
        <v>0</v>
      </c>
      <c r="H1071">
        <v>142</v>
      </c>
      <c r="I1071">
        <v>0</v>
      </c>
      <c r="J1071">
        <v>0</v>
      </c>
      <c r="K1071">
        <v>0</v>
      </c>
      <c r="L1071">
        <v>0</v>
      </c>
      <c r="M1071">
        <v>4</v>
      </c>
      <c r="N1071">
        <v>0</v>
      </c>
      <c r="O1071">
        <v>0</v>
      </c>
      <c r="P1071">
        <v>60</v>
      </c>
      <c r="Q1071">
        <v>0</v>
      </c>
      <c r="R1071">
        <v>60</v>
      </c>
      <c r="S1071">
        <v>60</v>
      </c>
      <c r="T1071">
        <v>18</v>
      </c>
      <c r="U1071">
        <v>21</v>
      </c>
      <c r="V1071">
        <v>13</v>
      </c>
      <c r="W1071">
        <v>0</v>
      </c>
      <c r="X1071">
        <v>0</v>
      </c>
    </row>
    <row r="1072" spans="1:24" x14ac:dyDescent="0.2">
      <c r="A1072">
        <v>8300800</v>
      </c>
      <c r="B1072" t="s">
        <v>1071</v>
      </c>
      <c r="C1072">
        <v>800</v>
      </c>
      <c r="D1072">
        <v>800</v>
      </c>
      <c r="E1072">
        <v>10000</v>
      </c>
      <c r="F1072">
        <v>142</v>
      </c>
      <c r="G1072">
        <v>0</v>
      </c>
      <c r="H1072">
        <v>0</v>
      </c>
      <c r="I1072">
        <v>142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60</v>
      </c>
      <c r="Q1072">
        <v>0</v>
      </c>
      <c r="R1072">
        <v>0</v>
      </c>
      <c r="S1072">
        <v>60</v>
      </c>
      <c r="T1072">
        <v>18</v>
      </c>
      <c r="U1072">
        <v>21</v>
      </c>
      <c r="V1072">
        <v>13</v>
      </c>
      <c r="W1072">
        <v>0</v>
      </c>
      <c r="X1072">
        <v>0</v>
      </c>
    </row>
    <row r="1073" spans="1:24" x14ac:dyDescent="0.2">
      <c r="A1073">
        <v>8300900</v>
      </c>
      <c r="B1073" t="s">
        <v>1072</v>
      </c>
      <c r="C1073">
        <v>900</v>
      </c>
      <c r="D1073">
        <v>900</v>
      </c>
      <c r="E1073">
        <v>10000</v>
      </c>
      <c r="F1073">
        <v>131</v>
      </c>
      <c r="G1073">
        <v>0</v>
      </c>
      <c r="H1073">
        <v>0</v>
      </c>
      <c r="I1073">
        <v>0</v>
      </c>
      <c r="J1073">
        <v>131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60</v>
      </c>
      <c r="Q1073">
        <v>0</v>
      </c>
      <c r="R1073">
        <v>0</v>
      </c>
      <c r="S1073">
        <v>0</v>
      </c>
      <c r="T1073">
        <v>18</v>
      </c>
      <c r="U1073">
        <v>21</v>
      </c>
      <c r="V1073">
        <v>13</v>
      </c>
      <c r="W1073">
        <v>0</v>
      </c>
      <c r="X1073">
        <v>0</v>
      </c>
    </row>
    <row r="1074" spans="1:24" x14ac:dyDescent="0.2">
      <c r="A1074">
        <v>8301000</v>
      </c>
      <c r="B1074" t="s">
        <v>1073</v>
      </c>
      <c r="C1074">
        <v>1000</v>
      </c>
      <c r="D1074">
        <v>1000</v>
      </c>
      <c r="E1074">
        <v>10000</v>
      </c>
      <c r="F1074">
        <v>142</v>
      </c>
      <c r="G1074">
        <v>0</v>
      </c>
      <c r="H1074">
        <v>0</v>
      </c>
      <c r="I1074">
        <v>0</v>
      </c>
      <c r="J1074">
        <v>142</v>
      </c>
      <c r="K1074">
        <v>0</v>
      </c>
      <c r="L1074">
        <v>0</v>
      </c>
      <c r="M1074">
        <v>0</v>
      </c>
      <c r="N1074">
        <v>0</v>
      </c>
      <c r="O1074">
        <v>4</v>
      </c>
      <c r="P1074">
        <v>60</v>
      </c>
      <c r="Q1074">
        <v>0</v>
      </c>
      <c r="R1074">
        <v>60</v>
      </c>
      <c r="S1074">
        <v>60</v>
      </c>
      <c r="T1074">
        <v>18</v>
      </c>
      <c r="U1074">
        <v>21</v>
      </c>
      <c r="V1074">
        <v>13</v>
      </c>
      <c r="W1074">
        <v>0</v>
      </c>
      <c r="X1074">
        <v>0</v>
      </c>
    </row>
    <row r="1075" spans="1:24" x14ac:dyDescent="0.2">
      <c r="A1075">
        <v>8301100</v>
      </c>
      <c r="B1075" t="s">
        <v>1074</v>
      </c>
      <c r="C1075">
        <v>1100</v>
      </c>
      <c r="D1075">
        <v>1100</v>
      </c>
      <c r="E1075">
        <v>10000</v>
      </c>
      <c r="F1075">
        <v>149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60</v>
      </c>
      <c r="Q1075">
        <v>0</v>
      </c>
      <c r="R1075">
        <v>0</v>
      </c>
      <c r="S1075">
        <v>0</v>
      </c>
      <c r="T1075">
        <v>18</v>
      </c>
      <c r="U1075">
        <v>21</v>
      </c>
      <c r="V1075">
        <v>13</v>
      </c>
      <c r="W1075">
        <v>0</v>
      </c>
      <c r="X1075">
        <v>0</v>
      </c>
    </row>
    <row r="1076" spans="1:24" x14ac:dyDescent="0.2">
      <c r="A1076">
        <v>8301200</v>
      </c>
      <c r="B1076" t="s">
        <v>1075</v>
      </c>
      <c r="C1076">
        <v>1200</v>
      </c>
      <c r="D1076">
        <v>1200</v>
      </c>
      <c r="E1076">
        <v>10000</v>
      </c>
      <c r="F1076">
        <v>149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60</v>
      </c>
      <c r="Q1076">
        <v>0</v>
      </c>
      <c r="R1076">
        <v>0</v>
      </c>
      <c r="S1076">
        <v>0</v>
      </c>
      <c r="T1076">
        <v>18</v>
      </c>
      <c r="U1076">
        <v>21</v>
      </c>
      <c r="V1076">
        <v>13</v>
      </c>
      <c r="W1076">
        <v>0</v>
      </c>
      <c r="X1076">
        <v>0</v>
      </c>
    </row>
    <row r="1077" spans="1:24" x14ac:dyDescent="0.2">
      <c r="A1077">
        <v>8301300</v>
      </c>
      <c r="B1077" t="s">
        <v>1076</v>
      </c>
      <c r="C1077">
        <v>1300</v>
      </c>
      <c r="D1077">
        <v>1300</v>
      </c>
      <c r="E1077">
        <v>10000</v>
      </c>
      <c r="F1077">
        <v>156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60</v>
      </c>
      <c r="Q1077">
        <v>0</v>
      </c>
      <c r="R1077">
        <v>0</v>
      </c>
      <c r="S1077">
        <v>0</v>
      </c>
      <c r="T1077">
        <v>18</v>
      </c>
      <c r="U1077">
        <v>21</v>
      </c>
      <c r="V1077">
        <v>13</v>
      </c>
      <c r="W1077">
        <v>0</v>
      </c>
      <c r="X1077">
        <v>0</v>
      </c>
    </row>
    <row r="1078" spans="1:24" x14ac:dyDescent="0.2">
      <c r="A1078">
        <v>8301400</v>
      </c>
      <c r="B1078" t="s">
        <v>1077</v>
      </c>
      <c r="C1078">
        <v>1400</v>
      </c>
      <c r="D1078">
        <v>1400</v>
      </c>
      <c r="E1078">
        <v>10014</v>
      </c>
      <c r="F1078">
        <v>142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60</v>
      </c>
      <c r="Q1078">
        <v>0</v>
      </c>
      <c r="R1078">
        <v>0</v>
      </c>
      <c r="S1078">
        <v>60</v>
      </c>
      <c r="T1078">
        <v>18</v>
      </c>
      <c r="U1078">
        <v>21</v>
      </c>
      <c r="V1078">
        <v>13</v>
      </c>
      <c r="W1078">
        <v>0</v>
      </c>
      <c r="X1078">
        <v>0</v>
      </c>
    </row>
    <row r="1079" spans="1:24" x14ac:dyDescent="0.2">
      <c r="A1079">
        <v>8301500</v>
      </c>
      <c r="B1079" t="s">
        <v>1078</v>
      </c>
      <c r="C1079">
        <v>1500</v>
      </c>
      <c r="D1079">
        <v>1500</v>
      </c>
      <c r="E1079">
        <v>10015</v>
      </c>
      <c r="F1079">
        <v>149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60</v>
      </c>
      <c r="Q1079">
        <v>0</v>
      </c>
      <c r="R1079">
        <v>0</v>
      </c>
      <c r="S1079">
        <v>0</v>
      </c>
      <c r="T1079">
        <v>18</v>
      </c>
      <c r="U1079">
        <v>21</v>
      </c>
      <c r="V1079">
        <v>13</v>
      </c>
      <c r="W1079">
        <v>0</v>
      </c>
      <c r="X1079">
        <v>0</v>
      </c>
    </row>
    <row r="1080" spans="1:24" x14ac:dyDescent="0.2">
      <c r="A1080">
        <v>8310000</v>
      </c>
      <c r="B1080" t="s">
        <v>1079</v>
      </c>
      <c r="C1080">
        <v>2200</v>
      </c>
      <c r="D1080">
        <v>2200</v>
      </c>
      <c r="E1080">
        <v>10000</v>
      </c>
      <c r="F1080">
        <v>148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78</v>
      </c>
      <c r="Q1080">
        <v>0</v>
      </c>
      <c r="R1080">
        <v>0</v>
      </c>
      <c r="S1080">
        <v>0</v>
      </c>
      <c r="T1080">
        <v>23</v>
      </c>
      <c r="U1080">
        <v>40</v>
      </c>
      <c r="V1080">
        <v>0</v>
      </c>
      <c r="W1080">
        <v>0</v>
      </c>
      <c r="X1080">
        <v>0</v>
      </c>
    </row>
    <row r="1081" spans="1:24" x14ac:dyDescent="0.2">
      <c r="A1081">
        <v>8320000</v>
      </c>
      <c r="B1081" t="s">
        <v>1080</v>
      </c>
      <c r="C1081">
        <v>2200</v>
      </c>
      <c r="D1081">
        <v>4600</v>
      </c>
      <c r="E1081">
        <v>10000</v>
      </c>
      <c r="F1081">
        <v>148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93</v>
      </c>
      <c r="Q1081">
        <v>0</v>
      </c>
      <c r="R1081">
        <v>0</v>
      </c>
      <c r="S1081">
        <v>0</v>
      </c>
      <c r="T1081">
        <v>28</v>
      </c>
      <c r="U1081">
        <v>60</v>
      </c>
      <c r="V1081">
        <v>0</v>
      </c>
      <c r="W1081">
        <v>0</v>
      </c>
      <c r="X1081">
        <v>0</v>
      </c>
    </row>
    <row r="1082" spans="1:24" x14ac:dyDescent="0.2">
      <c r="A1082">
        <v>9000000</v>
      </c>
      <c r="B1082" t="s">
        <v>1081</v>
      </c>
      <c r="C1082">
        <v>0</v>
      </c>
      <c r="D1082">
        <v>0</v>
      </c>
      <c r="E1082">
        <v>10000</v>
      </c>
      <c r="F1082">
        <v>104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30</v>
      </c>
      <c r="Q1082">
        <v>51</v>
      </c>
      <c r="R1082">
        <v>0</v>
      </c>
      <c r="S1082">
        <v>0</v>
      </c>
      <c r="T1082">
        <v>24</v>
      </c>
      <c r="U1082">
        <v>11</v>
      </c>
      <c r="V1082">
        <v>10</v>
      </c>
      <c r="W1082">
        <v>0</v>
      </c>
      <c r="X1082">
        <v>0</v>
      </c>
    </row>
    <row r="1083" spans="1:24" x14ac:dyDescent="0.2">
      <c r="A1083">
        <v>9000100</v>
      </c>
      <c r="B1083" t="s">
        <v>1082</v>
      </c>
      <c r="C1083">
        <v>200</v>
      </c>
      <c r="D1083">
        <v>100</v>
      </c>
      <c r="E1083">
        <v>10000</v>
      </c>
      <c r="F1083">
        <v>104</v>
      </c>
      <c r="G1083">
        <v>0</v>
      </c>
      <c r="H1083">
        <v>0</v>
      </c>
      <c r="I1083">
        <v>0</v>
      </c>
      <c r="J1083">
        <v>0</v>
      </c>
      <c r="K1083">
        <v>1</v>
      </c>
      <c r="L1083">
        <v>0</v>
      </c>
      <c r="M1083">
        <v>0</v>
      </c>
      <c r="N1083">
        <v>0</v>
      </c>
      <c r="O1083">
        <v>0</v>
      </c>
      <c r="P1083">
        <v>44</v>
      </c>
      <c r="Q1083">
        <v>0</v>
      </c>
      <c r="R1083">
        <v>0</v>
      </c>
      <c r="S1083">
        <v>0</v>
      </c>
      <c r="T1083">
        <v>24</v>
      </c>
      <c r="U1083">
        <v>11</v>
      </c>
      <c r="V1083">
        <v>10</v>
      </c>
      <c r="W1083">
        <v>0</v>
      </c>
      <c r="X1083">
        <v>0</v>
      </c>
    </row>
    <row r="1084" spans="1:24" x14ac:dyDescent="0.2">
      <c r="A1084">
        <v>9000200</v>
      </c>
      <c r="B1084" t="s">
        <v>1083</v>
      </c>
      <c r="C1084">
        <v>100</v>
      </c>
      <c r="D1084">
        <v>5000</v>
      </c>
      <c r="E1084">
        <v>10000</v>
      </c>
      <c r="F1084">
        <v>104</v>
      </c>
      <c r="G1084">
        <v>0</v>
      </c>
      <c r="H1084">
        <v>0</v>
      </c>
      <c r="I1084">
        <v>0</v>
      </c>
      <c r="J1084">
        <v>0</v>
      </c>
      <c r="K1084">
        <v>2</v>
      </c>
      <c r="L1084">
        <v>0</v>
      </c>
      <c r="M1084">
        <v>0</v>
      </c>
      <c r="N1084">
        <v>0</v>
      </c>
      <c r="O1084">
        <v>0</v>
      </c>
      <c r="P1084">
        <v>19</v>
      </c>
      <c r="Q1084">
        <v>56</v>
      </c>
      <c r="R1084">
        <v>0</v>
      </c>
      <c r="S1084">
        <v>0</v>
      </c>
      <c r="T1084">
        <v>24</v>
      </c>
      <c r="U1084">
        <v>11</v>
      </c>
      <c r="V1084">
        <v>10</v>
      </c>
      <c r="W1084">
        <v>0</v>
      </c>
      <c r="X1084">
        <v>0</v>
      </c>
    </row>
    <row r="1085" spans="1:24" x14ac:dyDescent="0.2">
      <c r="A1085">
        <v>9000300</v>
      </c>
      <c r="B1085" t="s">
        <v>1084</v>
      </c>
      <c r="C1085">
        <v>300</v>
      </c>
      <c r="D1085">
        <v>300</v>
      </c>
      <c r="E1085">
        <v>10000</v>
      </c>
      <c r="F1085">
        <v>104</v>
      </c>
      <c r="G1085">
        <v>0</v>
      </c>
      <c r="H1085">
        <v>0</v>
      </c>
      <c r="I1085">
        <v>0</v>
      </c>
      <c r="J1085">
        <v>0</v>
      </c>
      <c r="K1085">
        <v>8</v>
      </c>
      <c r="L1085">
        <v>0</v>
      </c>
      <c r="M1085">
        <v>0</v>
      </c>
      <c r="N1085">
        <v>0</v>
      </c>
      <c r="O1085">
        <v>0</v>
      </c>
      <c r="P1085">
        <v>50</v>
      </c>
      <c r="Q1085">
        <v>50</v>
      </c>
      <c r="R1085">
        <v>0</v>
      </c>
      <c r="S1085">
        <v>0</v>
      </c>
      <c r="T1085">
        <v>24</v>
      </c>
      <c r="U1085">
        <v>11</v>
      </c>
      <c r="V1085">
        <v>10</v>
      </c>
      <c r="W1085">
        <v>0</v>
      </c>
      <c r="X1085">
        <v>0</v>
      </c>
    </row>
    <row r="1086" spans="1:24" x14ac:dyDescent="0.2">
      <c r="A1086">
        <v>9000400</v>
      </c>
      <c r="B1086" t="s">
        <v>1085</v>
      </c>
      <c r="C1086">
        <v>500</v>
      </c>
      <c r="D1086">
        <v>500</v>
      </c>
      <c r="E1086">
        <v>10000</v>
      </c>
      <c r="F1086">
        <v>101</v>
      </c>
      <c r="G1086">
        <v>101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30</v>
      </c>
      <c r="Q1086">
        <v>51</v>
      </c>
      <c r="R1086">
        <v>81</v>
      </c>
      <c r="S1086">
        <v>0</v>
      </c>
      <c r="T1086">
        <v>24</v>
      </c>
      <c r="U1086">
        <v>11</v>
      </c>
      <c r="V1086">
        <v>10</v>
      </c>
      <c r="W1086">
        <v>0</v>
      </c>
      <c r="X1086">
        <v>0</v>
      </c>
    </row>
    <row r="1087" spans="1:24" x14ac:dyDescent="0.2">
      <c r="A1087">
        <v>9000500</v>
      </c>
      <c r="B1087" t="s">
        <v>1086</v>
      </c>
      <c r="C1087">
        <v>400</v>
      </c>
      <c r="D1087">
        <v>400</v>
      </c>
      <c r="E1087">
        <v>10000</v>
      </c>
      <c r="F1087">
        <v>101</v>
      </c>
      <c r="G1087">
        <v>101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30</v>
      </c>
      <c r="Q1087">
        <v>51</v>
      </c>
      <c r="R1087">
        <v>81</v>
      </c>
      <c r="S1087">
        <v>0</v>
      </c>
      <c r="T1087">
        <v>24</v>
      </c>
      <c r="U1087">
        <v>11</v>
      </c>
      <c r="V1087">
        <v>10</v>
      </c>
      <c r="W1087">
        <v>0</v>
      </c>
      <c r="X1087">
        <v>0</v>
      </c>
    </row>
    <row r="1088" spans="1:24" x14ac:dyDescent="0.2">
      <c r="A1088">
        <v>9000600</v>
      </c>
      <c r="B1088" t="s">
        <v>1087</v>
      </c>
      <c r="C1088">
        <v>600</v>
      </c>
      <c r="D1088">
        <v>600</v>
      </c>
      <c r="E1088">
        <v>10000</v>
      </c>
      <c r="F1088">
        <v>104</v>
      </c>
      <c r="G1088">
        <v>0</v>
      </c>
      <c r="H1088">
        <v>104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30</v>
      </c>
      <c r="Q1088">
        <v>51</v>
      </c>
      <c r="R1088">
        <v>0</v>
      </c>
      <c r="S1088">
        <v>0</v>
      </c>
      <c r="T1088">
        <v>24</v>
      </c>
      <c r="U1088">
        <v>11</v>
      </c>
      <c r="V1088">
        <v>10</v>
      </c>
      <c r="W1088">
        <v>0</v>
      </c>
      <c r="X1088">
        <v>0</v>
      </c>
    </row>
    <row r="1089" spans="1:24" x14ac:dyDescent="0.2">
      <c r="A1089">
        <v>9000700</v>
      </c>
      <c r="B1089" t="s">
        <v>1088</v>
      </c>
      <c r="C1089">
        <v>700</v>
      </c>
      <c r="D1089">
        <v>700</v>
      </c>
      <c r="E1089">
        <v>10000</v>
      </c>
      <c r="F1089">
        <v>101</v>
      </c>
      <c r="G1089">
        <v>0</v>
      </c>
      <c r="H1089">
        <v>101</v>
      </c>
      <c r="I1089">
        <v>0</v>
      </c>
      <c r="J1089">
        <v>0</v>
      </c>
      <c r="K1089">
        <v>0</v>
      </c>
      <c r="L1089">
        <v>0</v>
      </c>
      <c r="M1089">
        <v>4</v>
      </c>
      <c r="N1089">
        <v>0</v>
      </c>
      <c r="O1089">
        <v>0</v>
      </c>
      <c r="P1089">
        <v>30</v>
      </c>
      <c r="Q1089">
        <v>51</v>
      </c>
      <c r="R1089">
        <v>81</v>
      </c>
      <c r="S1089">
        <v>81</v>
      </c>
      <c r="T1089">
        <v>24</v>
      </c>
      <c r="U1089">
        <v>11</v>
      </c>
      <c r="V1089">
        <v>10</v>
      </c>
      <c r="W1089">
        <v>0</v>
      </c>
      <c r="X1089">
        <v>0</v>
      </c>
    </row>
    <row r="1090" spans="1:24" x14ac:dyDescent="0.2">
      <c r="A1090">
        <v>9000800</v>
      </c>
      <c r="B1090" t="s">
        <v>1089</v>
      </c>
      <c r="C1090">
        <v>800</v>
      </c>
      <c r="D1090">
        <v>800</v>
      </c>
      <c r="E1090">
        <v>10000</v>
      </c>
      <c r="F1090">
        <v>101</v>
      </c>
      <c r="G1090">
        <v>0</v>
      </c>
      <c r="H1090">
        <v>0</v>
      </c>
      <c r="I1090">
        <v>101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30</v>
      </c>
      <c r="Q1090">
        <v>51</v>
      </c>
      <c r="R1090">
        <v>0</v>
      </c>
      <c r="S1090">
        <v>81</v>
      </c>
      <c r="T1090">
        <v>24</v>
      </c>
      <c r="U1090">
        <v>11</v>
      </c>
      <c r="V1090">
        <v>10</v>
      </c>
      <c r="W1090">
        <v>0</v>
      </c>
      <c r="X1090">
        <v>0</v>
      </c>
    </row>
    <row r="1091" spans="1:24" x14ac:dyDescent="0.2">
      <c r="A1091">
        <v>9000900</v>
      </c>
      <c r="B1091" t="s">
        <v>1090</v>
      </c>
      <c r="C1091">
        <v>900</v>
      </c>
      <c r="D1091">
        <v>900</v>
      </c>
      <c r="E1091">
        <v>10000</v>
      </c>
      <c r="F1091">
        <v>104</v>
      </c>
      <c r="G1091">
        <v>0</v>
      </c>
      <c r="H1091">
        <v>0</v>
      </c>
      <c r="I1091">
        <v>0</v>
      </c>
      <c r="J1091">
        <v>104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30</v>
      </c>
      <c r="Q1091">
        <v>51</v>
      </c>
      <c r="R1091">
        <v>0</v>
      </c>
      <c r="S1091">
        <v>0</v>
      </c>
      <c r="T1091">
        <v>24</v>
      </c>
      <c r="U1091">
        <v>11</v>
      </c>
      <c r="V1091">
        <v>10</v>
      </c>
      <c r="W1091">
        <v>0</v>
      </c>
      <c r="X1091">
        <v>0</v>
      </c>
    </row>
    <row r="1092" spans="1:24" x14ac:dyDescent="0.2">
      <c r="A1092">
        <v>9001000</v>
      </c>
      <c r="B1092" t="s">
        <v>1091</v>
      </c>
      <c r="C1092">
        <v>1000</v>
      </c>
      <c r="D1092">
        <v>1000</v>
      </c>
      <c r="E1092">
        <v>10000</v>
      </c>
      <c r="F1092">
        <v>101</v>
      </c>
      <c r="G1092">
        <v>0</v>
      </c>
      <c r="H1092">
        <v>0</v>
      </c>
      <c r="I1092">
        <v>0</v>
      </c>
      <c r="J1092">
        <v>101</v>
      </c>
      <c r="K1092">
        <v>0</v>
      </c>
      <c r="L1092">
        <v>0</v>
      </c>
      <c r="M1092">
        <v>0</v>
      </c>
      <c r="N1092">
        <v>0</v>
      </c>
      <c r="O1092">
        <v>4</v>
      </c>
      <c r="P1092">
        <v>30</v>
      </c>
      <c r="Q1092">
        <v>51</v>
      </c>
      <c r="R1092">
        <v>81</v>
      </c>
      <c r="S1092">
        <v>81</v>
      </c>
      <c r="T1092">
        <v>24</v>
      </c>
      <c r="U1092">
        <v>11</v>
      </c>
      <c r="V1092">
        <v>10</v>
      </c>
      <c r="W1092">
        <v>0</v>
      </c>
      <c r="X1092">
        <v>0</v>
      </c>
    </row>
    <row r="1093" spans="1:24" x14ac:dyDescent="0.2">
      <c r="A1093">
        <v>9001100</v>
      </c>
      <c r="B1093" t="s">
        <v>1092</v>
      </c>
      <c r="C1093">
        <v>1100</v>
      </c>
      <c r="D1093">
        <v>1100</v>
      </c>
      <c r="E1093">
        <v>10000</v>
      </c>
      <c r="F1093">
        <v>104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30</v>
      </c>
      <c r="Q1093">
        <v>51</v>
      </c>
      <c r="R1093">
        <v>0</v>
      </c>
      <c r="S1093">
        <v>0</v>
      </c>
      <c r="T1093">
        <v>24</v>
      </c>
      <c r="U1093">
        <v>11</v>
      </c>
      <c r="V1093">
        <v>10</v>
      </c>
      <c r="W1093">
        <v>0</v>
      </c>
      <c r="X1093">
        <v>0</v>
      </c>
    </row>
    <row r="1094" spans="1:24" x14ac:dyDescent="0.2">
      <c r="A1094">
        <v>9001200</v>
      </c>
      <c r="B1094" t="s">
        <v>1093</v>
      </c>
      <c r="C1094">
        <v>1200</v>
      </c>
      <c r="D1094">
        <v>1200</v>
      </c>
      <c r="E1094">
        <v>10000</v>
      </c>
      <c r="F1094">
        <v>104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30</v>
      </c>
      <c r="Q1094">
        <v>51</v>
      </c>
      <c r="R1094">
        <v>0</v>
      </c>
      <c r="S1094">
        <v>0</v>
      </c>
      <c r="T1094">
        <v>24</v>
      </c>
      <c r="U1094">
        <v>11</v>
      </c>
      <c r="V1094">
        <v>10</v>
      </c>
      <c r="W1094">
        <v>0</v>
      </c>
      <c r="X1094">
        <v>0</v>
      </c>
    </row>
    <row r="1095" spans="1:24" x14ac:dyDescent="0.2">
      <c r="A1095">
        <v>9001300</v>
      </c>
      <c r="B1095" t="s">
        <v>1094</v>
      </c>
      <c r="C1095">
        <v>1300</v>
      </c>
      <c r="D1095">
        <v>1300</v>
      </c>
      <c r="E1095">
        <v>10000</v>
      </c>
      <c r="F1095">
        <v>114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30</v>
      </c>
      <c r="Q1095">
        <v>51</v>
      </c>
      <c r="R1095">
        <v>0</v>
      </c>
      <c r="S1095">
        <v>0</v>
      </c>
      <c r="T1095">
        <v>24</v>
      </c>
      <c r="U1095">
        <v>11</v>
      </c>
      <c r="V1095">
        <v>10</v>
      </c>
      <c r="W1095">
        <v>0</v>
      </c>
      <c r="X1095">
        <v>0</v>
      </c>
    </row>
    <row r="1096" spans="1:24" x14ac:dyDescent="0.2">
      <c r="A1096">
        <v>9001400</v>
      </c>
      <c r="B1096" t="s">
        <v>1095</v>
      </c>
      <c r="C1096">
        <v>1400</v>
      </c>
      <c r="D1096">
        <v>1400</v>
      </c>
      <c r="E1096">
        <v>10014</v>
      </c>
      <c r="F1096">
        <v>101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30</v>
      </c>
      <c r="Q1096">
        <v>51</v>
      </c>
      <c r="R1096">
        <v>0</v>
      </c>
      <c r="S1096">
        <v>81</v>
      </c>
      <c r="T1096">
        <v>24</v>
      </c>
      <c r="U1096">
        <v>11</v>
      </c>
      <c r="V1096">
        <v>10</v>
      </c>
      <c r="W1096">
        <v>0</v>
      </c>
      <c r="X1096">
        <v>0</v>
      </c>
    </row>
    <row r="1097" spans="1:24" x14ac:dyDescent="0.2">
      <c r="A1097">
        <v>9001500</v>
      </c>
      <c r="B1097" t="s">
        <v>1096</v>
      </c>
      <c r="C1097">
        <v>1500</v>
      </c>
      <c r="D1097">
        <v>1500</v>
      </c>
      <c r="E1097">
        <v>10015</v>
      </c>
      <c r="F1097">
        <v>104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30</v>
      </c>
      <c r="Q1097">
        <v>51</v>
      </c>
      <c r="R1097">
        <v>0</v>
      </c>
      <c r="S1097">
        <v>0</v>
      </c>
      <c r="T1097">
        <v>24</v>
      </c>
      <c r="U1097">
        <v>11</v>
      </c>
      <c r="V1097">
        <v>10</v>
      </c>
      <c r="W1097">
        <v>0</v>
      </c>
      <c r="X1097">
        <v>0</v>
      </c>
    </row>
    <row r="1098" spans="1:24" x14ac:dyDescent="0.2">
      <c r="A1098">
        <v>9010000</v>
      </c>
      <c r="B1098" t="s">
        <v>1097</v>
      </c>
      <c r="C1098">
        <v>0</v>
      </c>
      <c r="D1098">
        <v>0</v>
      </c>
      <c r="E1098">
        <v>10000</v>
      </c>
      <c r="F1098">
        <v>95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40</v>
      </c>
      <c r="Q1098">
        <v>60</v>
      </c>
      <c r="R1098">
        <v>0</v>
      </c>
      <c r="S1098">
        <v>0</v>
      </c>
      <c r="T1098">
        <v>30</v>
      </c>
      <c r="U1098">
        <v>12</v>
      </c>
      <c r="V1098">
        <v>15</v>
      </c>
      <c r="W1098">
        <v>0</v>
      </c>
      <c r="X1098">
        <v>0</v>
      </c>
    </row>
    <row r="1099" spans="1:24" x14ac:dyDescent="0.2">
      <c r="A1099">
        <v>9010100</v>
      </c>
      <c r="B1099" t="s">
        <v>1098</v>
      </c>
      <c r="C1099">
        <v>200</v>
      </c>
      <c r="D1099">
        <v>100</v>
      </c>
      <c r="E1099">
        <v>10000</v>
      </c>
      <c r="F1099">
        <v>95</v>
      </c>
      <c r="G1099">
        <v>0</v>
      </c>
      <c r="H1099">
        <v>0</v>
      </c>
      <c r="I1099">
        <v>0</v>
      </c>
      <c r="J1099">
        <v>0</v>
      </c>
      <c r="K1099">
        <v>1</v>
      </c>
      <c r="L1099">
        <v>0</v>
      </c>
      <c r="M1099">
        <v>0</v>
      </c>
      <c r="N1099">
        <v>0</v>
      </c>
      <c r="O1099">
        <v>0</v>
      </c>
      <c r="P1099">
        <v>55</v>
      </c>
      <c r="Q1099">
        <v>0</v>
      </c>
      <c r="R1099">
        <v>0</v>
      </c>
      <c r="S1099">
        <v>0</v>
      </c>
      <c r="T1099">
        <v>30</v>
      </c>
      <c r="U1099">
        <v>12</v>
      </c>
      <c r="V1099">
        <v>15</v>
      </c>
      <c r="W1099">
        <v>0</v>
      </c>
      <c r="X1099">
        <v>0</v>
      </c>
    </row>
    <row r="1100" spans="1:24" x14ac:dyDescent="0.2">
      <c r="A1100">
        <v>9010200</v>
      </c>
      <c r="B1100" t="s">
        <v>1099</v>
      </c>
      <c r="C1100">
        <v>100</v>
      </c>
      <c r="D1100">
        <v>5000</v>
      </c>
      <c r="E1100">
        <v>10000</v>
      </c>
      <c r="F1100">
        <v>95</v>
      </c>
      <c r="G1100">
        <v>0</v>
      </c>
      <c r="H1100">
        <v>0</v>
      </c>
      <c r="I1100">
        <v>0</v>
      </c>
      <c r="J1100">
        <v>0</v>
      </c>
      <c r="K1100">
        <v>2</v>
      </c>
      <c r="L1100">
        <v>0</v>
      </c>
      <c r="M1100">
        <v>0</v>
      </c>
      <c r="N1100">
        <v>0</v>
      </c>
      <c r="O1100">
        <v>0</v>
      </c>
      <c r="P1100">
        <v>26</v>
      </c>
      <c r="Q1100">
        <v>66</v>
      </c>
      <c r="R1100">
        <v>0</v>
      </c>
      <c r="S1100">
        <v>0</v>
      </c>
      <c r="T1100">
        <v>30</v>
      </c>
      <c r="U1100">
        <v>12</v>
      </c>
      <c r="V1100">
        <v>15</v>
      </c>
      <c r="W1100">
        <v>0</v>
      </c>
      <c r="X1100">
        <v>0</v>
      </c>
    </row>
    <row r="1101" spans="1:24" x14ac:dyDescent="0.2">
      <c r="A1101">
        <v>9010300</v>
      </c>
      <c r="B1101" t="s">
        <v>1100</v>
      </c>
      <c r="C1101">
        <v>300</v>
      </c>
      <c r="D1101">
        <v>300</v>
      </c>
      <c r="E1101">
        <v>10000</v>
      </c>
      <c r="F1101">
        <v>95</v>
      </c>
      <c r="G1101">
        <v>0</v>
      </c>
      <c r="H1101">
        <v>0</v>
      </c>
      <c r="I1101">
        <v>0</v>
      </c>
      <c r="J1101">
        <v>0</v>
      </c>
      <c r="K1101">
        <v>8</v>
      </c>
      <c r="L1101">
        <v>0</v>
      </c>
      <c r="M1101">
        <v>0</v>
      </c>
      <c r="N1101">
        <v>0</v>
      </c>
      <c r="O1101">
        <v>0</v>
      </c>
      <c r="P1101">
        <v>60</v>
      </c>
      <c r="Q1101">
        <v>60</v>
      </c>
      <c r="R1101">
        <v>0</v>
      </c>
      <c r="S1101">
        <v>0</v>
      </c>
      <c r="T1101">
        <v>30</v>
      </c>
      <c r="U1101">
        <v>12</v>
      </c>
      <c r="V1101">
        <v>15</v>
      </c>
      <c r="W1101">
        <v>0</v>
      </c>
      <c r="X1101">
        <v>0</v>
      </c>
    </row>
    <row r="1102" spans="1:24" x14ac:dyDescent="0.2">
      <c r="A1102">
        <v>9010400</v>
      </c>
      <c r="B1102" t="s">
        <v>1101</v>
      </c>
      <c r="C1102">
        <v>500</v>
      </c>
      <c r="D1102">
        <v>500</v>
      </c>
      <c r="E1102">
        <v>10000</v>
      </c>
      <c r="F1102">
        <v>95</v>
      </c>
      <c r="G1102">
        <v>95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40</v>
      </c>
      <c r="Q1102">
        <v>60</v>
      </c>
      <c r="R1102">
        <v>100</v>
      </c>
      <c r="S1102">
        <v>0</v>
      </c>
      <c r="T1102">
        <v>30</v>
      </c>
      <c r="U1102">
        <v>12</v>
      </c>
      <c r="V1102">
        <v>15</v>
      </c>
      <c r="W1102">
        <v>0</v>
      </c>
      <c r="X1102">
        <v>0</v>
      </c>
    </row>
    <row r="1103" spans="1:24" x14ac:dyDescent="0.2">
      <c r="A1103">
        <v>9010500</v>
      </c>
      <c r="B1103" t="s">
        <v>1102</v>
      </c>
      <c r="C1103">
        <v>400</v>
      </c>
      <c r="D1103">
        <v>400</v>
      </c>
      <c r="E1103">
        <v>10000</v>
      </c>
      <c r="F1103">
        <v>95</v>
      </c>
      <c r="G1103">
        <v>95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40</v>
      </c>
      <c r="Q1103">
        <v>60</v>
      </c>
      <c r="R1103">
        <v>100</v>
      </c>
      <c r="S1103">
        <v>0</v>
      </c>
      <c r="T1103">
        <v>30</v>
      </c>
      <c r="U1103">
        <v>12</v>
      </c>
      <c r="V1103">
        <v>15</v>
      </c>
      <c r="W1103">
        <v>0</v>
      </c>
      <c r="X1103">
        <v>0</v>
      </c>
    </row>
    <row r="1104" spans="1:24" x14ac:dyDescent="0.2">
      <c r="A1104">
        <v>9010600</v>
      </c>
      <c r="B1104" t="s">
        <v>1103</v>
      </c>
      <c r="C1104">
        <v>600</v>
      </c>
      <c r="D1104">
        <v>600</v>
      </c>
      <c r="E1104">
        <v>10000</v>
      </c>
      <c r="F1104">
        <v>105</v>
      </c>
      <c r="G1104">
        <v>0</v>
      </c>
      <c r="H1104">
        <v>105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40</v>
      </c>
      <c r="Q1104">
        <v>60</v>
      </c>
      <c r="R1104">
        <v>0</v>
      </c>
      <c r="S1104">
        <v>0</v>
      </c>
      <c r="T1104">
        <v>30</v>
      </c>
      <c r="U1104">
        <v>12</v>
      </c>
      <c r="V1104">
        <v>15</v>
      </c>
      <c r="W1104">
        <v>0</v>
      </c>
      <c r="X1104">
        <v>0</v>
      </c>
    </row>
    <row r="1105" spans="1:24" x14ac:dyDescent="0.2">
      <c r="A1105">
        <v>9010700</v>
      </c>
      <c r="B1105" t="s">
        <v>1104</v>
      </c>
      <c r="C1105">
        <v>700</v>
      </c>
      <c r="D1105">
        <v>700</v>
      </c>
      <c r="E1105">
        <v>10000</v>
      </c>
      <c r="F1105">
        <v>95</v>
      </c>
      <c r="G1105">
        <v>0</v>
      </c>
      <c r="H1105">
        <v>95</v>
      </c>
      <c r="I1105">
        <v>0</v>
      </c>
      <c r="J1105">
        <v>0</v>
      </c>
      <c r="K1105">
        <v>0</v>
      </c>
      <c r="L1105">
        <v>0</v>
      </c>
      <c r="M1105">
        <v>4</v>
      </c>
      <c r="N1105">
        <v>0</v>
      </c>
      <c r="O1105">
        <v>0</v>
      </c>
      <c r="P1105">
        <v>40</v>
      </c>
      <c r="Q1105">
        <v>60</v>
      </c>
      <c r="R1105">
        <v>100</v>
      </c>
      <c r="S1105">
        <v>100</v>
      </c>
      <c r="T1105">
        <v>30</v>
      </c>
      <c r="U1105">
        <v>12</v>
      </c>
      <c r="V1105">
        <v>15</v>
      </c>
      <c r="W1105">
        <v>0</v>
      </c>
      <c r="X1105">
        <v>0</v>
      </c>
    </row>
    <row r="1106" spans="1:24" x14ac:dyDescent="0.2">
      <c r="A1106">
        <v>9010800</v>
      </c>
      <c r="B1106" t="s">
        <v>1105</v>
      </c>
      <c r="C1106">
        <v>800</v>
      </c>
      <c r="D1106">
        <v>800</v>
      </c>
      <c r="E1106">
        <v>10000</v>
      </c>
      <c r="F1106">
        <v>95</v>
      </c>
      <c r="G1106">
        <v>0</v>
      </c>
      <c r="H1106">
        <v>0</v>
      </c>
      <c r="I1106">
        <v>95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40</v>
      </c>
      <c r="Q1106">
        <v>60</v>
      </c>
      <c r="R1106">
        <v>0</v>
      </c>
      <c r="S1106">
        <v>100</v>
      </c>
      <c r="T1106">
        <v>30</v>
      </c>
      <c r="U1106">
        <v>12</v>
      </c>
      <c r="V1106">
        <v>15</v>
      </c>
      <c r="W1106">
        <v>0</v>
      </c>
      <c r="X1106">
        <v>0</v>
      </c>
    </row>
    <row r="1107" spans="1:24" x14ac:dyDescent="0.2">
      <c r="A1107">
        <v>9010900</v>
      </c>
      <c r="B1107" t="s">
        <v>1106</v>
      </c>
      <c r="C1107">
        <v>900</v>
      </c>
      <c r="D1107">
        <v>900</v>
      </c>
      <c r="E1107">
        <v>10000</v>
      </c>
      <c r="F1107">
        <v>105</v>
      </c>
      <c r="G1107">
        <v>0</v>
      </c>
      <c r="H1107">
        <v>0</v>
      </c>
      <c r="I1107">
        <v>0</v>
      </c>
      <c r="J1107">
        <v>105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40</v>
      </c>
      <c r="Q1107">
        <v>60</v>
      </c>
      <c r="R1107">
        <v>0</v>
      </c>
      <c r="S1107">
        <v>0</v>
      </c>
      <c r="T1107">
        <v>30</v>
      </c>
      <c r="U1107">
        <v>12</v>
      </c>
      <c r="V1107">
        <v>15</v>
      </c>
      <c r="W1107">
        <v>0</v>
      </c>
      <c r="X1107">
        <v>0</v>
      </c>
    </row>
    <row r="1108" spans="1:24" x14ac:dyDescent="0.2">
      <c r="A1108">
        <v>9011000</v>
      </c>
      <c r="B1108" t="s">
        <v>1107</v>
      </c>
      <c r="C1108">
        <v>1000</v>
      </c>
      <c r="D1108">
        <v>1000</v>
      </c>
      <c r="E1108">
        <v>10000</v>
      </c>
      <c r="F1108">
        <v>95</v>
      </c>
      <c r="G1108">
        <v>0</v>
      </c>
      <c r="H1108">
        <v>0</v>
      </c>
      <c r="I1108">
        <v>0</v>
      </c>
      <c r="J1108">
        <v>95</v>
      </c>
      <c r="K1108">
        <v>0</v>
      </c>
      <c r="L1108">
        <v>0</v>
      </c>
      <c r="M1108">
        <v>0</v>
      </c>
      <c r="N1108">
        <v>0</v>
      </c>
      <c r="O1108">
        <v>4</v>
      </c>
      <c r="P1108">
        <v>40</v>
      </c>
      <c r="Q1108">
        <v>60</v>
      </c>
      <c r="R1108">
        <v>100</v>
      </c>
      <c r="S1108">
        <v>100</v>
      </c>
      <c r="T1108">
        <v>30</v>
      </c>
      <c r="U1108">
        <v>12</v>
      </c>
      <c r="V1108">
        <v>15</v>
      </c>
      <c r="W1108">
        <v>0</v>
      </c>
      <c r="X1108">
        <v>0</v>
      </c>
    </row>
    <row r="1109" spans="1:24" x14ac:dyDescent="0.2">
      <c r="A1109">
        <v>9011100</v>
      </c>
      <c r="B1109" t="s">
        <v>1108</v>
      </c>
      <c r="C1109">
        <v>1100</v>
      </c>
      <c r="D1109">
        <v>1100</v>
      </c>
      <c r="E1109">
        <v>10000</v>
      </c>
      <c r="F1109">
        <v>95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40</v>
      </c>
      <c r="Q1109">
        <v>60</v>
      </c>
      <c r="R1109">
        <v>0</v>
      </c>
      <c r="S1109">
        <v>0</v>
      </c>
      <c r="T1109">
        <v>30</v>
      </c>
      <c r="U1109">
        <v>12</v>
      </c>
      <c r="V1109">
        <v>15</v>
      </c>
      <c r="W1109">
        <v>0</v>
      </c>
      <c r="X1109">
        <v>0</v>
      </c>
    </row>
    <row r="1110" spans="1:24" x14ac:dyDescent="0.2">
      <c r="A1110">
        <v>9011200</v>
      </c>
      <c r="B1110" t="s">
        <v>1109</v>
      </c>
      <c r="C1110">
        <v>1200</v>
      </c>
      <c r="D1110">
        <v>1200</v>
      </c>
      <c r="E1110">
        <v>10000</v>
      </c>
      <c r="F1110">
        <v>95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40</v>
      </c>
      <c r="Q1110">
        <v>60</v>
      </c>
      <c r="R1110">
        <v>0</v>
      </c>
      <c r="S1110">
        <v>0</v>
      </c>
      <c r="T1110">
        <v>30</v>
      </c>
      <c r="U1110">
        <v>12</v>
      </c>
      <c r="V1110">
        <v>15</v>
      </c>
      <c r="W1110">
        <v>0</v>
      </c>
      <c r="X1110">
        <v>0</v>
      </c>
    </row>
    <row r="1111" spans="1:24" x14ac:dyDescent="0.2">
      <c r="A1111">
        <v>9011300</v>
      </c>
      <c r="B1111" t="s">
        <v>1110</v>
      </c>
      <c r="C1111">
        <v>1300</v>
      </c>
      <c r="D1111">
        <v>1300</v>
      </c>
      <c r="E1111">
        <v>10000</v>
      </c>
      <c r="F1111">
        <v>115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40</v>
      </c>
      <c r="Q1111">
        <v>60</v>
      </c>
      <c r="R1111">
        <v>0</v>
      </c>
      <c r="S1111">
        <v>0</v>
      </c>
      <c r="T1111">
        <v>30</v>
      </c>
      <c r="U1111">
        <v>12</v>
      </c>
      <c r="V1111">
        <v>15</v>
      </c>
      <c r="W1111">
        <v>0</v>
      </c>
      <c r="X1111">
        <v>0</v>
      </c>
    </row>
    <row r="1112" spans="1:24" x14ac:dyDescent="0.2">
      <c r="A1112">
        <v>9011400</v>
      </c>
      <c r="B1112" t="s">
        <v>1111</v>
      </c>
      <c r="C1112">
        <v>1400</v>
      </c>
      <c r="D1112">
        <v>1400</v>
      </c>
      <c r="E1112">
        <v>10014</v>
      </c>
      <c r="F1112">
        <v>95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40</v>
      </c>
      <c r="Q1112">
        <v>60</v>
      </c>
      <c r="R1112">
        <v>0</v>
      </c>
      <c r="S1112">
        <v>100</v>
      </c>
      <c r="T1112">
        <v>30</v>
      </c>
      <c r="U1112">
        <v>12</v>
      </c>
      <c r="V1112">
        <v>15</v>
      </c>
      <c r="W1112">
        <v>0</v>
      </c>
      <c r="X1112">
        <v>0</v>
      </c>
    </row>
    <row r="1113" spans="1:24" x14ac:dyDescent="0.2">
      <c r="A1113">
        <v>9011500</v>
      </c>
      <c r="B1113" t="s">
        <v>1112</v>
      </c>
      <c r="C1113">
        <v>1500</v>
      </c>
      <c r="D1113">
        <v>1500</v>
      </c>
      <c r="E1113">
        <v>10015</v>
      </c>
      <c r="F1113">
        <v>95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40</v>
      </c>
      <c r="Q1113">
        <v>60</v>
      </c>
      <c r="R1113">
        <v>0</v>
      </c>
      <c r="S1113">
        <v>0</v>
      </c>
      <c r="T1113">
        <v>30</v>
      </c>
      <c r="U1113">
        <v>12</v>
      </c>
      <c r="V1113">
        <v>15</v>
      </c>
      <c r="W1113">
        <v>0</v>
      </c>
      <c r="X1113">
        <v>0</v>
      </c>
    </row>
    <row r="1114" spans="1:24" x14ac:dyDescent="0.2">
      <c r="A1114">
        <v>9030000</v>
      </c>
      <c r="B1114" t="s">
        <v>1113</v>
      </c>
      <c r="C1114">
        <v>0</v>
      </c>
      <c r="D1114">
        <v>0</v>
      </c>
      <c r="E1114">
        <v>10000</v>
      </c>
      <c r="F1114">
        <v>108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35</v>
      </c>
      <c r="Q1114">
        <v>46</v>
      </c>
      <c r="R1114">
        <v>0</v>
      </c>
      <c r="S1114">
        <v>0</v>
      </c>
      <c r="T1114">
        <v>24</v>
      </c>
      <c r="U1114">
        <v>14</v>
      </c>
      <c r="V1114">
        <v>12</v>
      </c>
      <c r="W1114">
        <v>0</v>
      </c>
      <c r="X1114">
        <v>0</v>
      </c>
    </row>
    <row r="1115" spans="1:24" x14ac:dyDescent="0.2">
      <c r="A1115">
        <v>9030100</v>
      </c>
      <c r="B1115" t="s">
        <v>1114</v>
      </c>
      <c r="C1115">
        <v>200</v>
      </c>
      <c r="D1115">
        <v>100</v>
      </c>
      <c r="E1115">
        <v>10000</v>
      </c>
      <c r="F1115">
        <v>108</v>
      </c>
      <c r="G1115">
        <v>0</v>
      </c>
      <c r="H1115">
        <v>0</v>
      </c>
      <c r="I1115">
        <v>0</v>
      </c>
      <c r="J1115">
        <v>0</v>
      </c>
      <c r="K1115">
        <v>1</v>
      </c>
      <c r="L1115">
        <v>0</v>
      </c>
      <c r="M1115">
        <v>0</v>
      </c>
      <c r="N1115">
        <v>0</v>
      </c>
      <c r="O1115">
        <v>0</v>
      </c>
      <c r="P1115">
        <v>44</v>
      </c>
      <c r="Q1115">
        <v>0</v>
      </c>
      <c r="R1115">
        <v>0</v>
      </c>
      <c r="S1115">
        <v>0</v>
      </c>
      <c r="T1115">
        <v>24</v>
      </c>
      <c r="U1115">
        <v>14</v>
      </c>
      <c r="V1115">
        <v>12</v>
      </c>
      <c r="W1115">
        <v>0</v>
      </c>
      <c r="X1115">
        <v>0</v>
      </c>
    </row>
    <row r="1116" spans="1:24" x14ac:dyDescent="0.2">
      <c r="A1116">
        <v>9030200</v>
      </c>
      <c r="B1116" t="s">
        <v>1115</v>
      </c>
      <c r="C1116">
        <v>100</v>
      </c>
      <c r="D1116">
        <v>5000</v>
      </c>
      <c r="E1116">
        <v>10000</v>
      </c>
      <c r="F1116">
        <v>108</v>
      </c>
      <c r="G1116">
        <v>0</v>
      </c>
      <c r="H1116">
        <v>0</v>
      </c>
      <c r="I1116">
        <v>0</v>
      </c>
      <c r="J1116">
        <v>0</v>
      </c>
      <c r="K1116">
        <v>2</v>
      </c>
      <c r="L1116">
        <v>0</v>
      </c>
      <c r="M1116">
        <v>0</v>
      </c>
      <c r="N1116">
        <v>0</v>
      </c>
      <c r="O1116">
        <v>0</v>
      </c>
      <c r="P1116">
        <v>22</v>
      </c>
      <c r="Q1116">
        <v>50</v>
      </c>
      <c r="R1116">
        <v>0</v>
      </c>
      <c r="S1116">
        <v>0</v>
      </c>
      <c r="T1116">
        <v>24</v>
      </c>
      <c r="U1116">
        <v>14</v>
      </c>
      <c r="V1116">
        <v>12</v>
      </c>
      <c r="W1116">
        <v>0</v>
      </c>
      <c r="X1116">
        <v>0</v>
      </c>
    </row>
    <row r="1117" spans="1:24" x14ac:dyDescent="0.2">
      <c r="A1117">
        <v>9030300</v>
      </c>
      <c r="B1117" t="s">
        <v>1116</v>
      </c>
      <c r="C1117">
        <v>300</v>
      </c>
      <c r="D1117">
        <v>300</v>
      </c>
      <c r="E1117">
        <v>10000</v>
      </c>
      <c r="F1117">
        <v>108</v>
      </c>
      <c r="G1117">
        <v>0</v>
      </c>
      <c r="H1117">
        <v>0</v>
      </c>
      <c r="I1117">
        <v>0</v>
      </c>
      <c r="J1117">
        <v>0</v>
      </c>
      <c r="K1117">
        <v>8</v>
      </c>
      <c r="L1117">
        <v>0</v>
      </c>
      <c r="M1117">
        <v>0</v>
      </c>
      <c r="N1117">
        <v>0</v>
      </c>
      <c r="O1117">
        <v>0</v>
      </c>
      <c r="P1117">
        <v>50</v>
      </c>
      <c r="Q1117">
        <v>50</v>
      </c>
      <c r="R1117">
        <v>0</v>
      </c>
      <c r="S1117">
        <v>0</v>
      </c>
      <c r="T1117">
        <v>24</v>
      </c>
      <c r="U1117">
        <v>14</v>
      </c>
      <c r="V1117">
        <v>12</v>
      </c>
      <c r="W1117">
        <v>0</v>
      </c>
      <c r="X1117">
        <v>0</v>
      </c>
    </row>
    <row r="1118" spans="1:24" x14ac:dyDescent="0.2">
      <c r="A1118">
        <v>9030400</v>
      </c>
      <c r="B1118" t="s">
        <v>1117</v>
      </c>
      <c r="C1118">
        <v>500</v>
      </c>
      <c r="D1118">
        <v>500</v>
      </c>
      <c r="E1118">
        <v>10000</v>
      </c>
      <c r="F1118">
        <v>105</v>
      </c>
      <c r="G1118">
        <v>105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35</v>
      </c>
      <c r="Q1118">
        <v>46</v>
      </c>
      <c r="R1118">
        <v>81</v>
      </c>
      <c r="S1118">
        <v>0</v>
      </c>
      <c r="T1118">
        <v>24</v>
      </c>
      <c r="U1118">
        <v>14</v>
      </c>
      <c r="V1118">
        <v>12</v>
      </c>
      <c r="W1118">
        <v>0</v>
      </c>
      <c r="X1118">
        <v>0</v>
      </c>
    </row>
    <row r="1119" spans="1:24" x14ac:dyDescent="0.2">
      <c r="A1119">
        <v>9030500</v>
      </c>
      <c r="B1119" t="s">
        <v>1118</v>
      </c>
      <c r="C1119">
        <v>400</v>
      </c>
      <c r="D1119">
        <v>400</v>
      </c>
      <c r="E1119">
        <v>10000</v>
      </c>
      <c r="F1119">
        <v>105</v>
      </c>
      <c r="G1119">
        <v>105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35</v>
      </c>
      <c r="Q1119">
        <v>46</v>
      </c>
      <c r="R1119">
        <v>81</v>
      </c>
      <c r="S1119">
        <v>0</v>
      </c>
      <c r="T1119">
        <v>24</v>
      </c>
      <c r="U1119">
        <v>14</v>
      </c>
      <c r="V1119">
        <v>12</v>
      </c>
      <c r="W1119">
        <v>0</v>
      </c>
      <c r="X1119">
        <v>0</v>
      </c>
    </row>
    <row r="1120" spans="1:24" x14ac:dyDescent="0.2">
      <c r="A1120">
        <v>9030600</v>
      </c>
      <c r="B1120" t="s">
        <v>1119</v>
      </c>
      <c r="C1120">
        <v>600</v>
      </c>
      <c r="D1120">
        <v>600</v>
      </c>
      <c r="E1120">
        <v>10000</v>
      </c>
      <c r="F1120">
        <v>108</v>
      </c>
      <c r="G1120">
        <v>0</v>
      </c>
      <c r="H1120">
        <v>108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35</v>
      </c>
      <c r="Q1120">
        <v>46</v>
      </c>
      <c r="R1120">
        <v>0</v>
      </c>
      <c r="S1120">
        <v>0</v>
      </c>
      <c r="T1120">
        <v>24</v>
      </c>
      <c r="U1120">
        <v>14</v>
      </c>
      <c r="V1120">
        <v>12</v>
      </c>
      <c r="W1120">
        <v>0</v>
      </c>
      <c r="X1120">
        <v>0</v>
      </c>
    </row>
    <row r="1121" spans="1:24" x14ac:dyDescent="0.2">
      <c r="A1121">
        <v>9030700</v>
      </c>
      <c r="B1121" t="s">
        <v>1120</v>
      </c>
      <c r="C1121">
        <v>700</v>
      </c>
      <c r="D1121">
        <v>700</v>
      </c>
      <c r="E1121">
        <v>10000</v>
      </c>
      <c r="F1121">
        <v>105</v>
      </c>
      <c r="G1121">
        <v>0</v>
      </c>
      <c r="H1121">
        <v>105</v>
      </c>
      <c r="I1121">
        <v>0</v>
      </c>
      <c r="J1121">
        <v>0</v>
      </c>
      <c r="K1121">
        <v>0</v>
      </c>
      <c r="L1121">
        <v>0</v>
      </c>
      <c r="M1121">
        <v>4</v>
      </c>
      <c r="N1121">
        <v>0</v>
      </c>
      <c r="O1121">
        <v>0</v>
      </c>
      <c r="P1121">
        <v>35</v>
      </c>
      <c r="Q1121">
        <v>46</v>
      </c>
      <c r="R1121">
        <v>81</v>
      </c>
      <c r="S1121">
        <v>81</v>
      </c>
      <c r="T1121">
        <v>24</v>
      </c>
      <c r="U1121">
        <v>14</v>
      </c>
      <c r="V1121">
        <v>12</v>
      </c>
      <c r="W1121">
        <v>0</v>
      </c>
      <c r="X1121">
        <v>0</v>
      </c>
    </row>
    <row r="1122" spans="1:24" x14ac:dyDescent="0.2">
      <c r="A1122">
        <v>9030800</v>
      </c>
      <c r="B1122" t="s">
        <v>1121</v>
      </c>
      <c r="C1122">
        <v>800</v>
      </c>
      <c r="D1122">
        <v>800</v>
      </c>
      <c r="E1122">
        <v>10000</v>
      </c>
      <c r="F1122">
        <v>105</v>
      </c>
      <c r="G1122">
        <v>0</v>
      </c>
      <c r="H1122">
        <v>0</v>
      </c>
      <c r="I1122">
        <v>105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35</v>
      </c>
      <c r="Q1122">
        <v>46</v>
      </c>
      <c r="R1122">
        <v>0</v>
      </c>
      <c r="S1122">
        <v>81</v>
      </c>
      <c r="T1122">
        <v>24</v>
      </c>
      <c r="U1122">
        <v>14</v>
      </c>
      <c r="V1122">
        <v>12</v>
      </c>
      <c r="W1122">
        <v>0</v>
      </c>
      <c r="X1122">
        <v>0</v>
      </c>
    </row>
    <row r="1123" spans="1:24" x14ac:dyDescent="0.2">
      <c r="A1123">
        <v>9030900</v>
      </c>
      <c r="B1123" t="s">
        <v>1122</v>
      </c>
      <c r="C1123">
        <v>900</v>
      </c>
      <c r="D1123">
        <v>900</v>
      </c>
      <c r="E1123">
        <v>10000</v>
      </c>
      <c r="F1123">
        <v>108</v>
      </c>
      <c r="G1123">
        <v>0</v>
      </c>
      <c r="H1123">
        <v>0</v>
      </c>
      <c r="I1123">
        <v>0</v>
      </c>
      <c r="J1123">
        <v>108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35</v>
      </c>
      <c r="Q1123">
        <v>46</v>
      </c>
      <c r="R1123">
        <v>0</v>
      </c>
      <c r="S1123">
        <v>0</v>
      </c>
      <c r="T1123">
        <v>24</v>
      </c>
      <c r="U1123">
        <v>14</v>
      </c>
      <c r="V1123">
        <v>12</v>
      </c>
      <c r="W1123">
        <v>0</v>
      </c>
      <c r="X1123">
        <v>0</v>
      </c>
    </row>
    <row r="1124" spans="1:24" x14ac:dyDescent="0.2">
      <c r="A1124">
        <v>9031000</v>
      </c>
      <c r="B1124" t="s">
        <v>1123</v>
      </c>
      <c r="C1124">
        <v>1000</v>
      </c>
      <c r="D1124">
        <v>1000</v>
      </c>
      <c r="E1124">
        <v>10000</v>
      </c>
      <c r="F1124">
        <v>105</v>
      </c>
      <c r="G1124">
        <v>0</v>
      </c>
      <c r="H1124">
        <v>0</v>
      </c>
      <c r="I1124">
        <v>0</v>
      </c>
      <c r="J1124">
        <v>105</v>
      </c>
      <c r="K1124">
        <v>0</v>
      </c>
      <c r="L1124">
        <v>0</v>
      </c>
      <c r="M1124">
        <v>0</v>
      </c>
      <c r="N1124">
        <v>0</v>
      </c>
      <c r="O1124">
        <v>4</v>
      </c>
      <c r="P1124">
        <v>35</v>
      </c>
      <c r="Q1124">
        <v>46</v>
      </c>
      <c r="R1124">
        <v>81</v>
      </c>
      <c r="S1124">
        <v>81</v>
      </c>
      <c r="T1124">
        <v>24</v>
      </c>
      <c r="U1124">
        <v>14</v>
      </c>
      <c r="V1124">
        <v>12</v>
      </c>
      <c r="W1124">
        <v>0</v>
      </c>
      <c r="X1124">
        <v>0</v>
      </c>
    </row>
    <row r="1125" spans="1:24" x14ac:dyDescent="0.2">
      <c r="A1125">
        <v>9031100</v>
      </c>
      <c r="B1125" t="s">
        <v>1124</v>
      </c>
      <c r="C1125">
        <v>1100</v>
      </c>
      <c r="D1125">
        <v>1100</v>
      </c>
      <c r="E1125">
        <v>10000</v>
      </c>
      <c r="F1125">
        <v>108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35</v>
      </c>
      <c r="Q1125">
        <v>46</v>
      </c>
      <c r="R1125">
        <v>0</v>
      </c>
      <c r="S1125">
        <v>0</v>
      </c>
      <c r="T1125">
        <v>24</v>
      </c>
      <c r="U1125">
        <v>14</v>
      </c>
      <c r="V1125">
        <v>12</v>
      </c>
      <c r="W1125">
        <v>0</v>
      </c>
      <c r="X1125">
        <v>0</v>
      </c>
    </row>
    <row r="1126" spans="1:24" x14ac:dyDescent="0.2">
      <c r="A1126">
        <v>9031200</v>
      </c>
      <c r="B1126" t="s">
        <v>1125</v>
      </c>
      <c r="C1126">
        <v>1200</v>
      </c>
      <c r="D1126">
        <v>1200</v>
      </c>
      <c r="E1126">
        <v>10000</v>
      </c>
      <c r="F1126">
        <v>108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35</v>
      </c>
      <c r="Q1126">
        <v>46</v>
      </c>
      <c r="R1126">
        <v>0</v>
      </c>
      <c r="S1126">
        <v>0</v>
      </c>
      <c r="T1126">
        <v>24</v>
      </c>
      <c r="U1126">
        <v>14</v>
      </c>
      <c r="V1126">
        <v>12</v>
      </c>
      <c r="W1126">
        <v>0</v>
      </c>
      <c r="X1126">
        <v>0</v>
      </c>
    </row>
    <row r="1127" spans="1:24" x14ac:dyDescent="0.2">
      <c r="A1127">
        <v>9031300</v>
      </c>
      <c r="B1127" t="s">
        <v>1126</v>
      </c>
      <c r="C1127">
        <v>1300</v>
      </c>
      <c r="D1127">
        <v>1300</v>
      </c>
      <c r="E1127">
        <v>10000</v>
      </c>
      <c r="F1127">
        <v>118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35</v>
      </c>
      <c r="Q1127">
        <v>46</v>
      </c>
      <c r="R1127">
        <v>0</v>
      </c>
      <c r="S1127">
        <v>0</v>
      </c>
      <c r="T1127">
        <v>24</v>
      </c>
      <c r="U1127">
        <v>14</v>
      </c>
      <c r="V1127">
        <v>12</v>
      </c>
      <c r="W1127">
        <v>0</v>
      </c>
      <c r="X1127">
        <v>0</v>
      </c>
    </row>
    <row r="1128" spans="1:24" x14ac:dyDescent="0.2">
      <c r="A1128">
        <v>9031400</v>
      </c>
      <c r="B1128" t="s">
        <v>1127</v>
      </c>
      <c r="C1128">
        <v>1400</v>
      </c>
      <c r="D1128">
        <v>1400</v>
      </c>
      <c r="E1128">
        <v>10014</v>
      </c>
      <c r="F1128">
        <v>105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35</v>
      </c>
      <c r="Q1128">
        <v>46</v>
      </c>
      <c r="R1128">
        <v>0</v>
      </c>
      <c r="S1128">
        <v>81</v>
      </c>
      <c r="T1128">
        <v>24</v>
      </c>
      <c r="U1128">
        <v>14</v>
      </c>
      <c r="V1128">
        <v>12</v>
      </c>
      <c r="W1128">
        <v>0</v>
      </c>
      <c r="X1128">
        <v>0</v>
      </c>
    </row>
    <row r="1129" spans="1:24" x14ac:dyDescent="0.2">
      <c r="A1129">
        <v>9031500</v>
      </c>
      <c r="B1129" t="s">
        <v>1128</v>
      </c>
      <c r="C1129">
        <v>1500</v>
      </c>
      <c r="D1129">
        <v>1500</v>
      </c>
      <c r="E1129">
        <v>10015</v>
      </c>
      <c r="F1129">
        <v>108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35</v>
      </c>
      <c r="Q1129">
        <v>46</v>
      </c>
      <c r="R1129">
        <v>0</v>
      </c>
      <c r="S1129">
        <v>0</v>
      </c>
      <c r="T1129">
        <v>24</v>
      </c>
      <c r="U1129">
        <v>14</v>
      </c>
      <c r="V1129">
        <v>12</v>
      </c>
      <c r="W1129">
        <v>0</v>
      </c>
      <c r="X1129">
        <v>0</v>
      </c>
    </row>
    <row r="1130" spans="1:24" x14ac:dyDescent="0.2">
      <c r="A1130">
        <v>9080000</v>
      </c>
      <c r="B1130" t="s">
        <v>1129</v>
      </c>
      <c r="C1130">
        <v>0</v>
      </c>
      <c r="D1130">
        <v>0</v>
      </c>
      <c r="E1130">
        <v>10000</v>
      </c>
      <c r="F1130">
        <v>129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46</v>
      </c>
      <c r="Q1130">
        <v>30</v>
      </c>
      <c r="R1130">
        <v>0</v>
      </c>
      <c r="S1130">
        <v>0</v>
      </c>
      <c r="T1130">
        <v>23</v>
      </c>
      <c r="U1130">
        <v>21</v>
      </c>
      <c r="V1130">
        <v>16</v>
      </c>
      <c r="W1130">
        <v>0</v>
      </c>
      <c r="X1130">
        <v>0</v>
      </c>
    </row>
    <row r="1131" spans="1:24" x14ac:dyDescent="0.2">
      <c r="A1131">
        <v>9080100</v>
      </c>
      <c r="B1131" t="s">
        <v>1130</v>
      </c>
      <c r="C1131">
        <v>200</v>
      </c>
      <c r="D1131">
        <v>100</v>
      </c>
      <c r="E1131">
        <v>10000</v>
      </c>
      <c r="F1131">
        <v>129</v>
      </c>
      <c r="G1131">
        <v>0</v>
      </c>
      <c r="H1131">
        <v>0</v>
      </c>
      <c r="I1131">
        <v>0</v>
      </c>
      <c r="J1131">
        <v>0</v>
      </c>
      <c r="K1131">
        <v>1</v>
      </c>
      <c r="L1131">
        <v>0</v>
      </c>
      <c r="M1131">
        <v>0</v>
      </c>
      <c r="N1131">
        <v>0</v>
      </c>
      <c r="O1131">
        <v>0</v>
      </c>
      <c r="P1131">
        <v>46</v>
      </c>
      <c r="Q1131">
        <v>0</v>
      </c>
      <c r="R1131">
        <v>0</v>
      </c>
      <c r="S1131">
        <v>0</v>
      </c>
      <c r="T1131">
        <v>23</v>
      </c>
      <c r="U1131">
        <v>21</v>
      </c>
      <c r="V1131">
        <v>16</v>
      </c>
      <c r="W1131">
        <v>0</v>
      </c>
      <c r="X1131">
        <v>0</v>
      </c>
    </row>
    <row r="1132" spans="1:24" x14ac:dyDescent="0.2">
      <c r="A1132">
        <v>9080200</v>
      </c>
      <c r="B1132" t="s">
        <v>1131</v>
      </c>
      <c r="C1132">
        <v>100</v>
      </c>
      <c r="D1132">
        <v>200</v>
      </c>
      <c r="E1132">
        <v>10000</v>
      </c>
      <c r="F1132">
        <v>129</v>
      </c>
      <c r="G1132">
        <v>0</v>
      </c>
      <c r="H1132">
        <v>0</v>
      </c>
      <c r="I1132">
        <v>0</v>
      </c>
      <c r="J1132">
        <v>0</v>
      </c>
      <c r="K1132">
        <v>2</v>
      </c>
      <c r="L1132">
        <v>0</v>
      </c>
      <c r="M1132">
        <v>0</v>
      </c>
      <c r="N1132">
        <v>0</v>
      </c>
      <c r="O1132">
        <v>0</v>
      </c>
      <c r="P1132">
        <v>46</v>
      </c>
      <c r="Q1132">
        <v>30</v>
      </c>
      <c r="R1132">
        <v>0</v>
      </c>
      <c r="S1132">
        <v>0</v>
      </c>
      <c r="T1132">
        <v>23</v>
      </c>
      <c r="U1132">
        <v>21</v>
      </c>
      <c r="V1132">
        <v>16</v>
      </c>
      <c r="W1132">
        <v>0</v>
      </c>
      <c r="X1132">
        <v>0</v>
      </c>
    </row>
    <row r="1133" spans="1:24" x14ac:dyDescent="0.2">
      <c r="A1133">
        <v>9080300</v>
      </c>
      <c r="B1133" t="s">
        <v>1132</v>
      </c>
      <c r="C1133">
        <v>300</v>
      </c>
      <c r="D1133">
        <v>6100</v>
      </c>
      <c r="E1133">
        <v>10000</v>
      </c>
      <c r="F1133">
        <v>129</v>
      </c>
      <c r="G1133">
        <v>0</v>
      </c>
      <c r="H1133">
        <v>0</v>
      </c>
      <c r="I1133">
        <v>0</v>
      </c>
      <c r="J1133">
        <v>0</v>
      </c>
      <c r="K1133">
        <v>8</v>
      </c>
      <c r="L1133">
        <v>0</v>
      </c>
      <c r="M1133">
        <v>0</v>
      </c>
      <c r="N1133">
        <v>0</v>
      </c>
      <c r="O1133">
        <v>0</v>
      </c>
      <c r="P1133">
        <v>43</v>
      </c>
      <c r="Q1133">
        <v>43</v>
      </c>
      <c r="R1133">
        <v>0</v>
      </c>
      <c r="S1133">
        <v>0</v>
      </c>
      <c r="T1133">
        <v>23</v>
      </c>
      <c r="U1133">
        <v>21</v>
      </c>
      <c r="V1133">
        <v>16</v>
      </c>
      <c r="W1133">
        <v>0</v>
      </c>
      <c r="X1133">
        <v>0</v>
      </c>
    </row>
    <row r="1134" spans="1:24" x14ac:dyDescent="0.2">
      <c r="A1134">
        <v>9080400</v>
      </c>
      <c r="B1134" t="s">
        <v>1133</v>
      </c>
      <c r="C1134">
        <v>500</v>
      </c>
      <c r="D1134">
        <v>500</v>
      </c>
      <c r="E1134">
        <v>10000</v>
      </c>
      <c r="F1134">
        <v>122</v>
      </c>
      <c r="G1134">
        <v>122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46</v>
      </c>
      <c r="Q1134">
        <v>30</v>
      </c>
      <c r="R1134">
        <v>76</v>
      </c>
      <c r="S1134">
        <v>0</v>
      </c>
      <c r="T1134">
        <v>23</v>
      </c>
      <c r="U1134">
        <v>21</v>
      </c>
      <c r="V1134">
        <v>16</v>
      </c>
      <c r="W1134">
        <v>0</v>
      </c>
      <c r="X1134">
        <v>0</v>
      </c>
    </row>
    <row r="1135" spans="1:24" x14ac:dyDescent="0.2">
      <c r="A1135">
        <v>9080500</v>
      </c>
      <c r="B1135" t="s">
        <v>1134</v>
      </c>
      <c r="C1135">
        <v>400</v>
      </c>
      <c r="D1135">
        <v>400</v>
      </c>
      <c r="E1135">
        <v>10000</v>
      </c>
      <c r="F1135">
        <v>122</v>
      </c>
      <c r="G1135">
        <v>122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46</v>
      </c>
      <c r="Q1135">
        <v>30</v>
      </c>
      <c r="R1135">
        <v>76</v>
      </c>
      <c r="S1135">
        <v>0</v>
      </c>
      <c r="T1135">
        <v>23</v>
      </c>
      <c r="U1135">
        <v>21</v>
      </c>
      <c r="V1135">
        <v>16</v>
      </c>
      <c r="W1135">
        <v>0</v>
      </c>
      <c r="X1135">
        <v>0</v>
      </c>
    </row>
    <row r="1136" spans="1:24" x14ac:dyDescent="0.2">
      <c r="A1136">
        <v>9080600</v>
      </c>
      <c r="B1136" t="s">
        <v>1135</v>
      </c>
      <c r="C1136">
        <v>600</v>
      </c>
      <c r="D1136">
        <v>600</v>
      </c>
      <c r="E1136">
        <v>10000</v>
      </c>
      <c r="F1136">
        <v>119</v>
      </c>
      <c r="G1136">
        <v>0</v>
      </c>
      <c r="H1136">
        <v>119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46</v>
      </c>
      <c r="Q1136">
        <v>30</v>
      </c>
      <c r="R1136">
        <v>0</v>
      </c>
      <c r="S1136">
        <v>0</v>
      </c>
      <c r="T1136">
        <v>23</v>
      </c>
      <c r="U1136">
        <v>21</v>
      </c>
      <c r="V1136">
        <v>16</v>
      </c>
      <c r="W1136">
        <v>0</v>
      </c>
      <c r="X1136">
        <v>0</v>
      </c>
    </row>
    <row r="1137" spans="1:24" x14ac:dyDescent="0.2">
      <c r="A1137">
        <v>9080700</v>
      </c>
      <c r="B1137" t="s">
        <v>1136</v>
      </c>
      <c r="C1137">
        <v>700</v>
      </c>
      <c r="D1137">
        <v>700</v>
      </c>
      <c r="E1137">
        <v>10000</v>
      </c>
      <c r="F1137">
        <v>122</v>
      </c>
      <c r="G1137">
        <v>0</v>
      </c>
      <c r="H1137">
        <v>122</v>
      </c>
      <c r="I1137">
        <v>0</v>
      </c>
      <c r="J1137">
        <v>0</v>
      </c>
      <c r="K1137">
        <v>0</v>
      </c>
      <c r="L1137">
        <v>0</v>
      </c>
      <c r="M1137">
        <v>4</v>
      </c>
      <c r="N1137">
        <v>0</v>
      </c>
      <c r="O1137">
        <v>0</v>
      </c>
      <c r="P1137">
        <v>46</v>
      </c>
      <c r="Q1137">
        <v>30</v>
      </c>
      <c r="R1137">
        <v>76</v>
      </c>
      <c r="S1137">
        <v>76</v>
      </c>
      <c r="T1137">
        <v>23</v>
      </c>
      <c r="U1137">
        <v>21</v>
      </c>
      <c r="V1137">
        <v>16</v>
      </c>
      <c r="W1137">
        <v>0</v>
      </c>
      <c r="X1137">
        <v>0</v>
      </c>
    </row>
    <row r="1138" spans="1:24" x14ac:dyDescent="0.2">
      <c r="A1138">
        <v>9080800</v>
      </c>
      <c r="B1138" t="s">
        <v>1137</v>
      </c>
      <c r="C1138">
        <v>800</v>
      </c>
      <c r="D1138">
        <v>800</v>
      </c>
      <c r="E1138">
        <v>10000</v>
      </c>
      <c r="F1138">
        <v>126</v>
      </c>
      <c r="G1138">
        <v>0</v>
      </c>
      <c r="H1138">
        <v>0</v>
      </c>
      <c r="I1138">
        <v>126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46</v>
      </c>
      <c r="Q1138">
        <v>30</v>
      </c>
      <c r="R1138">
        <v>0</v>
      </c>
      <c r="S1138">
        <v>76</v>
      </c>
      <c r="T1138">
        <v>23</v>
      </c>
      <c r="U1138">
        <v>21</v>
      </c>
      <c r="V1138">
        <v>16</v>
      </c>
      <c r="W1138">
        <v>0</v>
      </c>
      <c r="X1138">
        <v>0</v>
      </c>
    </row>
    <row r="1139" spans="1:24" x14ac:dyDescent="0.2">
      <c r="A1139">
        <v>9080900</v>
      </c>
      <c r="B1139" t="s">
        <v>1138</v>
      </c>
      <c r="C1139">
        <v>900</v>
      </c>
      <c r="D1139">
        <v>900</v>
      </c>
      <c r="E1139">
        <v>10000</v>
      </c>
      <c r="F1139">
        <v>119</v>
      </c>
      <c r="G1139">
        <v>0</v>
      </c>
      <c r="H1139">
        <v>0</v>
      </c>
      <c r="I1139">
        <v>0</v>
      </c>
      <c r="J1139">
        <v>119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46</v>
      </c>
      <c r="Q1139">
        <v>30</v>
      </c>
      <c r="R1139">
        <v>0</v>
      </c>
      <c r="S1139">
        <v>0</v>
      </c>
      <c r="T1139">
        <v>23</v>
      </c>
      <c r="U1139">
        <v>21</v>
      </c>
      <c r="V1139">
        <v>16</v>
      </c>
      <c r="W1139">
        <v>0</v>
      </c>
      <c r="X1139">
        <v>0</v>
      </c>
    </row>
    <row r="1140" spans="1:24" x14ac:dyDescent="0.2">
      <c r="A1140">
        <v>9081000</v>
      </c>
      <c r="B1140" t="s">
        <v>1139</v>
      </c>
      <c r="C1140">
        <v>1000</v>
      </c>
      <c r="D1140">
        <v>1000</v>
      </c>
      <c r="E1140">
        <v>10000</v>
      </c>
      <c r="F1140">
        <v>122</v>
      </c>
      <c r="G1140">
        <v>0</v>
      </c>
      <c r="H1140">
        <v>0</v>
      </c>
      <c r="I1140">
        <v>0</v>
      </c>
      <c r="J1140">
        <v>122</v>
      </c>
      <c r="K1140">
        <v>0</v>
      </c>
      <c r="L1140">
        <v>0</v>
      </c>
      <c r="M1140">
        <v>0</v>
      </c>
      <c r="N1140">
        <v>0</v>
      </c>
      <c r="O1140">
        <v>4</v>
      </c>
      <c r="P1140">
        <v>46</v>
      </c>
      <c r="Q1140">
        <v>30</v>
      </c>
      <c r="R1140">
        <v>76</v>
      </c>
      <c r="S1140">
        <v>76</v>
      </c>
      <c r="T1140">
        <v>23</v>
      </c>
      <c r="U1140">
        <v>21</v>
      </c>
      <c r="V1140">
        <v>16</v>
      </c>
      <c r="W1140">
        <v>0</v>
      </c>
      <c r="X1140">
        <v>0</v>
      </c>
    </row>
    <row r="1141" spans="1:24" x14ac:dyDescent="0.2">
      <c r="A1141">
        <v>9081100</v>
      </c>
      <c r="B1141" t="s">
        <v>1140</v>
      </c>
      <c r="C1141">
        <v>1100</v>
      </c>
      <c r="D1141">
        <v>1100</v>
      </c>
      <c r="E1141">
        <v>10000</v>
      </c>
      <c r="F1141">
        <v>129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46</v>
      </c>
      <c r="Q1141">
        <v>30</v>
      </c>
      <c r="R1141">
        <v>0</v>
      </c>
      <c r="S1141">
        <v>0</v>
      </c>
      <c r="T1141">
        <v>23</v>
      </c>
      <c r="U1141">
        <v>21</v>
      </c>
      <c r="V1141">
        <v>16</v>
      </c>
      <c r="W1141">
        <v>0</v>
      </c>
      <c r="X1141">
        <v>0</v>
      </c>
    </row>
    <row r="1142" spans="1:24" x14ac:dyDescent="0.2">
      <c r="A1142">
        <v>9081200</v>
      </c>
      <c r="B1142" t="s">
        <v>1141</v>
      </c>
      <c r="C1142">
        <v>1200</v>
      </c>
      <c r="D1142">
        <v>1200</v>
      </c>
      <c r="E1142">
        <v>10000</v>
      </c>
      <c r="F1142">
        <v>129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46</v>
      </c>
      <c r="Q1142">
        <v>30</v>
      </c>
      <c r="R1142">
        <v>0</v>
      </c>
      <c r="S1142">
        <v>0</v>
      </c>
      <c r="T1142">
        <v>23</v>
      </c>
      <c r="U1142">
        <v>21</v>
      </c>
      <c r="V1142">
        <v>16</v>
      </c>
      <c r="W1142">
        <v>0</v>
      </c>
      <c r="X1142">
        <v>0</v>
      </c>
    </row>
    <row r="1143" spans="1:24" x14ac:dyDescent="0.2">
      <c r="A1143">
        <v>9081300</v>
      </c>
      <c r="B1143" t="s">
        <v>1142</v>
      </c>
      <c r="C1143">
        <v>1300</v>
      </c>
      <c r="D1143">
        <v>1300</v>
      </c>
      <c r="E1143">
        <v>10000</v>
      </c>
      <c r="F1143">
        <v>139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46</v>
      </c>
      <c r="Q1143">
        <v>30</v>
      </c>
      <c r="R1143">
        <v>0</v>
      </c>
      <c r="S1143">
        <v>0</v>
      </c>
      <c r="T1143">
        <v>23</v>
      </c>
      <c r="U1143">
        <v>21</v>
      </c>
      <c r="V1143">
        <v>16</v>
      </c>
      <c r="W1143">
        <v>0</v>
      </c>
      <c r="X1143">
        <v>0</v>
      </c>
    </row>
    <row r="1144" spans="1:24" x14ac:dyDescent="0.2">
      <c r="A1144">
        <v>9081400</v>
      </c>
      <c r="B1144" t="s">
        <v>1143</v>
      </c>
      <c r="C1144">
        <v>1400</v>
      </c>
      <c r="D1144">
        <v>1400</v>
      </c>
      <c r="E1144">
        <v>10014</v>
      </c>
      <c r="F1144">
        <v>122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46</v>
      </c>
      <c r="Q1144">
        <v>30</v>
      </c>
      <c r="R1144">
        <v>0</v>
      </c>
      <c r="S1144">
        <v>76</v>
      </c>
      <c r="T1144">
        <v>23</v>
      </c>
      <c r="U1144">
        <v>21</v>
      </c>
      <c r="V1144">
        <v>16</v>
      </c>
      <c r="W1144">
        <v>0</v>
      </c>
      <c r="X1144">
        <v>0</v>
      </c>
    </row>
    <row r="1145" spans="1:24" x14ac:dyDescent="0.2">
      <c r="A1145">
        <v>9081500</v>
      </c>
      <c r="B1145" t="s">
        <v>1144</v>
      </c>
      <c r="C1145">
        <v>1500</v>
      </c>
      <c r="D1145">
        <v>1500</v>
      </c>
      <c r="E1145">
        <v>10015</v>
      </c>
      <c r="F1145">
        <v>129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46</v>
      </c>
      <c r="Q1145">
        <v>30</v>
      </c>
      <c r="R1145">
        <v>0</v>
      </c>
      <c r="S1145">
        <v>0</v>
      </c>
      <c r="T1145">
        <v>23</v>
      </c>
      <c r="U1145">
        <v>21</v>
      </c>
      <c r="V1145">
        <v>16</v>
      </c>
      <c r="W1145">
        <v>0</v>
      </c>
      <c r="X1145">
        <v>0</v>
      </c>
    </row>
    <row r="1146" spans="1:24" x14ac:dyDescent="0.2">
      <c r="A1146">
        <v>9090000</v>
      </c>
      <c r="B1146" t="s">
        <v>1145</v>
      </c>
      <c r="C1146">
        <v>0</v>
      </c>
      <c r="D1146">
        <v>0</v>
      </c>
      <c r="E1146">
        <v>10000</v>
      </c>
      <c r="F1146">
        <v>112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31</v>
      </c>
      <c r="Q1146">
        <v>50</v>
      </c>
      <c r="R1146">
        <v>0</v>
      </c>
      <c r="S1146">
        <v>0</v>
      </c>
      <c r="T1146">
        <v>25</v>
      </c>
      <c r="U1146">
        <v>14</v>
      </c>
      <c r="V1146">
        <v>20</v>
      </c>
      <c r="W1146">
        <v>0</v>
      </c>
      <c r="X1146">
        <v>0</v>
      </c>
    </row>
    <row r="1147" spans="1:24" x14ac:dyDescent="0.2">
      <c r="A1147">
        <v>9090100</v>
      </c>
      <c r="B1147" t="s">
        <v>1146</v>
      </c>
      <c r="C1147">
        <v>200</v>
      </c>
      <c r="D1147">
        <v>100</v>
      </c>
      <c r="E1147">
        <v>10000</v>
      </c>
      <c r="F1147">
        <v>112</v>
      </c>
      <c r="G1147">
        <v>0</v>
      </c>
      <c r="H1147">
        <v>0</v>
      </c>
      <c r="I1147">
        <v>0</v>
      </c>
      <c r="J1147">
        <v>0</v>
      </c>
      <c r="K1147">
        <v>1</v>
      </c>
      <c r="L1147">
        <v>0</v>
      </c>
      <c r="M1147">
        <v>0</v>
      </c>
      <c r="N1147">
        <v>0</v>
      </c>
      <c r="O1147">
        <v>0</v>
      </c>
      <c r="P1147">
        <v>36</v>
      </c>
      <c r="Q1147">
        <v>0</v>
      </c>
      <c r="R1147">
        <v>0</v>
      </c>
      <c r="S1147">
        <v>0</v>
      </c>
      <c r="T1147">
        <v>25</v>
      </c>
      <c r="U1147">
        <v>14</v>
      </c>
      <c r="V1147">
        <v>20</v>
      </c>
      <c r="W1147">
        <v>0</v>
      </c>
      <c r="X1147">
        <v>0</v>
      </c>
    </row>
    <row r="1148" spans="1:24" x14ac:dyDescent="0.2">
      <c r="A1148">
        <v>9090200</v>
      </c>
      <c r="B1148" t="s">
        <v>1147</v>
      </c>
      <c r="C1148">
        <v>100</v>
      </c>
      <c r="D1148">
        <v>5000</v>
      </c>
      <c r="E1148">
        <v>10000</v>
      </c>
      <c r="F1148">
        <v>112</v>
      </c>
      <c r="G1148">
        <v>0</v>
      </c>
      <c r="H1148">
        <v>0</v>
      </c>
      <c r="I1148">
        <v>0</v>
      </c>
      <c r="J1148">
        <v>0</v>
      </c>
      <c r="K1148">
        <v>2</v>
      </c>
      <c r="L1148">
        <v>0</v>
      </c>
      <c r="M1148">
        <v>0</v>
      </c>
      <c r="N1148">
        <v>0</v>
      </c>
      <c r="O1148">
        <v>0</v>
      </c>
      <c r="P1148">
        <v>20</v>
      </c>
      <c r="Q1148">
        <v>55</v>
      </c>
      <c r="R1148">
        <v>0</v>
      </c>
      <c r="S1148">
        <v>0</v>
      </c>
      <c r="T1148">
        <v>25</v>
      </c>
      <c r="U1148">
        <v>14</v>
      </c>
      <c r="V1148">
        <v>20</v>
      </c>
      <c r="W1148">
        <v>0</v>
      </c>
      <c r="X1148">
        <v>0</v>
      </c>
    </row>
    <row r="1149" spans="1:24" x14ac:dyDescent="0.2">
      <c r="A1149">
        <v>9090300</v>
      </c>
      <c r="B1149" t="s">
        <v>1148</v>
      </c>
      <c r="C1149">
        <v>300</v>
      </c>
      <c r="D1149">
        <v>300</v>
      </c>
      <c r="E1149">
        <v>10000</v>
      </c>
      <c r="F1149">
        <v>112</v>
      </c>
      <c r="G1149">
        <v>0</v>
      </c>
      <c r="H1149">
        <v>0</v>
      </c>
      <c r="I1149">
        <v>0</v>
      </c>
      <c r="J1149">
        <v>0</v>
      </c>
      <c r="K1149">
        <v>8</v>
      </c>
      <c r="L1149">
        <v>0</v>
      </c>
      <c r="M1149">
        <v>0</v>
      </c>
      <c r="N1149">
        <v>0</v>
      </c>
      <c r="O1149">
        <v>0</v>
      </c>
      <c r="P1149">
        <v>50</v>
      </c>
      <c r="Q1149">
        <v>50</v>
      </c>
      <c r="R1149">
        <v>0</v>
      </c>
      <c r="S1149">
        <v>0</v>
      </c>
      <c r="T1149">
        <v>25</v>
      </c>
      <c r="U1149">
        <v>14</v>
      </c>
      <c r="V1149">
        <v>20</v>
      </c>
      <c r="W1149">
        <v>0</v>
      </c>
      <c r="X1149">
        <v>0</v>
      </c>
    </row>
    <row r="1150" spans="1:24" x14ac:dyDescent="0.2">
      <c r="A1150">
        <v>9090400</v>
      </c>
      <c r="B1150" t="s">
        <v>1149</v>
      </c>
      <c r="C1150">
        <v>500</v>
      </c>
      <c r="D1150">
        <v>500</v>
      </c>
      <c r="E1150">
        <v>10000</v>
      </c>
      <c r="F1150">
        <v>108</v>
      </c>
      <c r="G1150">
        <v>108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31</v>
      </c>
      <c r="Q1150">
        <v>50</v>
      </c>
      <c r="R1150">
        <v>81</v>
      </c>
      <c r="S1150">
        <v>0</v>
      </c>
      <c r="T1150">
        <v>25</v>
      </c>
      <c r="U1150">
        <v>14</v>
      </c>
      <c r="V1150">
        <v>20</v>
      </c>
      <c r="W1150">
        <v>0</v>
      </c>
      <c r="X1150">
        <v>0</v>
      </c>
    </row>
    <row r="1151" spans="1:24" x14ac:dyDescent="0.2">
      <c r="A1151">
        <v>9090500</v>
      </c>
      <c r="B1151" t="s">
        <v>1150</v>
      </c>
      <c r="C1151">
        <v>400</v>
      </c>
      <c r="D1151">
        <v>400</v>
      </c>
      <c r="E1151">
        <v>10000</v>
      </c>
      <c r="F1151">
        <v>108</v>
      </c>
      <c r="G1151">
        <v>108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31</v>
      </c>
      <c r="Q1151">
        <v>50</v>
      </c>
      <c r="R1151">
        <v>81</v>
      </c>
      <c r="S1151">
        <v>0</v>
      </c>
      <c r="T1151">
        <v>25</v>
      </c>
      <c r="U1151">
        <v>14</v>
      </c>
      <c r="V1151">
        <v>20</v>
      </c>
      <c r="W1151">
        <v>0</v>
      </c>
      <c r="X1151">
        <v>0</v>
      </c>
    </row>
    <row r="1152" spans="1:24" x14ac:dyDescent="0.2">
      <c r="A1152">
        <v>9090600</v>
      </c>
      <c r="B1152" t="s">
        <v>1151</v>
      </c>
      <c r="C1152">
        <v>600</v>
      </c>
      <c r="D1152">
        <v>600</v>
      </c>
      <c r="E1152">
        <v>10000</v>
      </c>
      <c r="F1152">
        <v>106</v>
      </c>
      <c r="G1152">
        <v>0</v>
      </c>
      <c r="H1152">
        <v>106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31</v>
      </c>
      <c r="Q1152">
        <v>50</v>
      </c>
      <c r="R1152">
        <v>0</v>
      </c>
      <c r="S1152">
        <v>0</v>
      </c>
      <c r="T1152">
        <v>25</v>
      </c>
      <c r="U1152">
        <v>14</v>
      </c>
      <c r="V1152">
        <v>20</v>
      </c>
      <c r="W1152">
        <v>0</v>
      </c>
      <c r="X1152">
        <v>0</v>
      </c>
    </row>
    <row r="1153" spans="1:24" x14ac:dyDescent="0.2">
      <c r="A1153">
        <v>9090700</v>
      </c>
      <c r="B1153" t="s">
        <v>1152</v>
      </c>
      <c r="C1153">
        <v>700</v>
      </c>
      <c r="D1153">
        <v>700</v>
      </c>
      <c r="E1153">
        <v>10000</v>
      </c>
      <c r="F1153">
        <v>108</v>
      </c>
      <c r="G1153">
        <v>0</v>
      </c>
      <c r="H1153">
        <v>108</v>
      </c>
      <c r="I1153">
        <v>0</v>
      </c>
      <c r="J1153">
        <v>0</v>
      </c>
      <c r="K1153">
        <v>0</v>
      </c>
      <c r="L1153">
        <v>0</v>
      </c>
      <c r="M1153">
        <v>4</v>
      </c>
      <c r="N1153">
        <v>0</v>
      </c>
      <c r="O1153">
        <v>0</v>
      </c>
      <c r="P1153">
        <v>31</v>
      </c>
      <c r="Q1153">
        <v>50</v>
      </c>
      <c r="R1153">
        <v>81</v>
      </c>
      <c r="S1153">
        <v>81</v>
      </c>
      <c r="T1153">
        <v>25</v>
      </c>
      <c r="U1153">
        <v>14</v>
      </c>
      <c r="V1153">
        <v>20</v>
      </c>
      <c r="W1153">
        <v>0</v>
      </c>
      <c r="X1153">
        <v>0</v>
      </c>
    </row>
    <row r="1154" spans="1:24" x14ac:dyDescent="0.2">
      <c r="A1154">
        <v>9090800</v>
      </c>
      <c r="B1154" t="s">
        <v>1153</v>
      </c>
      <c r="C1154">
        <v>800</v>
      </c>
      <c r="D1154">
        <v>800</v>
      </c>
      <c r="E1154">
        <v>10000</v>
      </c>
      <c r="F1154">
        <v>108</v>
      </c>
      <c r="G1154">
        <v>0</v>
      </c>
      <c r="H1154">
        <v>0</v>
      </c>
      <c r="I1154">
        <v>108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31</v>
      </c>
      <c r="Q1154">
        <v>50</v>
      </c>
      <c r="R1154">
        <v>0</v>
      </c>
      <c r="S1154">
        <v>81</v>
      </c>
      <c r="T1154">
        <v>25</v>
      </c>
      <c r="U1154">
        <v>14</v>
      </c>
      <c r="V1154">
        <v>20</v>
      </c>
      <c r="W1154">
        <v>0</v>
      </c>
      <c r="X1154">
        <v>0</v>
      </c>
    </row>
    <row r="1155" spans="1:24" x14ac:dyDescent="0.2">
      <c r="A1155">
        <v>9090900</v>
      </c>
      <c r="B1155" t="s">
        <v>1154</v>
      </c>
      <c r="C1155">
        <v>900</v>
      </c>
      <c r="D1155">
        <v>900</v>
      </c>
      <c r="E1155">
        <v>10000</v>
      </c>
      <c r="F1155">
        <v>106</v>
      </c>
      <c r="G1155">
        <v>0</v>
      </c>
      <c r="H1155">
        <v>0</v>
      </c>
      <c r="I1155">
        <v>0</v>
      </c>
      <c r="J1155">
        <v>106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31</v>
      </c>
      <c r="Q1155">
        <v>50</v>
      </c>
      <c r="R1155">
        <v>0</v>
      </c>
      <c r="S1155">
        <v>0</v>
      </c>
      <c r="T1155">
        <v>25</v>
      </c>
      <c r="U1155">
        <v>14</v>
      </c>
      <c r="V1155">
        <v>20</v>
      </c>
      <c r="W1155">
        <v>0</v>
      </c>
      <c r="X1155">
        <v>0</v>
      </c>
    </row>
    <row r="1156" spans="1:24" x14ac:dyDescent="0.2">
      <c r="A1156">
        <v>9091000</v>
      </c>
      <c r="B1156" t="s">
        <v>1155</v>
      </c>
      <c r="C1156">
        <v>1000</v>
      </c>
      <c r="D1156">
        <v>1000</v>
      </c>
      <c r="E1156">
        <v>10000</v>
      </c>
      <c r="F1156">
        <v>108</v>
      </c>
      <c r="G1156">
        <v>0</v>
      </c>
      <c r="H1156">
        <v>0</v>
      </c>
      <c r="I1156">
        <v>0</v>
      </c>
      <c r="J1156">
        <v>108</v>
      </c>
      <c r="K1156">
        <v>0</v>
      </c>
      <c r="L1156">
        <v>0</v>
      </c>
      <c r="M1156">
        <v>0</v>
      </c>
      <c r="N1156">
        <v>0</v>
      </c>
      <c r="O1156">
        <v>4</v>
      </c>
      <c r="P1156">
        <v>31</v>
      </c>
      <c r="Q1156">
        <v>50</v>
      </c>
      <c r="R1156">
        <v>81</v>
      </c>
      <c r="S1156">
        <v>81</v>
      </c>
      <c r="T1156">
        <v>25</v>
      </c>
      <c r="U1156">
        <v>14</v>
      </c>
      <c r="V1156">
        <v>20</v>
      </c>
      <c r="W1156">
        <v>0</v>
      </c>
      <c r="X1156">
        <v>0</v>
      </c>
    </row>
    <row r="1157" spans="1:24" x14ac:dyDescent="0.2">
      <c r="A1157">
        <v>9091100</v>
      </c>
      <c r="B1157" t="s">
        <v>1156</v>
      </c>
      <c r="C1157">
        <v>1100</v>
      </c>
      <c r="D1157">
        <v>1100</v>
      </c>
      <c r="E1157">
        <v>10000</v>
      </c>
      <c r="F1157">
        <v>112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31</v>
      </c>
      <c r="Q1157">
        <v>50</v>
      </c>
      <c r="R1157">
        <v>0</v>
      </c>
      <c r="S1157">
        <v>0</v>
      </c>
      <c r="T1157">
        <v>25</v>
      </c>
      <c r="U1157">
        <v>14</v>
      </c>
      <c r="V1157">
        <v>20</v>
      </c>
      <c r="W1157">
        <v>0</v>
      </c>
      <c r="X1157">
        <v>0</v>
      </c>
    </row>
    <row r="1158" spans="1:24" x14ac:dyDescent="0.2">
      <c r="A1158">
        <v>9091200</v>
      </c>
      <c r="B1158" t="s">
        <v>1157</v>
      </c>
      <c r="C1158">
        <v>1200</v>
      </c>
      <c r="D1158">
        <v>1200</v>
      </c>
      <c r="E1158">
        <v>10000</v>
      </c>
      <c r="F1158">
        <v>112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31</v>
      </c>
      <c r="Q1158">
        <v>50</v>
      </c>
      <c r="R1158">
        <v>0</v>
      </c>
      <c r="S1158">
        <v>0</v>
      </c>
      <c r="T1158">
        <v>25</v>
      </c>
      <c r="U1158">
        <v>14</v>
      </c>
      <c r="V1158">
        <v>20</v>
      </c>
      <c r="W1158">
        <v>0</v>
      </c>
      <c r="X1158">
        <v>0</v>
      </c>
    </row>
    <row r="1159" spans="1:24" x14ac:dyDescent="0.2">
      <c r="A1159">
        <v>9091300</v>
      </c>
      <c r="B1159" t="s">
        <v>1158</v>
      </c>
      <c r="C1159">
        <v>1300</v>
      </c>
      <c r="D1159">
        <v>1300</v>
      </c>
      <c r="E1159">
        <v>10000</v>
      </c>
      <c r="F1159">
        <v>116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31</v>
      </c>
      <c r="Q1159">
        <v>50</v>
      </c>
      <c r="R1159">
        <v>0</v>
      </c>
      <c r="S1159">
        <v>0</v>
      </c>
      <c r="T1159">
        <v>25</v>
      </c>
      <c r="U1159">
        <v>14</v>
      </c>
      <c r="V1159">
        <v>20</v>
      </c>
      <c r="W1159">
        <v>0</v>
      </c>
      <c r="X1159">
        <v>0</v>
      </c>
    </row>
    <row r="1160" spans="1:24" x14ac:dyDescent="0.2">
      <c r="A1160">
        <v>9091400</v>
      </c>
      <c r="B1160" t="s">
        <v>1159</v>
      </c>
      <c r="C1160">
        <v>1400</v>
      </c>
      <c r="D1160">
        <v>1400</v>
      </c>
      <c r="E1160">
        <v>10014</v>
      </c>
      <c r="F1160">
        <v>108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31</v>
      </c>
      <c r="Q1160">
        <v>50</v>
      </c>
      <c r="R1160">
        <v>0</v>
      </c>
      <c r="S1160">
        <v>81</v>
      </c>
      <c r="T1160">
        <v>25</v>
      </c>
      <c r="U1160">
        <v>14</v>
      </c>
      <c r="V1160">
        <v>20</v>
      </c>
      <c r="W1160">
        <v>0</v>
      </c>
      <c r="X1160">
        <v>0</v>
      </c>
    </row>
    <row r="1161" spans="1:24" x14ac:dyDescent="0.2">
      <c r="A1161">
        <v>9091500</v>
      </c>
      <c r="B1161" t="s">
        <v>1160</v>
      </c>
      <c r="C1161">
        <v>1500</v>
      </c>
      <c r="D1161">
        <v>1500</v>
      </c>
      <c r="E1161">
        <v>10015</v>
      </c>
      <c r="F1161">
        <v>112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31</v>
      </c>
      <c r="Q1161">
        <v>50</v>
      </c>
      <c r="R1161">
        <v>0</v>
      </c>
      <c r="S1161">
        <v>0</v>
      </c>
      <c r="T1161">
        <v>25</v>
      </c>
      <c r="U1161">
        <v>14</v>
      </c>
      <c r="V1161">
        <v>20</v>
      </c>
      <c r="W1161">
        <v>0</v>
      </c>
      <c r="X1161">
        <v>0</v>
      </c>
    </row>
    <row r="1162" spans="1:24" x14ac:dyDescent="0.2">
      <c r="A1162">
        <v>9100000</v>
      </c>
      <c r="B1162" t="s">
        <v>1161</v>
      </c>
      <c r="C1162">
        <v>0</v>
      </c>
      <c r="D1162">
        <v>0</v>
      </c>
      <c r="E1162">
        <v>10000</v>
      </c>
      <c r="F1162">
        <v>105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34</v>
      </c>
      <c r="Q1162">
        <v>47</v>
      </c>
      <c r="R1162">
        <v>0</v>
      </c>
      <c r="S1162">
        <v>0</v>
      </c>
      <c r="T1162">
        <v>24</v>
      </c>
      <c r="U1162">
        <v>13</v>
      </c>
      <c r="V1162">
        <v>11</v>
      </c>
      <c r="W1162">
        <v>0</v>
      </c>
      <c r="X1162">
        <v>0</v>
      </c>
    </row>
    <row r="1163" spans="1:24" x14ac:dyDescent="0.2">
      <c r="A1163">
        <v>9100100</v>
      </c>
      <c r="B1163" t="s">
        <v>1162</v>
      </c>
      <c r="C1163">
        <v>200</v>
      </c>
      <c r="D1163">
        <v>100</v>
      </c>
      <c r="E1163">
        <v>10000</v>
      </c>
      <c r="F1163">
        <v>105</v>
      </c>
      <c r="G1163">
        <v>0</v>
      </c>
      <c r="H1163">
        <v>0</v>
      </c>
      <c r="I1163">
        <v>0</v>
      </c>
      <c r="J1163">
        <v>0</v>
      </c>
      <c r="K1163">
        <v>1</v>
      </c>
      <c r="L1163">
        <v>0</v>
      </c>
      <c r="M1163">
        <v>0</v>
      </c>
      <c r="N1163">
        <v>0</v>
      </c>
      <c r="O1163">
        <v>0</v>
      </c>
      <c r="P1163">
        <v>44</v>
      </c>
      <c r="Q1163">
        <v>0</v>
      </c>
      <c r="R1163">
        <v>0</v>
      </c>
      <c r="S1163">
        <v>0</v>
      </c>
      <c r="T1163">
        <v>24</v>
      </c>
      <c r="U1163">
        <v>13</v>
      </c>
      <c r="V1163">
        <v>11</v>
      </c>
      <c r="W1163">
        <v>0</v>
      </c>
      <c r="X1163">
        <v>0</v>
      </c>
    </row>
    <row r="1164" spans="1:24" x14ac:dyDescent="0.2">
      <c r="A1164">
        <v>9100200</v>
      </c>
      <c r="B1164" t="s">
        <v>1163</v>
      </c>
      <c r="C1164">
        <v>100</v>
      </c>
      <c r="D1164">
        <v>5000</v>
      </c>
      <c r="E1164">
        <v>10000</v>
      </c>
      <c r="F1164">
        <v>105</v>
      </c>
      <c r="G1164">
        <v>0</v>
      </c>
      <c r="H1164">
        <v>0</v>
      </c>
      <c r="I1164">
        <v>0</v>
      </c>
      <c r="J1164">
        <v>0</v>
      </c>
      <c r="K1164">
        <v>2</v>
      </c>
      <c r="L1164">
        <v>0</v>
      </c>
      <c r="M1164">
        <v>0</v>
      </c>
      <c r="N1164">
        <v>0</v>
      </c>
      <c r="O1164">
        <v>0</v>
      </c>
      <c r="P1164">
        <v>22</v>
      </c>
      <c r="Q1164">
        <v>51</v>
      </c>
      <c r="R1164">
        <v>0</v>
      </c>
      <c r="S1164">
        <v>0</v>
      </c>
      <c r="T1164">
        <v>24</v>
      </c>
      <c r="U1164">
        <v>13</v>
      </c>
      <c r="V1164">
        <v>11</v>
      </c>
      <c r="W1164">
        <v>0</v>
      </c>
      <c r="X1164">
        <v>0</v>
      </c>
    </row>
    <row r="1165" spans="1:24" x14ac:dyDescent="0.2">
      <c r="A1165">
        <v>9100300</v>
      </c>
      <c r="B1165" t="s">
        <v>1164</v>
      </c>
      <c r="C1165">
        <v>300</v>
      </c>
      <c r="D1165">
        <v>300</v>
      </c>
      <c r="E1165">
        <v>10000</v>
      </c>
      <c r="F1165">
        <v>105</v>
      </c>
      <c r="G1165">
        <v>0</v>
      </c>
      <c r="H1165">
        <v>0</v>
      </c>
      <c r="I1165">
        <v>0</v>
      </c>
      <c r="J1165">
        <v>0</v>
      </c>
      <c r="K1165">
        <v>8</v>
      </c>
      <c r="L1165">
        <v>0</v>
      </c>
      <c r="M1165">
        <v>0</v>
      </c>
      <c r="N1165">
        <v>0</v>
      </c>
      <c r="O1165">
        <v>0</v>
      </c>
      <c r="P1165">
        <v>50</v>
      </c>
      <c r="Q1165">
        <v>50</v>
      </c>
      <c r="R1165">
        <v>0</v>
      </c>
      <c r="S1165">
        <v>0</v>
      </c>
      <c r="T1165">
        <v>24</v>
      </c>
      <c r="U1165">
        <v>13</v>
      </c>
      <c r="V1165">
        <v>11</v>
      </c>
      <c r="W1165">
        <v>0</v>
      </c>
      <c r="X1165">
        <v>0</v>
      </c>
    </row>
    <row r="1166" spans="1:24" x14ac:dyDescent="0.2">
      <c r="A1166">
        <v>9100400</v>
      </c>
      <c r="B1166" t="s">
        <v>1165</v>
      </c>
      <c r="C1166">
        <v>500</v>
      </c>
      <c r="D1166">
        <v>500</v>
      </c>
      <c r="E1166">
        <v>10000</v>
      </c>
      <c r="F1166">
        <v>107</v>
      </c>
      <c r="G1166">
        <v>107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34</v>
      </c>
      <c r="Q1166">
        <v>47</v>
      </c>
      <c r="R1166">
        <v>81</v>
      </c>
      <c r="S1166">
        <v>0</v>
      </c>
      <c r="T1166">
        <v>24</v>
      </c>
      <c r="U1166">
        <v>13</v>
      </c>
      <c r="V1166">
        <v>11</v>
      </c>
      <c r="W1166">
        <v>0</v>
      </c>
      <c r="X1166">
        <v>0</v>
      </c>
    </row>
    <row r="1167" spans="1:24" x14ac:dyDescent="0.2">
      <c r="A1167">
        <v>9100500</v>
      </c>
      <c r="B1167" t="s">
        <v>1166</v>
      </c>
      <c r="C1167">
        <v>400</v>
      </c>
      <c r="D1167">
        <v>400</v>
      </c>
      <c r="E1167">
        <v>10000</v>
      </c>
      <c r="F1167">
        <v>107</v>
      </c>
      <c r="G1167">
        <v>107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34</v>
      </c>
      <c r="Q1167">
        <v>47</v>
      </c>
      <c r="R1167">
        <v>81</v>
      </c>
      <c r="S1167">
        <v>0</v>
      </c>
      <c r="T1167">
        <v>24</v>
      </c>
      <c r="U1167">
        <v>13</v>
      </c>
      <c r="V1167">
        <v>11</v>
      </c>
      <c r="W1167">
        <v>0</v>
      </c>
      <c r="X1167">
        <v>0</v>
      </c>
    </row>
    <row r="1168" spans="1:24" x14ac:dyDescent="0.2">
      <c r="A1168">
        <v>9100600</v>
      </c>
      <c r="B1168" t="s">
        <v>1167</v>
      </c>
      <c r="C1168">
        <v>600</v>
      </c>
      <c r="D1168">
        <v>600</v>
      </c>
      <c r="E1168">
        <v>10000</v>
      </c>
      <c r="F1168">
        <v>110</v>
      </c>
      <c r="G1168">
        <v>0</v>
      </c>
      <c r="H1168">
        <v>110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34</v>
      </c>
      <c r="Q1168">
        <v>47</v>
      </c>
      <c r="R1168">
        <v>0</v>
      </c>
      <c r="S1168">
        <v>0</v>
      </c>
      <c r="T1168">
        <v>24</v>
      </c>
      <c r="U1168">
        <v>13</v>
      </c>
      <c r="V1168">
        <v>11</v>
      </c>
      <c r="W1168">
        <v>0</v>
      </c>
      <c r="X1168">
        <v>0</v>
      </c>
    </row>
    <row r="1169" spans="1:24" x14ac:dyDescent="0.2">
      <c r="A1169">
        <v>9100700</v>
      </c>
      <c r="B1169" t="s">
        <v>1168</v>
      </c>
      <c r="C1169">
        <v>700</v>
      </c>
      <c r="D1169">
        <v>700</v>
      </c>
      <c r="E1169">
        <v>10000</v>
      </c>
      <c r="F1169">
        <v>107</v>
      </c>
      <c r="G1169">
        <v>0</v>
      </c>
      <c r="H1169">
        <v>107</v>
      </c>
      <c r="I1169">
        <v>0</v>
      </c>
      <c r="J1169">
        <v>0</v>
      </c>
      <c r="K1169">
        <v>0</v>
      </c>
      <c r="L1169">
        <v>0</v>
      </c>
      <c r="M1169">
        <v>4</v>
      </c>
      <c r="N1169">
        <v>0</v>
      </c>
      <c r="O1169">
        <v>0</v>
      </c>
      <c r="P1169">
        <v>34</v>
      </c>
      <c r="Q1169">
        <v>47</v>
      </c>
      <c r="R1169">
        <v>81</v>
      </c>
      <c r="S1169">
        <v>81</v>
      </c>
      <c r="T1169">
        <v>24</v>
      </c>
      <c r="U1169">
        <v>13</v>
      </c>
      <c r="V1169">
        <v>11</v>
      </c>
      <c r="W1169">
        <v>0</v>
      </c>
      <c r="X1169">
        <v>0</v>
      </c>
    </row>
    <row r="1170" spans="1:24" x14ac:dyDescent="0.2">
      <c r="A1170">
        <v>9100800</v>
      </c>
      <c r="B1170" t="s">
        <v>1169</v>
      </c>
      <c r="C1170">
        <v>800</v>
      </c>
      <c r="D1170">
        <v>800</v>
      </c>
      <c r="E1170">
        <v>10000</v>
      </c>
      <c r="F1170">
        <v>107</v>
      </c>
      <c r="G1170">
        <v>0</v>
      </c>
      <c r="H1170">
        <v>0</v>
      </c>
      <c r="I1170">
        <v>107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34</v>
      </c>
      <c r="Q1170">
        <v>47</v>
      </c>
      <c r="R1170">
        <v>0</v>
      </c>
      <c r="S1170">
        <v>81</v>
      </c>
      <c r="T1170">
        <v>24</v>
      </c>
      <c r="U1170">
        <v>13</v>
      </c>
      <c r="V1170">
        <v>11</v>
      </c>
      <c r="W1170">
        <v>0</v>
      </c>
      <c r="X1170">
        <v>0</v>
      </c>
    </row>
    <row r="1171" spans="1:24" x14ac:dyDescent="0.2">
      <c r="A1171">
        <v>9100900</v>
      </c>
      <c r="B1171" t="s">
        <v>1170</v>
      </c>
      <c r="C1171">
        <v>900</v>
      </c>
      <c r="D1171">
        <v>900</v>
      </c>
      <c r="E1171">
        <v>10000</v>
      </c>
      <c r="F1171">
        <v>110</v>
      </c>
      <c r="G1171">
        <v>0</v>
      </c>
      <c r="H1171">
        <v>0</v>
      </c>
      <c r="I1171">
        <v>0</v>
      </c>
      <c r="J1171">
        <v>110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34</v>
      </c>
      <c r="Q1171">
        <v>47</v>
      </c>
      <c r="R1171">
        <v>0</v>
      </c>
      <c r="S1171">
        <v>0</v>
      </c>
      <c r="T1171">
        <v>24</v>
      </c>
      <c r="U1171">
        <v>13</v>
      </c>
      <c r="V1171">
        <v>11</v>
      </c>
      <c r="W1171">
        <v>0</v>
      </c>
      <c r="X1171">
        <v>0</v>
      </c>
    </row>
    <row r="1172" spans="1:24" x14ac:dyDescent="0.2">
      <c r="A1172">
        <v>9101000</v>
      </c>
      <c r="B1172" t="s">
        <v>1171</v>
      </c>
      <c r="C1172">
        <v>1000</v>
      </c>
      <c r="D1172">
        <v>1000</v>
      </c>
      <c r="E1172">
        <v>10000</v>
      </c>
      <c r="F1172">
        <v>107</v>
      </c>
      <c r="G1172">
        <v>0</v>
      </c>
      <c r="H1172">
        <v>0</v>
      </c>
      <c r="I1172">
        <v>0</v>
      </c>
      <c r="J1172">
        <v>107</v>
      </c>
      <c r="K1172">
        <v>0</v>
      </c>
      <c r="L1172">
        <v>0</v>
      </c>
      <c r="M1172">
        <v>0</v>
      </c>
      <c r="N1172">
        <v>0</v>
      </c>
      <c r="O1172">
        <v>4</v>
      </c>
      <c r="P1172">
        <v>34</v>
      </c>
      <c r="Q1172">
        <v>47</v>
      </c>
      <c r="R1172">
        <v>81</v>
      </c>
      <c r="S1172">
        <v>81</v>
      </c>
      <c r="T1172">
        <v>24</v>
      </c>
      <c r="U1172">
        <v>13</v>
      </c>
      <c r="V1172">
        <v>11</v>
      </c>
      <c r="W1172">
        <v>0</v>
      </c>
      <c r="X1172">
        <v>0</v>
      </c>
    </row>
    <row r="1173" spans="1:24" x14ac:dyDescent="0.2">
      <c r="A1173">
        <v>9101100</v>
      </c>
      <c r="B1173" t="s">
        <v>1172</v>
      </c>
      <c r="C1173">
        <v>1100</v>
      </c>
      <c r="D1173">
        <v>1100</v>
      </c>
      <c r="E1173">
        <v>10000</v>
      </c>
      <c r="F1173">
        <v>105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34</v>
      </c>
      <c r="Q1173">
        <v>47</v>
      </c>
      <c r="R1173">
        <v>0</v>
      </c>
      <c r="S1173">
        <v>0</v>
      </c>
      <c r="T1173">
        <v>24</v>
      </c>
      <c r="U1173">
        <v>13</v>
      </c>
      <c r="V1173">
        <v>11</v>
      </c>
      <c r="W1173">
        <v>0</v>
      </c>
      <c r="X1173">
        <v>0</v>
      </c>
    </row>
    <row r="1174" spans="1:24" x14ac:dyDescent="0.2">
      <c r="A1174">
        <v>9101200</v>
      </c>
      <c r="B1174" t="s">
        <v>1173</v>
      </c>
      <c r="C1174">
        <v>1200</v>
      </c>
      <c r="D1174">
        <v>1200</v>
      </c>
      <c r="E1174">
        <v>10000</v>
      </c>
      <c r="F1174">
        <v>105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34</v>
      </c>
      <c r="Q1174">
        <v>47</v>
      </c>
      <c r="R1174">
        <v>0</v>
      </c>
      <c r="S1174">
        <v>0</v>
      </c>
      <c r="T1174">
        <v>24</v>
      </c>
      <c r="U1174">
        <v>13</v>
      </c>
      <c r="V1174">
        <v>11</v>
      </c>
      <c r="W1174">
        <v>0</v>
      </c>
      <c r="X1174">
        <v>0</v>
      </c>
    </row>
    <row r="1175" spans="1:24" x14ac:dyDescent="0.2">
      <c r="A1175">
        <v>9101300</v>
      </c>
      <c r="B1175" t="s">
        <v>1174</v>
      </c>
      <c r="C1175">
        <v>1300</v>
      </c>
      <c r="D1175">
        <v>1300</v>
      </c>
      <c r="E1175">
        <v>10000</v>
      </c>
      <c r="F1175">
        <v>120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34</v>
      </c>
      <c r="Q1175">
        <v>47</v>
      </c>
      <c r="R1175">
        <v>0</v>
      </c>
      <c r="S1175">
        <v>0</v>
      </c>
      <c r="T1175">
        <v>24</v>
      </c>
      <c r="U1175">
        <v>13</v>
      </c>
      <c r="V1175">
        <v>11</v>
      </c>
      <c r="W1175">
        <v>0</v>
      </c>
      <c r="X1175">
        <v>0</v>
      </c>
    </row>
    <row r="1176" spans="1:24" x14ac:dyDescent="0.2">
      <c r="A1176">
        <v>9101400</v>
      </c>
      <c r="B1176" t="s">
        <v>1175</v>
      </c>
      <c r="C1176">
        <v>1400</v>
      </c>
      <c r="D1176">
        <v>1400</v>
      </c>
      <c r="E1176">
        <v>10014</v>
      </c>
      <c r="F1176">
        <v>107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34</v>
      </c>
      <c r="Q1176">
        <v>47</v>
      </c>
      <c r="R1176">
        <v>0</v>
      </c>
      <c r="S1176">
        <v>81</v>
      </c>
      <c r="T1176">
        <v>24</v>
      </c>
      <c r="U1176">
        <v>13</v>
      </c>
      <c r="V1176">
        <v>11</v>
      </c>
      <c r="W1176">
        <v>0</v>
      </c>
      <c r="X1176">
        <v>0</v>
      </c>
    </row>
    <row r="1177" spans="1:24" x14ac:dyDescent="0.2">
      <c r="A1177">
        <v>9101500</v>
      </c>
      <c r="B1177" t="s">
        <v>1176</v>
      </c>
      <c r="C1177">
        <v>1500</v>
      </c>
      <c r="D1177">
        <v>1500</v>
      </c>
      <c r="E1177">
        <v>10015</v>
      </c>
      <c r="F1177">
        <v>105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34</v>
      </c>
      <c r="Q1177">
        <v>47</v>
      </c>
      <c r="R1177">
        <v>0</v>
      </c>
      <c r="S1177">
        <v>0</v>
      </c>
      <c r="T1177">
        <v>24</v>
      </c>
      <c r="U1177">
        <v>13</v>
      </c>
      <c r="V1177">
        <v>11</v>
      </c>
      <c r="W1177">
        <v>0</v>
      </c>
      <c r="X1177">
        <v>0</v>
      </c>
    </row>
    <row r="1178" spans="1:24" x14ac:dyDescent="0.2">
      <c r="A1178">
        <v>9110000</v>
      </c>
      <c r="B1178" t="s">
        <v>1177</v>
      </c>
      <c r="C1178">
        <v>0</v>
      </c>
      <c r="D1178">
        <v>0</v>
      </c>
      <c r="E1178">
        <v>10000</v>
      </c>
      <c r="F1178">
        <v>90</v>
      </c>
      <c r="G1178">
        <v>0</v>
      </c>
      <c r="H1178">
        <v>83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20</v>
      </c>
      <c r="Q1178">
        <v>35</v>
      </c>
      <c r="R1178">
        <v>20</v>
      </c>
      <c r="S1178">
        <v>20</v>
      </c>
      <c r="T1178">
        <v>16</v>
      </c>
      <c r="U1178">
        <v>15</v>
      </c>
      <c r="V1178">
        <v>18</v>
      </c>
      <c r="W1178">
        <v>9</v>
      </c>
      <c r="X1178">
        <v>9</v>
      </c>
    </row>
    <row r="1179" spans="1:24" x14ac:dyDescent="0.2">
      <c r="A1179">
        <v>9120000</v>
      </c>
      <c r="B1179" t="s">
        <v>1178</v>
      </c>
      <c r="C1179">
        <v>0</v>
      </c>
      <c r="D1179">
        <v>0</v>
      </c>
      <c r="E1179">
        <v>10000</v>
      </c>
      <c r="F1179">
        <v>104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34</v>
      </c>
      <c r="Q1179">
        <v>47</v>
      </c>
      <c r="R1179">
        <v>0</v>
      </c>
      <c r="S1179">
        <v>0</v>
      </c>
      <c r="T1179">
        <v>23</v>
      </c>
      <c r="U1179">
        <v>10</v>
      </c>
      <c r="V1179">
        <v>12</v>
      </c>
      <c r="W1179">
        <v>0</v>
      </c>
      <c r="X1179">
        <v>0</v>
      </c>
    </row>
    <row r="1180" spans="1:24" x14ac:dyDescent="0.2">
      <c r="A1180">
        <v>9120100</v>
      </c>
      <c r="B1180" t="s">
        <v>1179</v>
      </c>
      <c r="C1180">
        <v>200</v>
      </c>
      <c r="D1180">
        <v>100</v>
      </c>
      <c r="E1180">
        <v>10000</v>
      </c>
      <c r="F1180">
        <v>104</v>
      </c>
      <c r="G1180">
        <v>0</v>
      </c>
      <c r="H1180">
        <v>0</v>
      </c>
      <c r="I1180">
        <v>0</v>
      </c>
      <c r="J1180">
        <v>0</v>
      </c>
      <c r="K1180">
        <v>1</v>
      </c>
      <c r="L1180">
        <v>0</v>
      </c>
      <c r="M1180">
        <v>0</v>
      </c>
      <c r="N1180">
        <v>0</v>
      </c>
      <c r="O1180">
        <v>0</v>
      </c>
      <c r="P1180">
        <v>44</v>
      </c>
      <c r="Q1180">
        <v>0</v>
      </c>
      <c r="R1180">
        <v>0</v>
      </c>
      <c r="S1180">
        <v>0</v>
      </c>
      <c r="T1180">
        <v>23</v>
      </c>
      <c r="U1180">
        <v>10</v>
      </c>
      <c r="V1180">
        <v>12</v>
      </c>
      <c r="W1180">
        <v>0</v>
      </c>
      <c r="X1180">
        <v>0</v>
      </c>
    </row>
    <row r="1181" spans="1:24" x14ac:dyDescent="0.2">
      <c r="A1181">
        <v>9120200</v>
      </c>
      <c r="B1181" t="s">
        <v>1180</v>
      </c>
      <c r="C1181">
        <v>100</v>
      </c>
      <c r="D1181">
        <v>5000</v>
      </c>
      <c r="E1181">
        <v>10000</v>
      </c>
      <c r="F1181">
        <v>104</v>
      </c>
      <c r="G1181">
        <v>0</v>
      </c>
      <c r="H1181">
        <v>0</v>
      </c>
      <c r="I1181">
        <v>0</v>
      </c>
      <c r="J1181">
        <v>0</v>
      </c>
      <c r="K1181">
        <v>2</v>
      </c>
      <c r="L1181">
        <v>0</v>
      </c>
      <c r="M1181">
        <v>0</v>
      </c>
      <c r="N1181">
        <v>0</v>
      </c>
      <c r="O1181">
        <v>0</v>
      </c>
      <c r="P1181">
        <v>22</v>
      </c>
      <c r="Q1181">
        <v>51</v>
      </c>
      <c r="R1181">
        <v>0</v>
      </c>
      <c r="S1181">
        <v>0</v>
      </c>
      <c r="T1181">
        <v>23</v>
      </c>
      <c r="U1181">
        <v>10</v>
      </c>
      <c r="V1181">
        <v>12</v>
      </c>
      <c r="W1181">
        <v>0</v>
      </c>
      <c r="X1181">
        <v>0</v>
      </c>
    </row>
    <row r="1182" spans="1:24" x14ac:dyDescent="0.2">
      <c r="A1182">
        <v>9120300</v>
      </c>
      <c r="B1182" t="s">
        <v>1181</v>
      </c>
      <c r="C1182">
        <v>300</v>
      </c>
      <c r="D1182">
        <v>300</v>
      </c>
      <c r="E1182">
        <v>10000</v>
      </c>
      <c r="F1182">
        <v>104</v>
      </c>
      <c r="G1182">
        <v>0</v>
      </c>
      <c r="H1182">
        <v>0</v>
      </c>
      <c r="I1182">
        <v>0</v>
      </c>
      <c r="J1182">
        <v>0</v>
      </c>
      <c r="K1182">
        <v>8</v>
      </c>
      <c r="L1182">
        <v>0</v>
      </c>
      <c r="M1182">
        <v>0</v>
      </c>
      <c r="N1182">
        <v>0</v>
      </c>
      <c r="O1182">
        <v>0</v>
      </c>
      <c r="P1182">
        <v>50</v>
      </c>
      <c r="Q1182">
        <v>50</v>
      </c>
      <c r="R1182">
        <v>0</v>
      </c>
      <c r="S1182">
        <v>0</v>
      </c>
      <c r="T1182">
        <v>23</v>
      </c>
      <c r="U1182">
        <v>10</v>
      </c>
      <c r="V1182">
        <v>12</v>
      </c>
      <c r="W1182">
        <v>0</v>
      </c>
      <c r="X1182">
        <v>0</v>
      </c>
    </row>
    <row r="1183" spans="1:24" x14ac:dyDescent="0.2">
      <c r="A1183">
        <v>9120400</v>
      </c>
      <c r="B1183" t="s">
        <v>1182</v>
      </c>
      <c r="C1183">
        <v>500</v>
      </c>
      <c r="D1183">
        <v>500</v>
      </c>
      <c r="E1183">
        <v>10000</v>
      </c>
      <c r="F1183">
        <v>104</v>
      </c>
      <c r="G1183">
        <v>104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34</v>
      </c>
      <c r="Q1183">
        <v>47</v>
      </c>
      <c r="R1183">
        <v>81</v>
      </c>
      <c r="S1183">
        <v>0</v>
      </c>
      <c r="T1183">
        <v>23</v>
      </c>
      <c r="U1183">
        <v>10</v>
      </c>
      <c r="V1183">
        <v>12</v>
      </c>
      <c r="W1183">
        <v>0</v>
      </c>
      <c r="X1183">
        <v>0</v>
      </c>
    </row>
    <row r="1184" spans="1:24" x14ac:dyDescent="0.2">
      <c r="A1184">
        <v>9120500</v>
      </c>
      <c r="B1184" t="s">
        <v>1183</v>
      </c>
      <c r="C1184">
        <v>400</v>
      </c>
      <c r="D1184">
        <v>400</v>
      </c>
      <c r="E1184">
        <v>10000</v>
      </c>
      <c r="F1184">
        <v>104</v>
      </c>
      <c r="G1184">
        <v>104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34</v>
      </c>
      <c r="Q1184">
        <v>47</v>
      </c>
      <c r="R1184">
        <v>81</v>
      </c>
      <c r="S1184">
        <v>0</v>
      </c>
      <c r="T1184">
        <v>23</v>
      </c>
      <c r="U1184">
        <v>10</v>
      </c>
      <c r="V1184">
        <v>12</v>
      </c>
      <c r="W1184">
        <v>0</v>
      </c>
      <c r="X1184">
        <v>0</v>
      </c>
    </row>
    <row r="1185" spans="1:24" x14ac:dyDescent="0.2">
      <c r="A1185">
        <v>9120600</v>
      </c>
      <c r="B1185" t="s">
        <v>1184</v>
      </c>
      <c r="C1185">
        <v>600</v>
      </c>
      <c r="D1185">
        <v>600</v>
      </c>
      <c r="E1185">
        <v>10000</v>
      </c>
      <c r="F1185">
        <v>104</v>
      </c>
      <c r="G1185">
        <v>0</v>
      </c>
      <c r="H1185">
        <v>104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34</v>
      </c>
      <c r="Q1185">
        <v>47</v>
      </c>
      <c r="R1185">
        <v>0</v>
      </c>
      <c r="S1185">
        <v>0</v>
      </c>
      <c r="T1185">
        <v>23</v>
      </c>
      <c r="U1185">
        <v>10</v>
      </c>
      <c r="V1185">
        <v>12</v>
      </c>
      <c r="W1185">
        <v>0</v>
      </c>
      <c r="X1185">
        <v>0</v>
      </c>
    </row>
    <row r="1186" spans="1:24" x14ac:dyDescent="0.2">
      <c r="A1186">
        <v>9120700</v>
      </c>
      <c r="B1186" t="s">
        <v>1185</v>
      </c>
      <c r="C1186">
        <v>700</v>
      </c>
      <c r="D1186">
        <v>700</v>
      </c>
      <c r="E1186">
        <v>10000</v>
      </c>
      <c r="F1186">
        <v>104</v>
      </c>
      <c r="G1186">
        <v>0</v>
      </c>
      <c r="H1186">
        <v>104</v>
      </c>
      <c r="I1186">
        <v>0</v>
      </c>
      <c r="J1186">
        <v>0</v>
      </c>
      <c r="K1186">
        <v>0</v>
      </c>
      <c r="L1186">
        <v>0</v>
      </c>
      <c r="M1186">
        <v>4</v>
      </c>
      <c r="N1186">
        <v>0</v>
      </c>
      <c r="O1186">
        <v>0</v>
      </c>
      <c r="P1186">
        <v>34</v>
      </c>
      <c r="Q1186">
        <v>47</v>
      </c>
      <c r="R1186">
        <v>81</v>
      </c>
      <c r="S1186">
        <v>81</v>
      </c>
      <c r="T1186">
        <v>23</v>
      </c>
      <c r="U1186">
        <v>10</v>
      </c>
      <c r="V1186">
        <v>12</v>
      </c>
      <c r="W1186">
        <v>0</v>
      </c>
      <c r="X1186">
        <v>0</v>
      </c>
    </row>
    <row r="1187" spans="1:24" x14ac:dyDescent="0.2">
      <c r="A1187">
        <v>9120800</v>
      </c>
      <c r="B1187" t="s">
        <v>1186</v>
      </c>
      <c r="C1187">
        <v>800</v>
      </c>
      <c r="D1187">
        <v>800</v>
      </c>
      <c r="E1187">
        <v>10000</v>
      </c>
      <c r="F1187">
        <v>104</v>
      </c>
      <c r="G1187">
        <v>0</v>
      </c>
      <c r="H1187">
        <v>0</v>
      </c>
      <c r="I1187">
        <v>104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34</v>
      </c>
      <c r="Q1187">
        <v>47</v>
      </c>
      <c r="R1187">
        <v>0</v>
      </c>
      <c r="S1187">
        <v>81</v>
      </c>
      <c r="T1187">
        <v>23</v>
      </c>
      <c r="U1187">
        <v>10</v>
      </c>
      <c r="V1187">
        <v>12</v>
      </c>
      <c r="W1187">
        <v>0</v>
      </c>
      <c r="X1187">
        <v>0</v>
      </c>
    </row>
    <row r="1188" spans="1:24" x14ac:dyDescent="0.2">
      <c r="A1188">
        <v>9120900</v>
      </c>
      <c r="B1188" t="s">
        <v>1187</v>
      </c>
      <c r="C1188">
        <v>900</v>
      </c>
      <c r="D1188">
        <v>900</v>
      </c>
      <c r="E1188">
        <v>10000</v>
      </c>
      <c r="F1188">
        <v>104</v>
      </c>
      <c r="G1188">
        <v>0</v>
      </c>
      <c r="H1188">
        <v>0</v>
      </c>
      <c r="I1188">
        <v>0</v>
      </c>
      <c r="J1188">
        <v>104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34</v>
      </c>
      <c r="Q1188">
        <v>47</v>
      </c>
      <c r="R1188">
        <v>0</v>
      </c>
      <c r="S1188">
        <v>0</v>
      </c>
      <c r="T1188">
        <v>23</v>
      </c>
      <c r="U1188">
        <v>10</v>
      </c>
      <c r="V1188">
        <v>12</v>
      </c>
      <c r="W1188">
        <v>0</v>
      </c>
      <c r="X1188">
        <v>0</v>
      </c>
    </row>
    <row r="1189" spans="1:24" x14ac:dyDescent="0.2">
      <c r="A1189">
        <v>9121000</v>
      </c>
      <c r="B1189" t="s">
        <v>1188</v>
      </c>
      <c r="C1189">
        <v>1000</v>
      </c>
      <c r="D1189">
        <v>1000</v>
      </c>
      <c r="E1189">
        <v>10000</v>
      </c>
      <c r="F1189">
        <v>104</v>
      </c>
      <c r="G1189">
        <v>0</v>
      </c>
      <c r="H1189">
        <v>0</v>
      </c>
      <c r="I1189">
        <v>0</v>
      </c>
      <c r="J1189">
        <v>104</v>
      </c>
      <c r="K1189">
        <v>0</v>
      </c>
      <c r="L1189">
        <v>0</v>
      </c>
      <c r="M1189">
        <v>0</v>
      </c>
      <c r="N1189">
        <v>0</v>
      </c>
      <c r="O1189">
        <v>4</v>
      </c>
      <c r="P1189">
        <v>34</v>
      </c>
      <c r="Q1189">
        <v>47</v>
      </c>
      <c r="R1189">
        <v>81</v>
      </c>
      <c r="S1189">
        <v>81</v>
      </c>
      <c r="T1189">
        <v>23</v>
      </c>
      <c r="U1189">
        <v>10</v>
      </c>
      <c r="V1189">
        <v>12</v>
      </c>
      <c r="W1189">
        <v>0</v>
      </c>
      <c r="X1189">
        <v>0</v>
      </c>
    </row>
    <row r="1190" spans="1:24" x14ac:dyDescent="0.2">
      <c r="A1190">
        <v>9121100</v>
      </c>
      <c r="B1190" t="s">
        <v>1189</v>
      </c>
      <c r="C1190">
        <v>1100</v>
      </c>
      <c r="D1190">
        <v>1100</v>
      </c>
      <c r="E1190">
        <v>10000</v>
      </c>
      <c r="F1190">
        <v>104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34</v>
      </c>
      <c r="Q1190">
        <v>47</v>
      </c>
      <c r="R1190">
        <v>0</v>
      </c>
      <c r="S1190">
        <v>0</v>
      </c>
      <c r="T1190">
        <v>23</v>
      </c>
      <c r="U1190">
        <v>10</v>
      </c>
      <c r="V1190">
        <v>12</v>
      </c>
      <c r="W1190">
        <v>0</v>
      </c>
      <c r="X1190">
        <v>0</v>
      </c>
    </row>
    <row r="1191" spans="1:24" x14ac:dyDescent="0.2">
      <c r="A1191">
        <v>9121200</v>
      </c>
      <c r="B1191" t="s">
        <v>1190</v>
      </c>
      <c r="C1191">
        <v>1200</v>
      </c>
      <c r="D1191">
        <v>1200</v>
      </c>
      <c r="E1191">
        <v>10000</v>
      </c>
      <c r="F1191">
        <v>104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34</v>
      </c>
      <c r="Q1191">
        <v>47</v>
      </c>
      <c r="R1191">
        <v>0</v>
      </c>
      <c r="S1191">
        <v>0</v>
      </c>
      <c r="T1191">
        <v>23</v>
      </c>
      <c r="U1191">
        <v>10</v>
      </c>
      <c r="V1191">
        <v>12</v>
      </c>
      <c r="W1191">
        <v>0</v>
      </c>
      <c r="X1191">
        <v>0</v>
      </c>
    </row>
    <row r="1192" spans="1:24" x14ac:dyDescent="0.2">
      <c r="A1192">
        <v>9121300</v>
      </c>
      <c r="B1192" t="s">
        <v>1191</v>
      </c>
      <c r="C1192">
        <v>1300</v>
      </c>
      <c r="D1192">
        <v>1300</v>
      </c>
      <c r="E1192">
        <v>10000</v>
      </c>
      <c r="F1192">
        <v>114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34</v>
      </c>
      <c r="Q1192">
        <v>47</v>
      </c>
      <c r="R1192">
        <v>0</v>
      </c>
      <c r="S1192">
        <v>0</v>
      </c>
      <c r="T1192">
        <v>23</v>
      </c>
      <c r="U1192">
        <v>10</v>
      </c>
      <c r="V1192">
        <v>12</v>
      </c>
      <c r="W1192">
        <v>0</v>
      </c>
      <c r="X1192">
        <v>0</v>
      </c>
    </row>
    <row r="1193" spans="1:24" x14ac:dyDescent="0.2">
      <c r="A1193">
        <v>9121400</v>
      </c>
      <c r="B1193" t="s">
        <v>1192</v>
      </c>
      <c r="C1193">
        <v>1400</v>
      </c>
      <c r="D1193">
        <v>1400</v>
      </c>
      <c r="E1193">
        <v>10014</v>
      </c>
      <c r="F1193">
        <v>104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34</v>
      </c>
      <c r="Q1193">
        <v>47</v>
      </c>
      <c r="R1193">
        <v>0</v>
      </c>
      <c r="S1193">
        <v>81</v>
      </c>
      <c r="T1193">
        <v>23</v>
      </c>
      <c r="U1193">
        <v>10</v>
      </c>
      <c r="V1193">
        <v>12</v>
      </c>
      <c r="W1193">
        <v>0</v>
      </c>
      <c r="X1193">
        <v>0</v>
      </c>
    </row>
    <row r="1194" spans="1:24" x14ac:dyDescent="0.2">
      <c r="A1194">
        <v>9121500</v>
      </c>
      <c r="B1194" t="s">
        <v>1193</v>
      </c>
      <c r="C1194">
        <v>1500</v>
      </c>
      <c r="D1194">
        <v>1500</v>
      </c>
      <c r="E1194">
        <v>10015</v>
      </c>
      <c r="F1194">
        <v>104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34</v>
      </c>
      <c r="Q1194">
        <v>47</v>
      </c>
      <c r="R1194">
        <v>0</v>
      </c>
      <c r="S1194">
        <v>0</v>
      </c>
      <c r="T1194">
        <v>23</v>
      </c>
      <c r="U1194">
        <v>10</v>
      </c>
      <c r="V1194">
        <v>12</v>
      </c>
      <c r="W1194">
        <v>0</v>
      </c>
      <c r="X1194">
        <v>0</v>
      </c>
    </row>
    <row r="1195" spans="1:24" x14ac:dyDescent="0.2">
      <c r="A1195">
        <v>9130000</v>
      </c>
      <c r="B1195" t="s">
        <v>1194</v>
      </c>
      <c r="C1195">
        <v>2000</v>
      </c>
      <c r="D1195">
        <v>2100</v>
      </c>
      <c r="E1195">
        <v>10000</v>
      </c>
      <c r="F1195">
        <v>108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20</v>
      </c>
      <c r="Q1195">
        <v>41</v>
      </c>
      <c r="R1195">
        <v>0</v>
      </c>
      <c r="S1195">
        <v>0</v>
      </c>
      <c r="T1195">
        <v>18</v>
      </c>
      <c r="U1195">
        <v>13</v>
      </c>
      <c r="V1195">
        <v>15</v>
      </c>
      <c r="W1195">
        <v>0</v>
      </c>
      <c r="X1195">
        <v>0</v>
      </c>
    </row>
    <row r="1196" spans="1:24" x14ac:dyDescent="0.2">
      <c r="A1196">
        <v>9140000</v>
      </c>
      <c r="B1196" t="s">
        <v>1195</v>
      </c>
      <c r="C1196">
        <v>0</v>
      </c>
      <c r="D1196">
        <v>0</v>
      </c>
      <c r="E1196">
        <v>10000</v>
      </c>
      <c r="F1196">
        <v>39</v>
      </c>
      <c r="G1196">
        <v>0</v>
      </c>
      <c r="H1196">
        <v>96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24</v>
      </c>
      <c r="Q1196">
        <v>42</v>
      </c>
      <c r="R1196">
        <v>0</v>
      </c>
      <c r="S1196">
        <v>0</v>
      </c>
      <c r="T1196">
        <v>19</v>
      </c>
      <c r="U1196">
        <v>10</v>
      </c>
      <c r="V1196">
        <v>12</v>
      </c>
      <c r="W1196">
        <v>0</v>
      </c>
      <c r="X1196">
        <v>0</v>
      </c>
    </row>
    <row r="1197" spans="1:24" x14ac:dyDescent="0.2">
      <c r="A1197">
        <v>9160000</v>
      </c>
      <c r="B1197" t="s">
        <v>1196</v>
      </c>
      <c r="C1197">
        <v>2000</v>
      </c>
      <c r="D1197">
        <v>2100</v>
      </c>
      <c r="E1197">
        <v>10000</v>
      </c>
      <c r="F1197">
        <v>117</v>
      </c>
      <c r="G1197">
        <v>0</v>
      </c>
      <c r="H1197">
        <v>0</v>
      </c>
      <c r="I1197">
        <v>31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31</v>
      </c>
      <c r="Q1197">
        <v>49</v>
      </c>
      <c r="R1197">
        <v>0</v>
      </c>
      <c r="S1197">
        <v>41</v>
      </c>
      <c r="T1197">
        <v>25</v>
      </c>
      <c r="U1197">
        <v>16</v>
      </c>
      <c r="V1197">
        <v>22</v>
      </c>
      <c r="W1197">
        <v>0</v>
      </c>
      <c r="X1197">
        <v>18</v>
      </c>
    </row>
    <row r="1198" spans="1:24" x14ac:dyDescent="0.2">
      <c r="A1198">
        <v>9170000</v>
      </c>
      <c r="B1198" t="s">
        <v>1197</v>
      </c>
      <c r="C1198">
        <v>2000</v>
      </c>
      <c r="D1198">
        <v>2100</v>
      </c>
      <c r="E1198">
        <v>10000</v>
      </c>
      <c r="F1198">
        <v>108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21</v>
      </c>
      <c r="Q1198">
        <v>59</v>
      </c>
      <c r="R1198">
        <v>0</v>
      </c>
      <c r="S1198">
        <v>0</v>
      </c>
      <c r="T1198">
        <v>25</v>
      </c>
      <c r="U1198">
        <v>11</v>
      </c>
      <c r="V1198">
        <v>19</v>
      </c>
      <c r="W1198">
        <v>0</v>
      </c>
      <c r="X1198">
        <v>0</v>
      </c>
    </row>
    <row r="1199" spans="1:24" x14ac:dyDescent="0.2">
      <c r="A1199">
        <v>9180000</v>
      </c>
      <c r="B1199" t="s">
        <v>1198</v>
      </c>
      <c r="C1199">
        <v>0</v>
      </c>
      <c r="D1199">
        <v>0</v>
      </c>
      <c r="E1199">
        <v>10091800</v>
      </c>
      <c r="F1199">
        <v>98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25</v>
      </c>
      <c r="Q1199">
        <v>15</v>
      </c>
      <c r="R1199">
        <v>0</v>
      </c>
      <c r="S1199">
        <v>55</v>
      </c>
      <c r="T1199">
        <v>12</v>
      </c>
      <c r="U1199">
        <v>12</v>
      </c>
      <c r="V1199">
        <v>12</v>
      </c>
      <c r="W1199">
        <v>0</v>
      </c>
      <c r="X1199">
        <v>16</v>
      </c>
    </row>
    <row r="1200" spans="1:24" x14ac:dyDescent="0.2">
      <c r="A1200">
        <v>9180100</v>
      </c>
      <c r="B1200" t="s">
        <v>1199</v>
      </c>
      <c r="C1200">
        <v>200</v>
      </c>
      <c r="D1200">
        <v>100</v>
      </c>
      <c r="E1200">
        <v>10091800</v>
      </c>
      <c r="F1200">
        <v>98</v>
      </c>
      <c r="G1200">
        <v>0</v>
      </c>
      <c r="H1200">
        <v>0</v>
      </c>
      <c r="I1200">
        <v>0</v>
      </c>
      <c r="J1200">
        <v>0</v>
      </c>
      <c r="K1200">
        <v>1</v>
      </c>
      <c r="L1200">
        <v>0</v>
      </c>
      <c r="M1200">
        <v>0</v>
      </c>
      <c r="N1200">
        <v>0</v>
      </c>
      <c r="O1200">
        <v>0</v>
      </c>
      <c r="P1200">
        <v>30</v>
      </c>
      <c r="Q1200">
        <v>0</v>
      </c>
      <c r="R1200">
        <v>0</v>
      </c>
      <c r="S1200">
        <v>55</v>
      </c>
      <c r="T1200">
        <v>12</v>
      </c>
      <c r="U1200">
        <v>12</v>
      </c>
      <c r="V1200">
        <v>12</v>
      </c>
      <c r="W1200">
        <v>0</v>
      </c>
      <c r="X1200">
        <v>16</v>
      </c>
    </row>
    <row r="1201" spans="1:24" x14ac:dyDescent="0.2">
      <c r="A1201">
        <v>9180200</v>
      </c>
      <c r="B1201" t="s">
        <v>1200</v>
      </c>
      <c r="C1201">
        <v>100</v>
      </c>
      <c r="D1201">
        <v>200</v>
      </c>
      <c r="E1201">
        <v>10091800</v>
      </c>
      <c r="F1201">
        <v>98</v>
      </c>
      <c r="G1201">
        <v>0</v>
      </c>
      <c r="H1201">
        <v>0</v>
      </c>
      <c r="I1201">
        <v>0</v>
      </c>
      <c r="J1201">
        <v>0</v>
      </c>
      <c r="K1201">
        <v>2</v>
      </c>
      <c r="L1201">
        <v>0</v>
      </c>
      <c r="M1201">
        <v>0</v>
      </c>
      <c r="N1201">
        <v>0</v>
      </c>
      <c r="O1201">
        <v>0</v>
      </c>
      <c r="P1201">
        <v>10</v>
      </c>
      <c r="Q1201">
        <v>30</v>
      </c>
      <c r="R1201">
        <v>0</v>
      </c>
      <c r="S1201">
        <v>55</v>
      </c>
      <c r="T1201">
        <v>12</v>
      </c>
      <c r="U1201">
        <v>12</v>
      </c>
      <c r="V1201">
        <v>12</v>
      </c>
      <c r="W1201">
        <v>0</v>
      </c>
      <c r="X1201">
        <v>16</v>
      </c>
    </row>
    <row r="1202" spans="1:24" x14ac:dyDescent="0.2">
      <c r="A1202">
        <v>9180300</v>
      </c>
      <c r="B1202" t="s">
        <v>1201</v>
      </c>
      <c r="C1202">
        <v>300</v>
      </c>
      <c r="D1202">
        <v>300</v>
      </c>
      <c r="E1202">
        <v>10091800</v>
      </c>
      <c r="F1202">
        <v>98</v>
      </c>
      <c r="G1202">
        <v>0</v>
      </c>
      <c r="H1202">
        <v>0</v>
      </c>
      <c r="I1202">
        <v>0</v>
      </c>
      <c r="J1202">
        <v>0</v>
      </c>
      <c r="K1202">
        <v>8</v>
      </c>
      <c r="L1202">
        <v>0</v>
      </c>
      <c r="M1202">
        <v>0</v>
      </c>
      <c r="N1202">
        <v>0</v>
      </c>
      <c r="O1202">
        <v>0</v>
      </c>
      <c r="P1202">
        <v>30</v>
      </c>
      <c r="Q1202">
        <v>30</v>
      </c>
      <c r="R1202">
        <v>0</v>
      </c>
      <c r="S1202">
        <v>55</v>
      </c>
      <c r="T1202">
        <v>12</v>
      </c>
      <c r="U1202">
        <v>12</v>
      </c>
      <c r="V1202">
        <v>12</v>
      </c>
      <c r="W1202">
        <v>0</v>
      </c>
      <c r="X1202">
        <v>16</v>
      </c>
    </row>
    <row r="1203" spans="1:24" x14ac:dyDescent="0.2">
      <c r="A1203">
        <v>9180400</v>
      </c>
      <c r="B1203" t="s">
        <v>1202</v>
      </c>
      <c r="C1203">
        <v>500</v>
      </c>
      <c r="D1203">
        <v>500</v>
      </c>
      <c r="E1203">
        <v>10091800</v>
      </c>
      <c r="F1203">
        <v>106</v>
      </c>
      <c r="G1203">
        <v>106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25</v>
      </c>
      <c r="Q1203">
        <v>15</v>
      </c>
      <c r="R1203">
        <v>40</v>
      </c>
      <c r="S1203">
        <v>55</v>
      </c>
      <c r="T1203">
        <v>12</v>
      </c>
      <c r="U1203">
        <v>12</v>
      </c>
      <c r="V1203">
        <v>12</v>
      </c>
      <c r="W1203">
        <v>0</v>
      </c>
      <c r="X1203">
        <v>16</v>
      </c>
    </row>
    <row r="1204" spans="1:24" x14ac:dyDescent="0.2">
      <c r="A1204">
        <v>9180500</v>
      </c>
      <c r="B1204" t="s">
        <v>1203</v>
      </c>
      <c r="C1204">
        <v>400</v>
      </c>
      <c r="D1204">
        <v>400</v>
      </c>
      <c r="E1204">
        <v>10091800</v>
      </c>
      <c r="F1204">
        <v>106</v>
      </c>
      <c r="G1204">
        <v>106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25</v>
      </c>
      <c r="Q1204">
        <v>15</v>
      </c>
      <c r="R1204">
        <v>40</v>
      </c>
      <c r="S1204">
        <v>55</v>
      </c>
      <c r="T1204">
        <v>12</v>
      </c>
      <c r="U1204">
        <v>12</v>
      </c>
      <c r="V1204">
        <v>12</v>
      </c>
      <c r="W1204">
        <v>0</v>
      </c>
      <c r="X1204">
        <v>16</v>
      </c>
    </row>
    <row r="1205" spans="1:24" x14ac:dyDescent="0.2">
      <c r="A1205">
        <v>9180600</v>
      </c>
      <c r="B1205" t="s">
        <v>1204</v>
      </c>
      <c r="C1205">
        <v>600</v>
      </c>
      <c r="D1205">
        <v>600</v>
      </c>
      <c r="E1205">
        <v>10091800</v>
      </c>
      <c r="F1205">
        <v>108</v>
      </c>
      <c r="G1205">
        <v>0</v>
      </c>
      <c r="H1205">
        <v>108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25</v>
      </c>
      <c r="Q1205">
        <v>15</v>
      </c>
      <c r="R1205">
        <v>0</v>
      </c>
      <c r="S1205">
        <v>55</v>
      </c>
      <c r="T1205">
        <v>12</v>
      </c>
      <c r="U1205">
        <v>12</v>
      </c>
      <c r="V1205">
        <v>12</v>
      </c>
      <c r="W1205">
        <v>0</v>
      </c>
      <c r="X1205">
        <v>16</v>
      </c>
    </row>
    <row r="1206" spans="1:24" x14ac:dyDescent="0.2">
      <c r="A1206">
        <v>9180700</v>
      </c>
      <c r="B1206" t="s">
        <v>1205</v>
      </c>
      <c r="C1206">
        <v>700</v>
      </c>
      <c r="D1206">
        <v>700</v>
      </c>
      <c r="E1206">
        <v>10091800</v>
      </c>
      <c r="F1206">
        <v>108</v>
      </c>
      <c r="G1206">
        <v>0</v>
      </c>
      <c r="H1206">
        <v>108</v>
      </c>
      <c r="I1206">
        <v>0</v>
      </c>
      <c r="J1206">
        <v>0</v>
      </c>
      <c r="K1206">
        <v>0</v>
      </c>
      <c r="L1206">
        <v>0</v>
      </c>
      <c r="M1206">
        <v>4</v>
      </c>
      <c r="N1206">
        <v>0</v>
      </c>
      <c r="O1206">
        <v>0</v>
      </c>
      <c r="P1206">
        <v>25</v>
      </c>
      <c r="Q1206">
        <v>15</v>
      </c>
      <c r="R1206">
        <v>40</v>
      </c>
      <c r="S1206">
        <v>75</v>
      </c>
      <c r="T1206">
        <v>12</v>
      </c>
      <c r="U1206">
        <v>12</v>
      </c>
      <c r="V1206">
        <v>12</v>
      </c>
      <c r="W1206">
        <v>0</v>
      </c>
      <c r="X1206">
        <v>16</v>
      </c>
    </row>
    <row r="1207" spans="1:24" x14ac:dyDescent="0.2">
      <c r="A1207">
        <v>9180800</v>
      </c>
      <c r="B1207" t="s">
        <v>1206</v>
      </c>
      <c r="C1207">
        <v>800</v>
      </c>
      <c r="D1207">
        <v>800</v>
      </c>
      <c r="E1207">
        <v>10091800</v>
      </c>
      <c r="F1207">
        <v>93</v>
      </c>
      <c r="G1207">
        <v>0</v>
      </c>
      <c r="H1207">
        <v>0</v>
      </c>
      <c r="I1207">
        <v>93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25</v>
      </c>
      <c r="Q1207">
        <v>15</v>
      </c>
      <c r="R1207">
        <v>0</v>
      </c>
      <c r="S1207">
        <v>75</v>
      </c>
      <c r="T1207">
        <v>12</v>
      </c>
      <c r="U1207">
        <v>12</v>
      </c>
      <c r="V1207">
        <v>12</v>
      </c>
      <c r="W1207">
        <v>0</v>
      </c>
      <c r="X1207">
        <v>16</v>
      </c>
    </row>
    <row r="1208" spans="1:24" x14ac:dyDescent="0.2">
      <c r="A1208">
        <v>9180900</v>
      </c>
      <c r="B1208" t="s">
        <v>1207</v>
      </c>
      <c r="C1208">
        <v>900</v>
      </c>
      <c r="D1208">
        <v>900</v>
      </c>
      <c r="E1208">
        <v>10091800</v>
      </c>
      <c r="F1208">
        <v>108</v>
      </c>
      <c r="G1208">
        <v>0</v>
      </c>
      <c r="H1208">
        <v>0</v>
      </c>
      <c r="I1208">
        <v>0</v>
      </c>
      <c r="J1208">
        <v>108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25</v>
      </c>
      <c r="Q1208">
        <v>15</v>
      </c>
      <c r="R1208">
        <v>0</v>
      </c>
      <c r="S1208">
        <v>55</v>
      </c>
      <c r="T1208">
        <v>12</v>
      </c>
      <c r="U1208">
        <v>12</v>
      </c>
      <c r="V1208">
        <v>12</v>
      </c>
      <c r="W1208">
        <v>0</v>
      </c>
      <c r="X1208">
        <v>16</v>
      </c>
    </row>
    <row r="1209" spans="1:24" x14ac:dyDescent="0.2">
      <c r="A1209">
        <v>9181000</v>
      </c>
      <c r="B1209" t="s">
        <v>1208</v>
      </c>
      <c r="C1209">
        <v>1000</v>
      </c>
      <c r="D1209">
        <v>1000</v>
      </c>
      <c r="E1209">
        <v>10091800</v>
      </c>
      <c r="F1209">
        <v>108</v>
      </c>
      <c r="G1209">
        <v>0</v>
      </c>
      <c r="H1209">
        <v>0</v>
      </c>
      <c r="I1209">
        <v>0</v>
      </c>
      <c r="J1209">
        <v>108</v>
      </c>
      <c r="K1209">
        <v>0</v>
      </c>
      <c r="L1209">
        <v>0</v>
      </c>
      <c r="M1209">
        <v>0</v>
      </c>
      <c r="N1209">
        <v>0</v>
      </c>
      <c r="O1209">
        <v>4</v>
      </c>
      <c r="P1209">
        <v>25</v>
      </c>
      <c r="Q1209">
        <v>15</v>
      </c>
      <c r="R1209">
        <v>40</v>
      </c>
      <c r="S1209">
        <v>75</v>
      </c>
      <c r="T1209">
        <v>12</v>
      </c>
      <c r="U1209">
        <v>12</v>
      </c>
      <c r="V1209">
        <v>12</v>
      </c>
      <c r="W1209">
        <v>0</v>
      </c>
      <c r="X1209">
        <v>16</v>
      </c>
    </row>
    <row r="1210" spans="1:24" x14ac:dyDescent="0.2">
      <c r="A1210">
        <v>9181100</v>
      </c>
      <c r="B1210" t="s">
        <v>1209</v>
      </c>
      <c r="C1210">
        <v>1100</v>
      </c>
      <c r="D1210">
        <v>1100</v>
      </c>
      <c r="E1210">
        <v>10091800</v>
      </c>
      <c r="F1210">
        <v>98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25</v>
      </c>
      <c r="Q1210">
        <v>15</v>
      </c>
      <c r="R1210">
        <v>0</v>
      </c>
      <c r="S1210">
        <v>55</v>
      </c>
      <c r="T1210">
        <v>12</v>
      </c>
      <c r="U1210">
        <v>12</v>
      </c>
      <c r="V1210">
        <v>12</v>
      </c>
      <c r="W1210">
        <v>0</v>
      </c>
      <c r="X1210">
        <v>16</v>
      </c>
    </row>
    <row r="1211" spans="1:24" x14ac:dyDescent="0.2">
      <c r="A1211">
        <v>9181200</v>
      </c>
      <c r="B1211" t="s">
        <v>1210</v>
      </c>
      <c r="C1211">
        <v>1200</v>
      </c>
      <c r="D1211">
        <v>1200</v>
      </c>
      <c r="E1211">
        <v>10091800</v>
      </c>
      <c r="F1211">
        <v>98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25</v>
      </c>
      <c r="Q1211">
        <v>15</v>
      </c>
      <c r="R1211">
        <v>0</v>
      </c>
      <c r="S1211">
        <v>55</v>
      </c>
      <c r="T1211">
        <v>12</v>
      </c>
      <c r="U1211">
        <v>12</v>
      </c>
      <c r="V1211">
        <v>12</v>
      </c>
      <c r="W1211">
        <v>0</v>
      </c>
      <c r="X1211">
        <v>16</v>
      </c>
    </row>
    <row r="1212" spans="1:24" x14ac:dyDescent="0.2">
      <c r="A1212">
        <v>9181300</v>
      </c>
      <c r="B1212" t="s">
        <v>1211</v>
      </c>
      <c r="C1212">
        <v>1300</v>
      </c>
      <c r="D1212">
        <v>1300</v>
      </c>
      <c r="E1212">
        <v>10091800</v>
      </c>
      <c r="F1212">
        <v>118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25</v>
      </c>
      <c r="Q1212">
        <v>15</v>
      </c>
      <c r="R1212">
        <v>0</v>
      </c>
      <c r="S1212">
        <v>55</v>
      </c>
      <c r="T1212">
        <v>12</v>
      </c>
      <c r="U1212">
        <v>12</v>
      </c>
      <c r="V1212">
        <v>12</v>
      </c>
      <c r="W1212">
        <v>0</v>
      </c>
      <c r="X1212">
        <v>16</v>
      </c>
    </row>
    <row r="1213" spans="1:24" x14ac:dyDescent="0.2">
      <c r="A1213">
        <v>9181400</v>
      </c>
      <c r="B1213" t="s">
        <v>1212</v>
      </c>
      <c r="C1213">
        <v>1400</v>
      </c>
      <c r="D1213">
        <v>1400</v>
      </c>
      <c r="E1213">
        <v>10091814</v>
      </c>
      <c r="F1213">
        <v>108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25</v>
      </c>
      <c r="Q1213">
        <v>15</v>
      </c>
      <c r="R1213">
        <v>0</v>
      </c>
      <c r="S1213">
        <v>75</v>
      </c>
      <c r="T1213">
        <v>12</v>
      </c>
      <c r="U1213">
        <v>12</v>
      </c>
      <c r="V1213">
        <v>12</v>
      </c>
      <c r="W1213">
        <v>0</v>
      </c>
      <c r="X1213">
        <v>16</v>
      </c>
    </row>
    <row r="1214" spans="1:24" x14ac:dyDescent="0.2">
      <c r="A1214">
        <v>9181500</v>
      </c>
      <c r="B1214" t="s">
        <v>1213</v>
      </c>
      <c r="C1214">
        <v>1500</v>
      </c>
      <c r="D1214">
        <v>1500</v>
      </c>
      <c r="E1214">
        <v>10091815</v>
      </c>
      <c r="F1214">
        <v>98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25</v>
      </c>
      <c r="Q1214">
        <v>15</v>
      </c>
      <c r="R1214">
        <v>0</v>
      </c>
      <c r="S1214">
        <v>55</v>
      </c>
      <c r="T1214">
        <v>12</v>
      </c>
      <c r="U1214">
        <v>12</v>
      </c>
      <c r="V1214">
        <v>12</v>
      </c>
      <c r="W1214">
        <v>0</v>
      </c>
      <c r="X1214">
        <v>16</v>
      </c>
    </row>
    <row r="1215" spans="1:24" x14ac:dyDescent="0.2">
      <c r="A1215">
        <v>9190000</v>
      </c>
      <c r="B1215" t="s">
        <v>1214</v>
      </c>
      <c r="C1215">
        <v>2200</v>
      </c>
      <c r="D1215">
        <v>2200</v>
      </c>
      <c r="E1215">
        <v>12000</v>
      </c>
      <c r="F1215">
        <v>89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48</v>
      </c>
      <c r="Q1215">
        <v>49</v>
      </c>
      <c r="R1215">
        <v>0</v>
      </c>
      <c r="S1215">
        <v>40</v>
      </c>
      <c r="T1215">
        <v>28</v>
      </c>
      <c r="U1215">
        <v>18</v>
      </c>
      <c r="V1215">
        <v>14</v>
      </c>
      <c r="W1215">
        <v>0</v>
      </c>
      <c r="X1215">
        <v>13</v>
      </c>
    </row>
    <row r="1216" spans="1:24" x14ac:dyDescent="0.2">
      <c r="A1216">
        <v>9200000</v>
      </c>
      <c r="B1216" t="s">
        <v>1215</v>
      </c>
      <c r="C1216">
        <v>0</v>
      </c>
      <c r="D1216">
        <v>0</v>
      </c>
      <c r="E1216">
        <v>10000</v>
      </c>
      <c r="F1216">
        <v>105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29</v>
      </c>
      <c r="Q1216">
        <v>52</v>
      </c>
      <c r="R1216">
        <v>0</v>
      </c>
      <c r="S1216">
        <v>0</v>
      </c>
      <c r="T1216">
        <v>23</v>
      </c>
      <c r="U1216">
        <v>18</v>
      </c>
      <c r="V1216">
        <v>14</v>
      </c>
      <c r="W1216">
        <v>0</v>
      </c>
      <c r="X1216">
        <v>0</v>
      </c>
    </row>
    <row r="1217" spans="1:24" x14ac:dyDescent="0.2">
      <c r="A1217">
        <v>9200100</v>
      </c>
      <c r="B1217" t="s">
        <v>1216</v>
      </c>
      <c r="C1217">
        <v>200</v>
      </c>
      <c r="D1217">
        <v>100</v>
      </c>
      <c r="E1217">
        <v>10000</v>
      </c>
      <c r="F1217">
        <v>105</v>
      </c>
      <c r="G1217">
        <v>0</v>
      </c>
      <c r="H1217">
        <v>0</v>
      </c>
      <c r="I1217">
        <v>0</v>
      </c>
      <c r="J1217">
        <v>0</v>
      </c>
      <c r="K1217">
        <v>1</v>
      </c>
      <c r="L1217">
        <v>0</v>
      </c>
      <c r="M1217">
        <v>0</v>
      </c>
      <c r="N1217">
        <v>0</v>
      </c>
      <c r="O1217">
        <v>0</v>
      </c>
      <c r="P1217">
        <v>44</v>
      </c>
      <c r="Q1217">
        <v>0</v>
      </c>
      <c r="R1217">
        <v>0</v>
      </c>
      <c r="S1217">
        <v>0</v>
      </c>
      <c r="T1217">
        <v>23</v>
      </c>
      <c r="U1217">
        <v>18</v>
      </c>
      <c r="V1217">
        <v>14</v>
      </c>
      <c r="W1217">
        <v>0</v>
      </c>
      <c r="X1217">
        <v>0</v>
      </c>
    </row>
    <row r="1218" spans="1:24" x14ac:dyDescent="0.2">
      <c r="A1218">
        <v>9200200</v>
      </c>
      <c r="B1218" t="s">
        <v>1217</v>
      </c>
      <c r="C1218">
        <v>100</v>
      </c>
      <c r="D1218">
        <v>5000</v>
      </c>
      <c r="E1218">
        <v>10000</v>
      </c>
      <c r="F1218">
        <v>105</v>
      </c>
      <c r="G1218">
        <v>0</v>
      </c>
      <c r="H1218">
        <v>0</v>
      </c>
      <c r="I1218">
        <v>0</v>
      </c>
      <c r="J1218">
        <v>0</v>
      </c>
      <c r="K1218">
        <v>2</v>
      </c>
      <c r="L1218">
        <v>0</v>
      </c>
      <c r="M1218">
        <v>0</v>
      </c>
      <c r="N1218">
        <v>0</v>
      </c>
      <c r="O1218">
        <v>0</v>
      </c>
      <c r="P1218">
        <v>18</v>
      </c>
      <c r="Q1218">
        <v>57</v>
      </c>
      <c r="R1218">
        <v>0</v>
      </c>
      <c r="S1218">
        <v>0</v>
      </c>
      <c r="T1218">
        <v>23</v>
      </c>
      <c r="U1218">
        <v>18</v>
      </c>
      <c r="V1218">
        <v>14</v>
      </c>
      <c r="W1218">
        <v>0</v>
      </c>
      <c r="X1218">
        <v>0</v>
      </c>
    </row>
    <row r="1219" spans="1:24" x14ac:dyDescent="0.2">
      <c r="A1219">
        <v>9200300</v>
      </c>
      <c r="B1219" t="s">
        <v>1218</v>
      </c>
      <c r="C1219">
        <v>300</v>
      </c>
      <c r="D1219">
        <v>300</v>
      </c>
      <c r="E1219">
        <v>10000</v>
      </c>
      <c r="F1219">
        <v>105</v>
      </c>
      <c r="G1219">
        <v>0</v>
      </c>
      <c r="H1219">
        <v>0</v>
      </c>
      <c r="I1219">
        <v>0</v>
      </c>
      <c r="J1219">
        <v>0</v>
      </c>
      <c r="K1219">
        <v>8</v>
      </c>
      <c r="L1219">
        <v>0</v>
      </c>
      <c r="M1219">
        <v>0</v>
      </c>
      <c r="N1219">
        <v>0</v>
      </c>
      <c r="O1219">
        <v>0</v>
      </c>
      <c r="P1219">
        <v>50</v>
      </c>
      <c r="Q1219">
        <v>50</v>
      </c>
      <c r="R1219">
        <v>0</v>
      </c>
      <c r="S1219">
        <v>0</v>
      </c>
      <c r="T1219">
        <v>23</v>
      </c>
      <c r="U1219">
        <v>18</v>
      </c>
      <c r="V1219">
        <v>14</v>
      </c>
      <c r="W1219">
        <v>0</v>
      </c>
      <c r="X1219">
        <v>0</v>
      </c>
    </row>
    <row r="1220" spans="1:24" x14ac:dyDescent="0.2">
      <c r="A1220">
        <v>9200400</v>
      </c>
      <c r="B1220" t="s">
        <v>1219</v>
      </c>
      <c r="C1220">
        <v>500</v>
      </c>
      <c r="D1220">
        <v>500</v>
      </c>
      <c r="E1220">
        <v>10000</v>
      </c>
      <c r="F1220">
        <v>106</v>
      </c>
      <c r="G1220">
        <v>106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29</v>
      </c>
      <c r="Q1220">
        <v>52</v>
      </c>
      <c r="R1220">
        <v>81</v>
      </c>
      <c r="S1220">
        <v>0</v>
      </c>
      <c r="T1220">
        <v>23</v>
      </c>
      <c r="U1220">
        <v>18</v>
      </c>
      <c r="V1220">
        <v>14</v>
      </c>
      <c r="W1220">
        <v>0</v>
      </c>
      <c r="X1220">
        <v>0</v>
      </c>
    </row>
    <row r="1221" spans="1:24" x14ac:dyDescent="0.2">
      <c r="A1221">
        <v>9200500</v>
      </c>
      <c r="B1221" t="s">
        <v>1220</v>
      </c>
      <c r="C1221">
        <v>400</v>
      </c>
      <c r="D1221">
        <v>400</v>
      </c>
      <c r="E1221">
        <v>10000</v>
      </c>
      <c r="F1221">
        <v>106</v>
      </c>
      <c r="G1221">
        <v>106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29</v>
      </c>
      <c r="Q1221">
        <v>52</v>
      </c>
      <c r="R1221">
        <v>81</v>
      </c>
      <c r="S1221">
        <v>0</v>
      </c>
      <c r="T1221">
        <v>23</v>
      </c>
      <c r="U1221">
        <v>18</v>
      </c>
      <c r="V1221">
        <v>14</v>
      </c>
      <c r="W1221">
        <v>0</v>
      </c>
      <c r="X1221">
        <v>0</v>
      </c>
    </row>
    <row r="1222" spans="1:24" x14ac:dyDescent="0.2">
      <c r="A1222">
        <v>9200600</v>
      </c>
      <c r="B1222" t="s">
        <v>1221</v>
      </c>
      <c r="C1222">
        <v>600</v>
      </c>
      <c r="D1222">
        <v>600</v>
      </c>
      <c r="E1222">
        <v>10000</v>
      </c>
      <c r="F1222">
        <v>111</v>
      </c>
      <c r="G1222">
        <v>0</v>
      </c>
      <c r="H1222">
        <v>111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29</v>
      </c>
      <c r="Q1222">
        <v>52</v>
      </c>
      <c r="R1222">
        <v>0</v>
      </c>
      <c r="S1222">
        <v>0</v>
      </c>
      <c r="T1222">
        <v>23</v>
      </c>
      <c r="U1222">
        <v>18</v>
      </c>
      <c r="V1222">
        <v>14</v>
      </c>
      <c r="W1222">
        <v>0</v>
      </c>
      <c r="X1222">
        <v>0</v>
      </c>
    </row>
    <row r="1223" spans="1:24" x14ac:dyDescent="0.2">
      <c r="A1223">
        <v>9200700</v>
      </c>
      <c r="B1223" t="s">
        <v>1222</v>
      </c>
      <c r="C1223">
        <v>700</v>
      </c>
      <c r="D1223">
        <v>700</v>
      </c>
      <c r="E1223">
        <v>10000</v>
      </c>
      <c r="F1223">
        <v>106</v>
      </c>
      <c r="G1223">
        <v>0</v>
      </c>
      <c r="H1223">
        <v>106</v>
      </c>
      <c r="I1223">
        <v>0</v>
      </c>
      <c r="J1223">
        <v>0</v>
      </c>
      <c r="K1223">
        <v>0</v>
      </c>
      <c r="L1223">
        <v>0</v>
      </c>
      <c r="M1223">
        <v>4</v>
      </c>
      <c r="N1223">
        <v>0</v>
      </c>
      <c r="O1223">
        <v>0</v>
      </c>
      <c r="P1223">
        <v>29</v>
      </c>
      <c r="Q1223">
        <v>52</v>
      </c>
      <c r="R1223">
        <v>81</v>
      </c>
      <c r="S1223">
        <v>81</v>
      </c>
      <c r="T1223">
        <v>23</v>
      </c>
      <c r="U1223">
        <v>18</v>
      </c>
      <c r="V1223">
        <v>14</v>
      </c>
      <c r="W1223">
        <v>0</v>
      </c>
      <c r="X1223">
        <v>0</v>
      </c>
    </row>
    <row r="1224" spans="1:24" x14ac:dyDescent="0.2">
      <c r="A1224">
        <v>9200800</v>
      </c>
      <c r="B1224" t="s">
        <v>1223</v>
      </c>
      <c r="C1224">
        <v>800</v>
      </c>
      <c r="D1224">
        <v>800</v>
      </c>
      <c r="E1224">
        <v>10000</v>
      </c>
      <c r="F1224">
        <v>106</v>
      </c>
      <c r="G1224">
        <v>0</v>
      </c>
      <c r="H1224">
        <v>0</v>
      </c>
      <c r="I1224">
        <v>106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29</v>
      </c>
      <c r="Q1224">
        <v>52</v>
      </c>
      <c r="R1224">
        <v>0</v>
      </c>
      <c r="S1224">
        <v>81</v>
      </c>
      <c r="T1224">
        <v>23</v>
      </c>
      <c r="U1224">
        <v>18</v>
      </c>
      <c r="V1224">
        <v>14</v>
      </c>
      <c r="W1224">
        <v>0</v>
      </c>
      <c r="X1224">
        <v>0</v>
      </c>
    </row>
    <row r="1225" spans="1:24" x14ac:dyDescent="0.2">
      <c r="A1225">
        <v>9200900</v>
      </c>
      <c r="B1225" t="s">
        <v>1224</v>
      </c>
      <c r="C1225">
        <v>900</v>
      </c>
      <c r="D1225">
        <v>900</v>
      </c>
      <c r="E1225">
        <v>10000</v>
      </c>
      <c r="F1225">
        <v>111</v>
      </c>
      <c r="G1225">
        <v>0</v>
      </c>
      <c r="H1225">
        <v>0</v>
      </c>
      <c r="I1225">
        <v>0</v>
      </c>
      <c r="J1225">
        <v>111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29</v>
      </c>
      <c r="Q1225">
        <v>52</v>
      </c>
      <c r="R1225">
        <v>0</v>
      </c>
      <c r="S1225">
        <v>0</v>
      </c>
      <c r="T1225">
        <v>23</v>
      </c>
      <c r="U1225">
        <v>18</v>
      </c>
      <c r="V1225">
        <v>14</v>
      </c>
      <c r="W1225">
        <v>0</v>
      </c>
      <c r="X1225">
        <v>0</v>
      </c>
    </row>
    <row r="1226" spans="1:24" x14ac:dyDescent="0.2">
      <c r="A1226">
        <v>9201000</v>
      </c>
      <c r="B1226" t="s">
        <v>1225</v>
      </c>
      <c r="C1226">
        <v>1000</v>
      </c>
      <c r="D1226">
        <v>1000</v>
      </c>
      <c r="E1226">
        <v>10000</v>
      </c>
      <c r="F1226">
        <v>106</v>
      </c>
      <c r="G1226">
        <v>0</v>
      </c>
      <c r="H1226">
        <v>0</v>
      </c>
      <c r="I1226">
        <v>0</v>
      </c>
      <c r="J1226">
        <v>106</v>
      </c>
      <c r="K1226">
        <v>0</v>
      </c>
      <c r="L1226">
        <v>0</v>
      </c>
      <c r="M1226">
        <v>0</v>
      </c>
      <c r="N1226">
        <v>0</v>
      </c>
      <c r="O1226">
        <v>4</v>
      </c>
      <c r="P1226">
        <v>29</v>
      </c>
      <c r="Q1226">
        <v>52</v>
      </c>
      <c r="R1226">
        <v>81</v>
      </c>
      <c r="S1226">
        <v>81</v>
      </c>
      <c r="T1226">
        <v>23</v>
      </c>
      <c r="U1226">
        <v>18</v>
      </c>
      <c r="V1226">
        <v>14</v>
      </c>
      <c r="W1226">
        <v>0</v>
      </c>
      <c r="X1226">
        <v>0</v>
      </c>
    </row>
    <row r="1227" spans="1:24" x14ac:dyDescent="0.2">
      <c r="A1227">
        <v>9201100</v>
      </c>
      <c r="B1227" t="s">
        <v>1226</v>
      </c>
      <c r="C1227">
        <v>1100</v>
      </c>
      <c r="D1227">
        <v>1100</v>
      </c>
      <c r="E1227">
        <v>10000</v>
      </c>
      <c r="F1227">
        <v>105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29</v>
      </c>
      <c r="Q1227">
        <v>52</v>
      </c>
      <c r="R1227">
        <v>0</v>
      </c>
      <c r="S1227">
        <v>0</v>
      </c>
      <c r="T1227">
        <v>23</v>
      </c>
      <c r="U1227">
        <v>18</v>
      </c>
      <c r="V1227">
        <v>14</v>
      </c>
      <c r="W1227">
        <v>0</v>
      </c>
      <c r="X1227">
        <v>0</v>
      </c>
    </row>
    <row r="1228" spans="1:24" x14ac:dyDescent="0.2">
      <c r="A1228">
        <v>9201200</v>
      </c>
      <c r="B1228" t="s">
        <v>1227</v>
      </c>
      <c r="C1228">
        <v>1200</v>
      </c>
      <c r="D1228">
        <v>1200</v>
      </c>
      <c r="E1228">
        <v>10000</v>
      </c>
      <c r="F1228">
        <v>105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29</v>
      </c>
      <c r="Q1228">
        <v>52</v>
      </c>
      <c r="R1228">
        <v>0</v>
      </c>
      <c r="S1228">
        <v>0</v>
      </c>
      <c r="T1228">
        <v>23</v>
      </c>
      <c r="U1228">
        <v>18</v>
      </c>
      <c r="V1228">
        <v>14</v>
      </c>
      <c r="W1228">
        <v>0</v>
      </c>
      <c r="X1228">
        <v>0</v>
      </c>
    </row>
    <row r="1229" spans="1:24" x14ac:dyDescent="0.2">
      <c r="A1229">
        <v>9201300</v>
      </c>
      <c r="B1229" t="s">
        <v>1228</v>
      </c>
      <c r="C1229">
        <v>1300</v>
      </c>
      <c r="D1229">
        <v>1300</v>
      </c>
      <c r="E1229">
        <v>10000</v>
      </c>
      <c r="F1229">
        <v>121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29</v>
      </c>
      <c r="Q1229">
        <v>52</v>
      </c>
      <c r="R1229">
        <v>0</v>
      </c>
      <c r="S1229">
        <v>0</v>
      </c>
      <c r="T1229">
        <v>23</v>
      </c>
      <c r="U1229">
        <v>18</v>
      </c>
      <c r="V1229">
        <v>14</v>
      </c>
      <c r="W1229">
        <v>0</v>
      </c>
      <c r="X1229">
        <v>0</v>
      </c>
    </row>
    <row r="1230" spans="1:24" x14ac:dyDescent="0.2">
      <c r="A1230">
        <v>9201400</v>
      </c>
      <c r="B1230" t="s">
        <v>1229</v>
      </c>
      <c r="C1230">
        <v>1400</v>
      </c>
      <c r="D1230">
        <v>1400</v>
      </c>
      <c r="E1230">
        <v>10014</v>
      </c>
      <c r="F1230">
        <v>106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29</v>
      </c>
      <c r="Q1230">
        <v>52</v>
      </c>
      <c r="R1230">
        <v>0</v>
      </c>
      <c r="S1230">
        <v>81</v>
      </c>
      <c r="T1230">
        <v>23</v>
      </c>
      <c r="U1230">
        <v>18</v>
      </c>
      <c r="V1230">
        <v>14</v>
      </c>
      <c r="W1230">
        <v>0</v>
      </c>
      <c r="X1230">
        <v>0</v>
      </c>
    </row>
    <row r="1231" spans="1:24" x14ac:dyDescent="0.2">
      <c r="A1231">
        <v>9201500</v>
      </c>
      <c r="B1231" t="s">
        <v>1230</v>
      </c>
      <c r="C1231">
        <v>1500</v>
      </c>
      <c r="D1231">
        <v>1500</v>
      </c>
      <c r="E1231">
        <v>10015</v>
      </c>
      <c r="F1231">
        <v>105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29</v>
      </c>
      <c r="Q1231">
        <v>52</v>
      </c>
      <c r="R1231">
        <v>0</v>
      </c>
      <c r="S1231">
        <v>0</v>
      </c>
      <c r="T1231">
        <v>23</v>
      </c>
      <c r="U1231">
        <v>18</v>
      </c>
      <c r="V1231">
        <v>14</v>
      </c>
      <c r="W1231">
        <v>0</v>
      </c>
      <c r="X1231">
        <v>0</v>
      </c>
    </row>
    <row r="1232" spans="1:24" x14ac:dyDescent="0.2">
      <c r="A1232">
        <v>9220000</v>
      </c>
      <c r="B1232" t="s">
        <v>1231</v>
      </c>
      <c r="C1232">
        <v>2200</v>
      </c>
      <c r="D1232">
        <v>2200</v>
      </c>
      <c r="E1232">
        <v>10000</v>
      </c>
      <c r="F1232">
        <v>85</v>
      </c>
      <c r="G1232">
        <v>0</v>
      </c>
      <c r="H1232">
        <v>0</v>
      </c>
      <c r="I1232">
        <v>61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31</v>
      </c>
      <c r="Q1232">
        <v>60</v>
      </c>
      <c r="R1232">
        <v>0</v>
      </c>
      <c r="S1232">
        <v>26</v>
      </c>
      <c r="T1232">
        <v>28</v>
      </c>
      <c r="U1232">
        <v>20</v>
      </c>
      <c r="V1232">
        <v>20</v>
      </c>
      <c r="W1232">
        <v>0</v>
      </c>
      <c r="X1232">
        <v>0</v>
      </c>
    </row>
    <row r="1233" spans="1:24" x14ac:dyDescent="0.2">
      <c r="A1233">
        <v>9230000</v>
      </c>
      <c r="B1233" t="s">
        <v>1232</v>
      </c>
      <c r="C1233">
        <v>0</v>
      </c>
      <c r="D1233">
        <v>0</v>
      </c>
      <c r="E1233">
        <v>10000</v>
      </c>
      <c r="F1233">
        <v>106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60</v>
      </c>
      <c r="Q1233">
        <v>20</v>
      </c>
      <c r="R1233">
        <v>0</v>
      </c>
      <c r="S1233">
        <v>0</v>
      </c>
      <c r="T1233">
        <v>24</v>
      </c>
      <c r="U1233">
        <v>12</v>
      </c>
      <c r="V1233">
        <v>12</v>
      </c>
      <c r="W1233">
        <v>0</v>
      </c>
      <c r="X1233">
        <v>0</v>
      </c>
    </row>
    <row r="1234" spans="1:24" x14ac:dyDescent="0.2">
      <c r="A1234">
        <v>9230100</v>
      </c>
      <c r="B1234" t="s">
        <v>1233</v>
      </c>
      <c r="C1234">
        <v>200</v>
      </c>
      <c r="D1234">
        <v>100</v>
      </c>
      <c r="E1234">
        <v>10000</v>
      </c>
      <c r="F1234">
        <v>106</v>
      </c>
      <c r="G1234">
        <v>0</v>
      </c>
      <c r="H1234">
        <v>0</v>
      </c>
      <c r="I1234">
        <v>0</v>
      </c>
      <c r="J1234">
        <v>0</v>
      </c>
      <c r="K1234">
        <v>1</v>
      </c>
      <c r="L1234">
        <v>0</v>
      </c>
      <c r="M1234">
        <v>0</v>
      </c>
      <c r="N1234">
        <v>0</v>
      </c>
      <c r="O1234">
        <v>0</v>
      </c>
      <c r="P1234">
        <v>50</v>
      </c>
      <c r="Q1234">
        <v>0</v>
      </c>
      <c r="R1234">
        <v>0</v>
      </c>
      <c r="S1234">
        <v>0</v>
      </c>
      <c r="T1234">
        <v>24</v>
      </c>
      <c r="U1234">
        <v>12</v>
      </c>
      <c r="V1234">
        <v>12</v>
      </c>
      <c r="W1234">
        <v>0</v>
      </c>
      <c r="X1234">
        <v>0</v>
      </c>
    </row>
    <row r="1235" spans="1:24" x14ac:dyDescent="0.2">
      <c r="A1235">
        <v>9230200</v>
      </c>
      <c r="B1235" t="s">
        <v>1234</v>
      </c>
      <c r="C1235">
        <v>100</v>
      </c>
      <c r="D1235">
        <v>200</v>
      </c>
      <c r="E1235">
        <v>10000</v>
      </c>
      <c r="F1235">
        <v>106</v>
      </c>
      <c r="G1235">
        <v>0</v>
      </c>
      <c r="H1235">
        <v>0</v>
      </c>
      <c r="I1235">
        <v>0</v>
      </c>
      <c r="J1235">
        <v>0</v>
      </c>
      <c r="K1235">
        <v>2</v>
      </c>
      <c r="L1235">
        <v>0</v>
      </c>
      <c r="M1235">
        <v>0</v>
      </c>
      <c r="N1235">
        <v>0</v>
      </c>
      <c r="O1235">
        <v>0</v>
      </c>
      <c r="P1235">
        <v>12</v>
      </c>
      <c r="Q1235">
        <v>45</v>
      </c>
      <c r="R1235">
        <v>0</v>
      </c>
      <c r="S1235">
        <v>0</v>
      </c>
      <c r="T1235">
        <v>24</v>
      </c>
      <c r="U1235">
        <v>12</v>
      </c>
      <c r="V1235">
        <v>12</v>
      </c>
      <c r="W1235">
        <v>0</v>
      </c>
      <c r="X1235">
        <v>0</v>
      </c>
    </row>
    <row r="1236" spans="1:24" x14ac:dyDescent="0.2">
      <c r="A1236">
        <v>9230300</v>
      </c>
      <c r="B1236" t="s">
        <v>1235</v>
      </c>
      <c r="C1236">
        <v>300</v>
      </c>
      <c r="D1236">
        <v>300</v>
      </c>
      <c r="E1236">
        <v>10000</v>
      </c>
      <c r="F1236">
        <v>106</v>
      </c>
      <c r="G1236">
        <v>0</v>
      </c>
      <c r="H1236">
        <v>0</v>
      </c>
      <c r="I1236">
        <v>0</v>
      </c>
      <c r="J1236">
        <v>0</v>
      </c>
      <c r="K1236">
        <v>8</v>
      </c>
      <c r="L1236">
        <v>0</v>
      </c>
      <c r="M1236">
        <v>0</v>
      </c>
      <c r="N1236">
        <v>0</v>
      </c>
      <c r="O1236">
        <v>0</v>
      </c>
      <c r="P1236">
        <v>60</v>
      </c>
      <c r="Q1236">
        <v>40</v>
      </c>
      <c r="R1236">
        <v>0</v>
      </c>
      <c r="S1236">
        <v>0</v>
      </c>
      <c r="T1236">
        <v>24</v>
      </c>
      <c r="U1236">
        <v>12</v>
      </c>
      <c r="V1236">
        <v>12</v>
      </c>
      <c r="W1236">
        <v>0</v>
      </c>
      <c r="X1236">
        <v>0</v>
      </c>
    </row>
    <row r="1237" spans="1:24" x14ac:dyDescent="0.2">
      <c r="A1237">
        <v>9230400</v>
      </c>
      <c r="B1237" t="s">
        <v>1236</v>
      </c>
      <c r="C1237">
        <v>500</v>
      </c>
      <c r="D1237">
        <v>500</v>
      </c>
      <c r="E1237">
        <v>10000</v>
      </c>
      <c r="F1237">
        <v>101</v>
      </c>
      <c r="G1237">
        <v>101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60</v>
      </c>
      <c r="Q1237">
        <v>20</v>
      </c>
      <c r="R1237">
        <v>80</v>
      </c>
      <c r="S1237">
        <v>0</v>
      </c>
      <c r="T1237">
        <v>24</v>
      </c>
      <c r="U1237">
        <v>12</v>
      </c>
      <c r="V1237">
        <v>12</v>
      </c>
      <c r="W1237">
        <v>0</v>
      </c>
      <c r="X1237">
        <v>0</v>
      </c>
    </row>
    <row r="1238" spans="1:24" x14ac:dyDescent="0.2">
      <c r="A1238">
        <v>9230500</v>
      </c>
      <c r="B1238" t="s">
        <v>1237</v>
      </c>
      <c r="C1238">
        <v>400</v>
      </c>
      <c r="D1238">
        <v>400</v>
      </c>
      <c r="E1238">
        <v>10000</v>
      </c>
      <c r="F1238">
        <v>101</v>
      </c>
      <c r="G1238">
        <v>101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60</v>
      </c>
      <c r="Q1238">
        <v>20</v>
      </c>
      <c r="R1238">
        <v>80</v>
      </c>
      <c r="S1238">
        <v>0</v>
      </c>
      <c r="T1238">
        <v>24</v>
      </c>
      <c r="U1238">
        <v>12</v>
      </c>
      <c r="V1238">
        <v>12</v>
      </c>
      <c r="W1238">
        <v>0</v>
      </c>
      <c r="X1238">
        <v>0</v>
      </c>
    </row>
    <row r="1239" spans="1:24" x14ac:dyDescent="0.2">
      <c r="A1239">
        <v>9230600</v>
      </c>
      <c r="B1239" t="s">
        <v>1238</v>
      </c>
      <c r="C1239">
        <v>600</v>
      </c>
      <c r="D1239">
        <v>600</v>
      </c>
      <c r="E1239">
        <v>10000</v>
      </c>
      <c r="F1239">
        <v>106</v>
      </c>
      <c r="G1239">
        <v>0</v>
      </c>
      <c r="H1239">
        <v>106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60</v>
      </c>
      <c r="Q1239">
        <v>20</v>
      </c>
      <c r="R1239">
        <v>0</v>
      </c>
      <c r="S1239">
        <v>0</v>
      </c>
      <c r="T1239">
        <v>24</v>
      </c>
      <c r="U1239">
        <v>12</v>
      </c>
      <c r="V1239">
        <v>12</v>
      </c>
      <c r="W1239">
        <v>0</v>
      </c>
      <c r="X1239">
        <v>0</v>
      </c>
    </row>
    <row r="1240" spans="1:24" x14ac:dyDescent="0.2">
      <c r="A1240">
        <v>9230700</v>
      </c>
      <c r="B1240" t="s">
        <v>1239</v>
      </c>
      <c r="C1240">
        <v>700</v>
      </c>
      <c r="D1240">
        <v>700</v>
      </c>
      <c r="E1240">
        <v>10000</v>
      </c>
      <c r="F1240">
        <v>101</v>
      </c>
      <c r="G1240">
        <v>0</v>
      </c>
      <c r="H1240">
        <v>101</v>
      </c>
      <c r="I1240">
        <v>0</v>
      </c>
      <c r="J1240">
        <v>0</v>
      </c>
      <c r="K1240">
        <v>0</v>
      </c>
      <c r="L1240">
        <v>0</v>
      </c>
      <c r="M1240">
        <v>4</v>
      </c>
      <c r="N1240">
        <v>0</v>
      </c>
      <c r="O1240">
        <v>0</v>
      </c>
      <c r="P1240">
        <v>60</v>
      </c>
      <c r="Q1240">
        <v>20</v>
      </c>
      <c r="R1240">
        <v>80</v>
      </c>
      <c r="S1240">
        <v>80</v>
      </c>
      <c r="T1240">
        <v>24</v>
      </c>
      <c r="U1240">
        <v>12</v>
      </c>
      <c r="V1240">
        <v>12</v>
      </c>
      <c r="W1240">
        <v>0</v>
      </c>
      <c r="X1240">
        <v>0</v>
      </c>
    </row>
    <row r="1241" spans="1:24" x14ac:dyDescent="0.2">
      <c r="A1241">
        <v>9230800</v>
      </c>
      <c r="B1241" t="s">
        <v>1240</v>
      </c>
      <c r="C1241">
        <v>800</v>
      </c>
      <c r="D1241">
        <v>800</v>
      </c>
      <c r="E1241">
        <v>10000</v>
      </c>
      <c r="F1241">
        <v>101</v>
      </c>
      <c r="G1241">
        <v>0</v>
      </c>
      <c r="H1241">
        <v>0</v>
      </c>
      <c r="I1241">
        <v>101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60</v>
      </c>
      <c r="Q1241">
        <v>20</v>
      </c>
      <c r="R1241">
        <v>0</v>
      </c>
      <c r="S1241">
        <v>80</v>
      </c>
      <c r="T1241">
        <v>24</v>
      </c>
      <c r="U1241">
        <v>12</v>
      </c>
      <c r="V1241">
        <v>12</v>
      </c>
      <c r="W1241">
        <v>0</v>
      </c>
      <c r="X1241">
        <v>0</v>
      </c>
    </row>
    <row r="1242" spans="1:24" x14ac:dyDescent="0.2">
      <c r="A1242">
        <v>9230900</v>
      </c>
      <c r="B1242" t="s">
        <v>1241</v>
      </c>
      <c r="C1242">
        <v>900</v>
      </c>
      <c r="D1242">
        <v>900</v>
      </c>
      <c r="E1242">
        <v>10000</v>
      </c>
      <c r="F1242">
        <v>106</v>
      </c>
      <c r="G1242">
        <v>0</v>
      </c>
      <c r="H1242">
        <v>0</v>
      </c>
      <c r="I1242">
        <v>0</v>
      </c>
      <c r="J1242">
        <v>106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60</v>
      </c>
      <c r="Q1242">
        <v>20</v>
      </c>
      <c r="R1242">
        <v>0</v>
      </c>
      <c r="S1242">
        <v>0</v>
      </c>
      <c r="T1242">
        <v>24</v>
      </c>
      <c r="U1242">
        <v>12</v>
      </c>
      <c r="V1242">
        <v>12</v>
      </c>
      <c r="W1242">
        <v>0</v>
      </c>
      <c r="X1242">
        <v>0</v>
      </c>
    </row>
    <row r="1243" spans="1:24" x14ac:dyDescent="0.2">
      <c r="A1243">
        <v>9231000</v>
      </c>
      <c r="B1243" t="s">
        <v>1242</v>
      </c>
      <c r="C1243">
        <v>1000</v>
      </c>
      <c r="D1243">
        <v>1000</v>
      </c>
      <c r="E1243">
        <v>10000</v>
      </c>
      <c r="F1243">
        <v>101</v>
      </c>
      <c r="G1243">
        <v>0</v>
      </c>
      <c r="H1243">
        <v>0</v>
      </c>
      <c r="I1243">
        <v>0</v>
      </c>
      <c r="J1243">
        <v>101</v>
      </c>
      <c r="K1243">
        <v>0</v>
      </c>
      <c r="L1243">
        <v>0</v>
      </c>
      <c r="M1243">
        <v>0</v>
      </c>
      <c r="N1243">
        <v>0</v>
      </c>
      <c r="O1243">
        <v>4</v>
      </c>
      <c r="P1243">
        <v>60</v>
      </c>
      <c r="Q1243">
        <v>20</v>
      </c>
      <c r="R1243">
        <v>80</v>
      </c>
      <c r="S1243">
        <v>80</v>
      </c>
      <c r="T1243">
        <v>24</v>
      </c>
      <c r="U1243">
        <v>12</v>
      </c>
      <c r="V1243">
        <v>12</v>
      </c>
      <c r="W1243">
        <v>0</v>
      </c>
      <c r="X1243">
        <v>0</v>
      </c>
    </row>
    <row r="1244" spans="1:24" x14ac:dyDescent="0.2">
      <c r="A1244">
        <v>9231100</v>
      </c>
      <c r="B1244" t="s">
        <v>1243</v>
      </c>
      <c r="C1244">
        <v>1100</v>
      </c>
      <c r="D1244">
        <v>1100</v>
      </c>
      <c r="E1244">
        <v>10000</v>
      </c>
      <c r="F1244">
        <v>106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60</v>
      </c>
      <c r="Q1244">
        <v>20</v>
      </c>
      <c r="R1244">
        <v>0</v>
      </c>
      <c r="S1244">
        <v>0</v>
      </c>
      <c r="T1244">
        <v>24</v>
      </c>
      <c r="U1244">
        <v>12</v>
      </c>
      <c r="V1244">
        <v>12</v>
      </c>
      <c r="W1244">
        <v>0</v>
      </c>
      <c r="X1244">
        <v>0</v>
      </c>
    </row>
    <row r="1245" spans="1:24" x14ac:dyDescent="0.2">
      <c r="A1245">
        <v>9231200</v>
      </c>
      <c r="B1245" t="s">
        <v>1244</v>
      </c>
      <c r="C1245">
        <v>1200</v>
      </c>
      <c r="D1245">
        <v>1200</v>
      </c>
      <c r="E1245">
        <v>10000</v>
      </c>
      <c r="F1245">
        <v>106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60</v>
      </c>
      <c r="Q1245">
        <v>20</v>
      </c>
      <c r="R1245">
        <v>0</v>
      </c>
      <c r="S1245">
        <v>0</v>
      </c>
      <c r="T1245">
        <v>24</v>
      </c>
      <c r="U1245">
        <v>12</v>
      </c>
      <c r="V1245">
        <v>12</v>
      </c>
      <c r="W1245">
        <v>0</v>
      </c>
      <c r="X1245">
        <v>0</v>
      </c>
    </row>
    <row r="1246" spans="1:24" x14ac:dyDescent="0.2">
      <c r="A1246">
        <v>9231300</v>
      </c>
      <c r="B1246" t="s">
        <v>1245</v>
      </c>
      <c r="C1246">
        <v>1300</v>
      </c>
      <c r="D1246">
        <v>1300</v>
      </c>
      <c r="E1246">
        <v>10000</v>
      </c>
      <c r="F1246">
        <v>116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60</v>
      </c>
      <c r="Q1246">
        <v>20</v>
      </c>
      <c r="R1246">
        <v>0</v>
      </c>
      <c r="S1246">
        <v>0</v>
      </c>
      <c r="T1246">
        <v>24</v>
      </c>
      <c r="U1246">
        <v>12</v>
      </c>
      <c r="V1246">
        <v>12</v>
      </c>
      <c r="W1246">
        <v>0</v>
      </c>
      <c r="X1246">
        <v>0</v>
      </c>
    </row>
    <row r="1247" spans="1:24" x14ac:dyDescent="0.2">
      <c r="A1247">
        <v>9231400</v>
      </c>
      <c r="B1247" t="s">
        <v>1246</v>
      </c>
      <c r="C1247">
        <v>1400</v>
      </c>
      <c r="D1247">
        <v>1400</v>
      </c>
      <c r="E1247">
        <v>10014</v>
      </c>
      <c r="F1247">
        <v>101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60</v>
      </c>
      <c r="Q1247">
        <v>20</v>
      </c>
      <c r="R1247">
        <v>0</v>
      </c>
      <c r="S1247">
        <v>80</v>
      </c>
      <c r="T1247">
        <v>24</v>
      </c>
      <c r="U1247">
        <v>12</v>
      </c>
      <c r="V1247">
        <v>12</v>
      </c>
      <c r="W1247">
        <v>0</v>
      </c>
      <c r="X1247">
        <v>0</v>
      </c>
    </row>
    <row r="1248" spans="1:24" x14ac:dyDescent="0.2">
      <c r="A1248">
        <v>9231500</v>
      </c>
      <c r="B1248" t="s">
        <v>1247</v>
      </c>
      <c r="C1248">
        <v>1500</v>
      </c>
      <c r="D1248">
        <v>1500</v>
      </c>
      <c r="E1248">
        <v>10015</v>
      </c>
      <c r="F1248">
        <v>106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60</v>
      </c>
      <c r="Q1248">
        <v>20</v>
      </c>
      <c r="R1248">
        <v>0</v>
      </c>
      <c r="S1248">
        <v>0</v>
      </c>
      <c r="T1248">
        <v>24</v>
      </c>
      <c r="U1248">
        <v>12</v>
      </c>
      <c r="V1248">
        <v>12</v>
      </c>
      <c r="W1248">
        <v>0</v>
      </c>
      <c r="X1248">
        <v>0</v>
      </c>
    </row>
    <row r="1249" spans="1:24" x14ac:dyDescent="0.2">
      <c r="A1249">
        <v>9240000</v>
      </c>
      <c r="B1249" t="s">
        <v>1248</v>
      </c>
      <c r="C1249">
        <v>2200</v>
      </c>
      <c r="D1249">
        <v>4600</v>
      </c>
      <c r="E1249">
        <v>10000</v>
      </c>
      <c r="F1249">
        <v>110</v>
      </c>
      <c r="G1249">
        <v>0</v>
      </c>
      <c r="H1249">
        <v>11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48</v>
      </c>
      <c r="Q1249">
        <v>27</v>
      </c>
      <c r="R1249">
        <v>11</v>
      </c>
      <c r="S1249">
        <v>11</v>
      </c>
      <c r="T1249">
        <v>23</v>
      </c>
      <c r="U1249">
        <v>15</v>
      </c>
      <c r="V1249">
        <v>17</v>
      </c>
      <c r="W1249">
        <v>0</v>
      </c>
      <c r="X1249">
        <v>0</v>
      </c>
    </row>
    <row r="1250" spans="1:24" x14ac:dyDescent="0.2">
      <c r="A1250">
        <v>9250000</v>
      </c>
      <c r="B1250" t="s">
        <v>1249</v>
      </c>
      <c r="C1250">
        <v>0</v>
      </c>
      <c r="D1250">
        <v>0</v>
      </c>
      <c r="E1250">
        <v>10000</v>
      </c>
      <c r="F1250">
        <v>100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45</v>
      </c>
      <c r="Q1250">
        <v>40</v>
      </c>
      <c r="R1250">
        <v>0</v>
      </c>
      <c r="S1250">
        <v>0</v>
      </c>
      <c r="T1250">
        <v>25</v>
      </c>
      <c r="U1250">
        <v>14</v>
      </c>
      <c r="V1250">
        <v>14</v>
      </c>
      <c r="W1250">
        <v>0</v>
      </c>
      <c r="X1250">
        <v>0</v>
      </c>
    </row>
    <row r="1251" spans="1:24" x14ac:dyDescent="0.2">
      <c r="A1251">
        <v>9250100</v>
      </c>
      <c r="B1251" t="s">
        <v>1250</v>
      </c>
      <c r="C1251">
        <v>200</v>
      </c>
      <c r="D1251">
        <v>100</v>
      </c>
      <c r="E1251">
        <v>10000</v>
      </c>
      <c r="F1251">
        <v>100</v>
      </c>
      <c r="G1251">
        <v>0</v>
      </c>
      <c r="H1251">
        <v>0</v>
      </c>
      <c r="I1251">
        <v>0</v>
      </c>
      <c r="J1251">
        <v>0</v>
      </c>
      <c r="K1251">
        <v>1</v>
      </c>
      <c r="L1251">
        <v>0</v>
      </c>
      <c r="M1251">
        <v>0</v>
      </c>
      <c r="N1251">
        <v>0</v>
      </c>
      <c r="O1251">
        <v>0</v>
      </c>
      <c r="P1251">
        <v>45</v>
      </c>
      <c r="Q1251">
        <v>0</v>
      </c>
      <c r="R1251">
        <v>0</v>
      </c>
      <c r="S1251">
        <v>0</v>
      </c>
      <c r="T1251">
        <v>25</v>
      </c>
      <c r="U1251">
        <v>14</v>
      </c>
      <c r="V1251">
        <v>14</v>
      </c>
      <c r="W1251">
        <v>0</v>
      </c>
      <c r="X1251">
        <v>0</v>
      </c>
    </row>
    <row r="1252" spans="1:24" x14ac:dyDescent="0.2">
      <c r="A1252">
        <v>9250200</v>
      </c>
      <c r="B1252" t="s">
        <v>1251</v>
      </c>
      <c r="C1252">
        <v>100</v>
      </c>
      <c r="D1252">
        <v>200</v>
      </c>
      <c r="E1252">
        <v>10000</v>
      </c>
      <c r="F1252">
        <v>100</v>
      </c>
      <c r="G1252">
        <v>0</v>
      </c>
      <c r="H1252">
        <v>0</v>
      </c>
      <c r="I1252">
        <v>0</v>
      </c>
      <c r="J1252">
        <v>0</v>
      </c>
      <c r="K1252">
        <v>2</v>
      </c>
      <c r="L1252">
        <v>0</v>
      </c>
      <c r="M1252">
        <v>0</v>
      </c>
      <c r="N1252">
        <v>0</v>
      </c>
      <c r="O1252">
        <v>0</v>
      </c>
      <c r="P1252">
        <v>22</v>
      </c>
      <c r="Q1252">
        <v>46</v>
      </c>
      <c r="R1252">
        <v>0</v>
      </c>
      <c r="S1252">
        <v>0</v>
      </c>
      <c r="T1252">
        <v>25</v>
      </c>
      <c r="U1252">
        <v>14</v>
      </c>
      <c r="V1252">
        <v>14</v>
      </c>
      <c r="W1252">
        <v>0</v>
      </c>
      <c r="X1252">
        <v>0</v>
      </c>
    </row>
    <row r="1253" spans="1:24" x14ac:dyDescent="0.2">
      <c r="A1253">
        <v>9250300</v>
      </c>
      <c r="B1253" t="s">
        <v>1252</v>
      </c>
      <c r="C1253">
        <v>300</v>
      </c>
      <c r="D1253">
        <v>300</v>
      </c>
      <c r="E1253">
        <v>10000</v>
      </c>
      <c r="F1253">
        <v>100</v>
      </c>
      <c r="G1253">
        <v>0</v>
      </c>
      <c r="H1253">
        <v>0</v>
      </c>
      <c r="I1253">
        <v>0</v>
      </c>
      <c r="J1253">
        <v>0</v>
      </c>
      <c r="K1253">
        <v>8</v>
      </c>
      <c r="L1253">
        <v>0</v>
      </c>
      <c r="M1253">
        <v>0</v>
      </c>
      <c r="N1253">
        <v>0</v>
      </c>
      <c r="O1253">
        <v>0</v>
      </c>
      <c r="P1253">
        <v>52</v>
      </c>
      <c r="Q1253">
        <v>52</v>
      </c>
      <c r="R1253">
        <v>0</v>
      </c>
      <c r="S1253">
        <v>0</v>
      </c>
      <c r="T1253">
        <v>25</v>
      </c>
      <c r="U1253">
        <v>14</v>
      </c>
      <c r="V1253">
        <v>14</v>
      </c>
      <c r="W1253">
        <v>0</v>
      </c>
      <c r="X1253">
        <v>0</v>
      </c>
    </row>
    <row r="1254" spans="1:24" x14ac:dyDescent="0.2">
      <c r="A1254">
        <v>9250400</v>
      </c>
      <c r="B1254" t="s">
        <v>1253</v>
      </c>
      <c r="C1254">
        <v>500</v>
      </c>
      <c r="D1254">
        <v>500</v>
      </c>
      <c r="E1254">
        <v>10000</v>
      </c>
      <c r="F1254">
        <v>100</v>
      </c>
      <c r="G1254">
        <v>100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45</v>
      </c>
      <c r="Q1254">
        <v>40</v>
      </c>
      <c r="R1254">
        <v>85</v>
      </c>
      <c r="S1254">
        <v>0</v>
      </c>
      <c r="T1254">
        <v>25</v>
      </c>
      <c r="U1254">
        <v>14</v>
      </c>
      <c r="V1254">
        <v>14</v>
      </c>
      <c r="W1254">
        <v>0</v>
      </c>
      <c r="X1254">
        <v>0</v>
      </c>
    </row>
    <row r="1255" spans="1:24" x14ac:dyDescent="0.2">
      <c r="A1255">
        <v>9250500</v>
      </c>
      <c r="B1255" t="s">
        <v>1254</v>
      </c>
      <c r="C1255">
        <v>400</v>
      </c>
      <c r="D1255">
        <v>400</v>
      </c>
      <c r="E1255">
        <v>10000</v>
      </c>
      <c r="F1255">
        <v>100</v>
      </c>
      <c r="G1255">
        <v>100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45</v>
      </c>
      <c r="Q1255">
        <v>40</v>
      </c>
      <c r="R1255">
        <v>85</v>
      </c>
      <c r="S1255">
        <v>0</v>
      </c>
      <c r="T1255">
        <v>25</v>
      </c>
      <c r="U1255">
        <v>14</v>
      </c>
      <c r="V1255">
        <v>14</v>
      </c>
      <c r="W1255">
        <v>0</v>
      </c>
      <c r="X1255">
        <v>0</v>
      </c>
    </row>
    <row r="1256" spans="1:24" x14ac:dyDescent="0.2">
      <c r="A1256">
        <v>9250600</v>
      </c>
      <c r="B1256" t="s">
        <v>1255</v>
      </c>
      <c r="C1256">
        <v>600</v>
      </c>
      <c r="D1256">
        <v>600</v>
      </c>
      <c r="E1256">
        <v>10000</v>
      </c>
      <c r="F1256">
        <v>100</v>
      </c>
      <c r="G1256">
        <v>0</v>
      </c>
      <c r="H1256">
        <v>100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45</v>
      </c>
      <c r="Q1256">
        <v>40</v>
      </c>
      <c r="R1256">
        <v>0</v>
      </c>
      <c r="S1256">
        <v>0</v>
      </c>
      <c r="T1256">
        <v>25</v>
      </c>
      <c r="U1256">
        <v>14</v>
      </c>
      <c r="V1256">
        <v>14</v>
      </c>
      <c r="W1256">
        <v>0</v>
      </c>
      <c r="X1256">
        <v>0</v>
      </c>
    </row>
    <row r="1257" spans="1:24" x14ac:dyDescent="0.2">
      <c r="A1257">
        <v>9250700</v>
      </c>
      <c r="B1257" t="s">
        <v>1256</v>
      </c>
      <c r="C1257">
        <v>700</v>
      </c>
      <c r="D1257">
        <v>700</v>
      </c>
      <c r="E1257">
        <v>10000</v>
      </c>
      <c r="F1257">
        <v>100</v>
      </c>
      <c r="G1257">
        <v>0</v>
      </c>
      <c r="H1257">
        <v>100</v>
      </c>
      <c r="I1257">
        <v>0</v>
      </c>
      <c r="J1257">
        <v>0</v>
      </c>
      <c r="K1257">
        <v>0</v>
      </c>
      <c r="L1257">
        <v>0</v>
      </c>
      <c r="M1257">
        <v>4</v>
      </c>
      <c r="N1257">
        <v>0</v>
      </c>
      <c r="O1257">
        <v>0</v>
      </c>
      <c r="P1257">
        <v>45</v>
      </c>
      <c r="Q1257">
        <v>40</v>
      </c>
      <c r="R1257">
        <v>85</v>
      </c>
      <c r="S1257">
        <v>85</v>
      </c>
      <c r="T1257">
        <v>25</v>
      </c>
      <c r="U1257">
        <v>14</v>
      </c>
      <c r="V1257">
        <v>14</v>
      </c>
      <c r="W1257">
        <v>0</v>
      </c>
      <c r="X1257">
        <v>0</v>
      </c>
    </row>
    <row r="1258" spans="1:24" x14ac:dyDescent="0.2">
      <c r="A1258">
        <v>9250800</v>
      </c>
      <c r="B1258" t="s">
        <v>1257</v>
      </c>
      <c r="C1258">
        <v>800</v>
      </c>
      <c r="D1258">
        <v>800</v>
      </c>
      <c r="E1258">
        <v>10000</v>
      </c>
      <c r="F1258">
        <v>100</v>
      </c>
      <c r="G1258">
        <v>0</v>
      </c>
      <c r="H1258">
        <v>0</v>
      </c>
      <c r="I1258">
        <v>100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45</v>
      </c>
      <c r="Q1258">
        <v>40</v>
      </c>
      <c r="R1258">
        <v>0</v>
      </c>
      <c r="S1258">
        <v>85</v>
      </c>
      <c r="T1258">
        <v>25</v>
      </c>
      <c r="U1258">
        <v>14</v>
      </c>
      <c r="V1258">
        <v>14</v>
      </c>
      <c r="W1258">
        <v>0</v>
      </c>
      <c r="X1258">
        <v>0</v>
      </c>
    </row>
    <row r="1259" spans="1:24" x14ac:dyDescent="0.2">
      <c r="A1259">
        <v>9250900</v>
      </c>
      <c r="B1259" t="s">
        <v>1258</v>
      </c>
      <c r="C1259">
        <v>900</v>
      </c>
      <c r="D1259">
        <v>900</v>
      </c>
      <c r="E1259">
        <v>10000</v>
      </c>
      <c r="F1259">
        <v>100</v>
      </c>
      <c r="G1259">
        <v>0</v>
      </c>
      <c r="H1259">
        <v>0</v>
      </c>
      <c r="I1259">
        <v>0</v>
      </c>
      <c r="J1259">
        <v>100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45</v>
      </c>
      <c r="Q1259">
        <v>40</v>
      </c>
      <c r="R1259">
        <v>0</v>
      </c>
      <c r="S1259">
        <v>0</v>
      </c>
      <c r="T1259">
        <v>25</v>
      </c>
      <c r="U1259">
        <v>14</v>
      </c>
      <c r="V1259">
        <v>14</v>
      </c>
      <c r="W1259">
        <v>0</v>
      </c>
      <c r="X1259">
        <v>0</v>
      </c>
    </row>
    <row r="1260" spans="1:24" x14ac:dyDescent="0.2">
      <c r="A1260">
        <v>9251000</v>
      </c>
      <c r="B1260" t="s">
        <v>1259</v>
      </c>
      <c r="C1260">
        <v>1000</v>
      </c>
      <c r="D1260">
        <v>1000</v>
      </c>
      <c r="E1260">
        <v>10000</v>
      </c>
      <c r="F1260">
        <v>100</v>
      </c>
      <c r="G1260">
        <v>0</v>
      </c>
      <c r="H1260">
        <v>0</v>
      </c>
      <c r="I1260">
        <v>0</v>
      </c>
      <c r="J1260">
        <v>100</v>
      </c>
      <c r="K1260">
        <v>0</v>
      </c>
      <c r="L1260">
        <v>0</v>
      </c>
      <c r="M1260">
        <v>0</v>
      </c>
      <c r="N1260">
        <v>0</v>
      </c>
      <c r="O1260">
        <v>4</v>
      </c>
      <c r="P1260">
        <v>45</v>
      </c>
      <c r="Q1260">
        <v>40</v>
      </c>
      <c r="R1260">
        <v>85</v>
      </c>
      <c r="S1260">
        <v>85</v>
      </c>
      <c r="T1260">
        <v>25</v>
      </c>
      <c r="U1260">
        <v>14</v>
      </c>
      <c r="V1260">
        <v>14</v>
      </c>
      <c r="W1260">
        <v>0</v>
      </c>
      <c r="X1260">
        <v>0</v>
      </c>
    </row>
    <row r="1261" spans="1:24" x14ac:dyDescent="0.2">
      <c r="A1261">
        <v>9251100</v>
      </c>
      <c r="B1261" t="s">
        <v>1260</v>
      </c>
      <c r="C1261">
        <v>1100</v>
      </c>
      <c r="D1261">
        <v>1100</v>
      </c>
      <c r="E1261">
        <v>10000</v>
      </c>
      <c r="F1261">
        <v>100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45</v>
      </c>
      <c r="Q1261">
        <v>40</v>
      </c>
      <c r="R1261">
        <v>0</v>
      </c>
      <c r="S1261">
        <v>0</v>
      </c>
      <c r="T1261">
        <v>25</v>
      </c>
      <c r="U1261">
        <v>14</v>
      </c>
      <c r="V1261">
        <v>14</v>
      </c>
      <c r="W1261">
        <v>0</v>
      </c>
      <c r="X1261">
        <v>0</v>
      </c>
    </row>
    <row r="1262" spans="1:24" x14ac:dyDescent="0.2">
      <c r="A1262">
        <v>9251200</v>
      </c>
      <c r="B1262" t="s">
        <v>1261</v>
      </c>
      <c r="C1262">
        <v>1200</v>
      </c>
      <c r="D1262">
        <v>1200</v>
      </c>
      <c r="E1262">
        <v>10000</v>
      </c>
      <c r="F1262">
        <v>100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45</v>
      </c>
      <c r="Q1262">
        <v>40</v>
      </c>
      <c r="R1262">
        <v>0</v>
      </c>
      <c r="S1262">
        <v>0</v>
      </c>
      <c r="T1262">
        <v>25</v>
      </c>
      <c r="U1262">
        <v>14</v>
      </c>
      <c r="V1262">
        <v>14</v>
      </c>
      <c r="W1262">
        <v>0</v>
      </c>
      <c r="X1262">
        <v>0</v>
      </c>
    </row>
    <row r="1263" spans="1:24" x14ac:dyDescent="0.2">
      <c r="A1263">
        <v>9251300</v>
      </c>
      <c r="B1263" t="s">
        <v>1262</v>
      </c>
      <c r="C1263">
        <v>1300</v>
      </c>
      <c r="D1263">
        <v>1300</v>
      </c>
      <c r="E1263">
        <v>10000</v>
      </c>
      <c r="F1263">
        <v>110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45</v>
      </c>
      <c r="Q1263">
        <v>40</v>
      </c>
      <c r="R1263">
        <v>0</v>
      </c>
      <c r="S1263">
        <v>0</v>
      </c>
      <c r="T1263">
        <v>25</v>
      </c>
      <c r="U1263">
        <v>14</v>
      </c>
      <c r="V1263">
        <v>14</v>
      </c>
      <c r="W1263">
        <v>0</v>
      </c>
      <c r="X1263">
        <v>0</v>
      </c>
    </row>
    <row r="1264" spans="1:24" x14ac:dyDescent="0.2">
      <c r="A1264">
        <v>9251400</v>
      </c>
      <c r="B1264" t="s">
        <v>1263</v>
      </c>
      <c r="C1264">
        <v>1400</v>
      </c>
      <c r="D1264">
        <v>1400</v>
      </c>
      <c r="E1264">
        <v>10014</v>
      </c>
      <c r="F1264">
        <v>100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45</v>
      </c>
      <c r="Q1264">
        <v>40</v>
      </c>
      <c r="R1264">
        <v>0</v>
      </c>
      <c r="S1264">
        <v>85</v>
      </c>
      <c r="T1264">
        <v>25</v>
      </c>
      <c r="U1264">
        <v>14</v>
      </c>
      <c r="V1264">
        <v>14</v>
      </c>
      <c r="W1264">
        <v>0</v>
      </c>
      <c r="X1264">
        <v>0</v>
      </c>
    </row>
    <row r="1265" spans="1:24" x14ac:dyDescent="0.2">
      <c r="A1265">
        <v>9251500</v>
      </c>
      <c r="B1265" t="s">
        <v>1264</v>
      </c>
      <c r="C1265">
        <v>1500</v>
      </c>
      <c r="D1265">
        <v>1500</v>
      </c>
      <c r="E1265">
        <v>10015</v>
      </c>
      <c r="F1265">
        <v>100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45</v>
      </c>
      <c r="Q1265">
        <v>40</v>
      </c>
      <c r="R1265">
        <v>0</v>
      </c>
      <c r="S1265">
        <v>0</v>
      </c>
      <c r="T1265">
        <v>25</v>
      </c>
      <c r="U1265">
        <v>14</v>
      </c>
      <c r="V1265">
        <v>14</v>
      </c>
      <c r="W1265">
        <v>0</v>
      </c>
      <c r="X1265">
        <v>0</v>
      </c>
    </row>
    <row r="1266" spans="1:24" x14ac:dyDescent="0.2">
      <c r="A1266">
        <v>9260000</v>
      </c>
      <c r="B1266" t="s">
        <v>1265</v>
      </c>
      <c r="C1266">
        <v>2200</v>
      </c>
      <c r="D1266">
        <v>4600</v>
      </c>
      <c r="E1266">
        <v>12000</v>
      </c>
      <c r="F1266">
        <v>108</v>
      </c>
      <c r="G1266">
        <v>0</v>
      </c>
      <c r="H1266">
        <v>0</v>
      </c>
      <c r="I1266">
        <v>0</v>
      </c>
      <c r="J1266">
        <v>65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40</v>
      </c>
      <c r="Q1266">
        <v>0</v>
      </c>
      <c r="R1266">
        <v>8</v>
      </c>
      <c r="S1266">
        <v>32</v>
      </c>
      <c r="T1266">
        <v>12</v>
      </c>
      <c r="U1266">
        <v>19</v>
      </c>
      <c r="V1266">
        <v>0</v>
      </c>
      <c r="W1266">
        <v>10</v>
      </c>
      <c r="X1266">
        <v>14</v>
      </c>
    </row>
    <row r="1267" spans="1:24" x14ac:dyDescent="0.2">
      <c r="A1267">
        <v>10000000</v>
      </c>
      <c r="B1267" t="s">
        <v>1266</v>
      </c>
      <c r="C1267">
        <v>0</v>
      </c>
      <c r="D1267">
        <v>0</v>
      </c>
      <c r="E1267">
        <v>10000</v>
      </c>
      <c r="F1267">
        <v>105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20</v>
      </c>
      <c r="Q1267">
        <v>60</v>
      </c>
      <c r="R1267">
        <v>0</v>
      </c>
      <c r="S1267">
        <v>0</v>
      </c>
      <c r="T1267">
        <v>25</v>
      </c>
      <c r="U1267">
        <v>14</v>
      </c>
      <c r="V1267">
        <v>14</v>
      </c>
      <c r="W1267">
        <v>0</v>
      </c>
      <c r="X1267">
        <v>0</v>
      </c>
    </row>
    <row r="1268" spans="1:24" x14ac:dyDescent="0.2">
      <c r="A1268">
        <v>10000100</v>
      </c>
      <c r="B1268" t="s">
        <v>1267</v>
      </c>
      <c r="C1268">
        <v>200</v>
      </c>
      <c r="D1268">
        <v>100</v>
      </c>
      <c r="E1268">
        <v>10000</v>
      </c>
      <c r="F1268">
        <v>105</v>
      </c>
      <c r="G1268">
        <v>0</v>
      </c>
      <c r="H1268">
        <v>0</v>
      </c>
      <c r="I1268">
        <v>0</v>
      </c>
      <c r="J1268">
        <v>0</v>
      </c>
      <c r="K1268">
        <v>1</v>
      </c>
      <c r="L1268">
        <v>0</v>
      </c>
      <c r="M1268">
        <v>0</v>
      </c>
      <c r="N1268">
        <v>0</v>
      </c>
      <c r="O1268">
        <v>0</v>
      </c>
      <c r="P1268">
        <v>40</v>
      </c>
      <c r="Q1268">
        <v>0</v>
      </c>
      <c r="R1268">
        <v>0</v>
      </c>
      <c r="S1268">
        <v>0</v>
      </c>
      <c r="T1268">
        <v>25</v>
      </c>
      <c r="U1268">
        <v>14</v>
      </c>
      <c r="V1268">
        <v>14</v>
      </c>
      <c r="W1268">
        <v>0</v>
      </c>
      <c r="X1268">
        <v>0</v>
      </c>
    </row>
    <row r="1269" spans="1:24" x14ac:dyDescent="0.2">
      <c r="A1269">
        <v>10000200</v>
      </c>
      <c r="B1269" t="s">
        <v>1268</v>
      </c>
      <c r="C1269">
        <v>100</v>
      </c>
      <c r="D1269">
        <v>5000</v>
      </c>
      <c r="E1269">
        <v>10000</v>
      </c>
      <c r="F1269">
        <v>105</v>
      </c>
      <c r="G1269">
        <v>0</v>
      </c>
      <c r="H1269">
        <v>0</v>
      </c>
      <c r="I1269">
        <v>0</v>
      </c>
      <c r="J1269">
        <v>0</v>
      </c>
      <c r="K1269">
        <v>2</v>
      </c>
      <c r="L1269">
        <v>0</v>
      </c>
      <c r="M1269">
        <v>0</v>
      </c>
      <c r="N1269">
        <v>0</v>
      </c>
      <c r="O1269">
        <v>0</v>
      </c>
      <c r="P1269">
        <v>13</v>
      </c>
      <c r="Q1269">
        <v>57</v>
      </c>
      <c r="R1269">
        <v>0</v>
      </c>
      <c r="S1269">
        <v>0</v>
      </c>
      <c r="T1269">
        <v>25</v>
      </c>
      <c r="U1269">
        <v>14</v>
      </c>
      <c r="V1269">
        <v>14</v>
      </c>
      <c r="W1269">
        <v>0</v>
      </c>
      <c r="X1269">
        <v>0</v>
      </c>
    </row>
    <row r="1270" spans="1:24" x14ac:dyDescent="0.2">
      <c r="A1270">
        <v>10000300</v>
      </c>
      <c r="B1270" t="s">
        <v>1269</v>
      </c>
      <c r="C1270">
        <v>300</v>
      </c>
      <c r="D1270">
        <v>300</v>
      </c>
      <c r="E1270">
        <v>10000</v>
      </c>
      <c r="F1270">
        <v>105</v>
      </c>
      <c r="G1270">
        <v>0</v>
      </c>
      <c r="H1270">
        <v>0</v>
      </c>
      <c r="I1270">
        <v>0</v>
      </c>
      <c r="J1270">
        <v>0</v>
      </c>
      <c r="K1270">
        <v>8</v>
      </c>
      <c r="L1270">
        <v>0</v>
      </c>
      <c r="M1270">
        <v>0</v>
      </c>
      <c r="N1270">
        <v>0</v>
      </c>
      <c r="O1270">
        <v>0</v>
      </c>
      <c r="P1270">
        <v>50</v>
      </c>
      <c r="Q1270">
        <v>50</v>
      </c>
      <c r="R1270">
        <v>0</v>
      </c>
      <c r="S1270">
        <v>0</v>
      </c>
      <c r="T1270">
        <v>25</v>
      </c>
      <c r="U1270">
        <v>14</v>
      </c>
      <c r="V1270">
        <v>14</v>
      </c>
      <c r="W1270">
        <v>0</v>
      </c>
      <c r="X1270">
        <v>0</v>
      </c>
    </row>
    <row r="1271" spans="1:24" x14ac:dyDescent="0.2">
      <c r="A1271">
        <v>10000400</v>
      </c>
      <c r="B1271" t="s">
        <v>1270</v>
      </c>
      <c r="C1271">
        <v>500</v>
      </c>
      <c r="D1271">
        <v>500</v>
      </c>
      <c r="E1271">
        <v>10000</v>
      </c>
      <c r="F1271">
        <v>103</v>
      </c>
      <c r="G1271">
        <v>103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20</v>
      </c>
      <c r="Q1271">
        <v>60</v>
      </c>
      <c r="R1271">
        <v>80</v>
      </c>
      <c r="S1271">
        <v>0</v>
      </c>
      <c r="T1271">
        <v>25</v>
      </c>
      <c r="U1271">
        <v>14</v>
      </c>
      <c r="V1271">
        <v>14</v>
      </c>
      <c r="W1271">
        <v>0</v>
      </c>
      <c r="X1271">
        <v>0</v>
      </c>
    </row>
    <row r="1272" spans="1:24" x14ac:dyDescent="0.2">
      <c r="A1272">
        <v>10000500</v>
      </c>
      <c r="B1272" t="s">
        <v>1271</v>
      </c>
      <c r="C1272">
        <v>400</v>
      </c>
      <c r="D1272">
        <v>400</v>
      </c>
      <c r="E1272">
        <v>10000</v>
      </c>
      <c r="F1272">
        <v>103</v>
      </c>
      <c r="G1272">
        <v>103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20</v>
      </c>
      <c r="Q1272">
        <v>60</v>
      </c>
      <c r="R1272">
        <v>80</v>
      </c>
      <c r="S1272">
        <v>0</v>
      </c>
      <c r="T1272">
        <v>25</v>
      </c>
      <c r="U1272">
        <v>14</v>
      </c>
      <c r="V1272">
        <v>14</v>
      </c>
      <c r="W1272">
        <v>0</v>
      </c>
      <c r="X1272">
        <v>0</v>
      </c>
    </row>
    <row r="1273" spans="1:24" x14ac:dyDescent="0.2">
      <c r="A1273">
        <v>10000600</v>
      </c>
      <c r="B1273" t="s">
        <v>1272</v>
      </c>
      <c r="C1273">
        <v>600</v>
      </c>
      <c r="D1273">
        <v>600</v>
      </c>
      <c r="E1273">
        <v>10000</v>
      </c>
      <c r="F1273">
        <v>110</v>
      </c>
      <c r="G1273">
        <v>0</v>
      </c>
      <c r="H1273">
        <v>110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20</v>
      </c>
      <c r="Q1273">
        <v>60</v>
      </c>
      <c r="R1273">
        <v>0</v>
      </c>
      <c r="S1273">
        <v>0</v>
      </c>
      <c r="T1273">
        <v>25</v>
      </c>
      <c r="U1273">
        <v>14</v>
      </c>
      <c r="V1273">
        <v>14</v>
      </c>
      <c r="W1273">
        <v>0</v>
      </c>
      <c r="X1273">
        <v>0</v>
      </c>
    </row>
    <row r="1274" spans="1:24" x14ac:dyDescent="0.2">
      <c r="A1274">
        <v>10000700</v>
      </c>
      <c r="B1274" t="s">
        <v>1273</v>
      </c>
      <c r="C1274">
        <v>700</v>
      </c>
      <c r="D1274">
        <v>700</v>
      </c>
      <c r="E1274">
        <v>10000</v>
      </c>
      <c r="F1274">
        <v>103</v>
      </c>
      <c r="G1274">
        <v>0</v>
      </c>
      <c r="H1274">
        <v>103</v>
      </c>
      <c r="I1274">
        <v>0</v>
      </c>
      <c r="J1274">
        <v>0</v>
      </c>
      <c r="K1274">
        <v>0</v>
      </c>
      <c r="L1274">
        <v>0</v>
      </c>
      <c r="M1274">
        <v>4</v>
      </c>
      <c r="N1274">
        <v>0</v>
      </c>
      <c r="O1274">
        <v>0</v>
      </c>
      <c r="P1274">
        <v>20</v>
      </c>
      <c r="Q1274">
        <v>60</v>
      </c>
      <c r="R1274">
        <v>80</v>
      </c>
      <c r="S1274">
        <v>80</v>
      </c>
      <c r="T1274">
        <v>25</v>
      </c>
      <c r="U1274">
        <v>14</v>
      </c>
      <c r="V1274">
        <v>14</v>
      </c>
      <c r="W1274">
        <v>0</v>
      </c>
      <c r="X1274">
        <v>0</v>
      </c>
    </row>
    <row r="1275" spans="1:24" x14ac:dyDescent="0.2">
      <c r="A1275">
        <v>10000800</v>
      </c>
      <c r="B1275" t="s">
        <v>1274</v>
      </c>
      <c r="C1275">
        <v>800</v>
      </c>
      <c r="D1275">
        <v>800</v>
      </c>
      <c r="E1275">
        <v>10000</v>
      </c>
      <c r="F1275">
        <v>103</v>
      </c>
      <c r="G1275">
        <v>0</v>
      </c>
      <c r="H1275">
        <v>0</v>
      </c>
      <c r="I1275">
        <v>103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20</v>
      </c>
      <c r="Q1275">
        <v>60</v>
      </c>
      <c r="R1275">
        <v>0</v>
      </c>
      <c r="S1275">
        <v>80</v>
      </c>
      <c r="T1275">
        <v>25</v>
      </c>
      <c r="U1275">
        <v>14</v>
      </c>
      <c r="V1275">
        <v>14</v>
      </c>
      <c r="W1275">
        <v>0</v>
      </c>
      <c r="X1275">
        <v>0</v>
      </c>
    </row>
    <row r="1276" spans="1:24" x14ac:dyDescent="0.2">
      <c r="A1276">
        <v>10000900</v>
      </c>
      <c r="B1276" t="s">
        <v>1275</v>
      </c>
      <c r="C1276">
        <v>900</v>
      </c>
      <c r="D1276">
        <v>900</v>
      </c>
      <c r="E1276">
        <v>10000</v>
      </c>
      <c r="F1276">
        <v>110</v>
      </c>
      <c r="G1276">
        <v>0</v>
      </c>
      <c r="H1276">
        <v>0</v>
      </c>
      <c r="I1276">
        <v>0</v>
      </c>
      <c r="J1276">
        <v>110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20</v>
      </c>
      <c r="Q1276">
        <v>60</v>
      </c>
      <c r="R1276">
        <v>0</v>
      </c>
      <c r="S1276">
        <v>0</v>
      </c>
      <c r="T1276">
        <v>25</v>
      </c>
      <c r="U1276">
        <v>14</v>
      </c>
      <c r="V1276">
        <v>14</v>
      </c>
      <c r="W1276">
        <v>0</v>
      </c>
      <c r="X1276">
        <v>0</v>
      </c>
    </row>
    <row r="1277" spans="1:24" x14ac:dyDescent="0.2">
      <c r="A1277">
        <v>10001000</v>
      </c>
      <c r="B1277" t="s">
        <v>1276</v>
      </c>
      <c r="C1277">
        <v>1000</v>
      </c>
      <c r="D1277">
        <v>1000</v>
      </c>
      <c r="E1277">
        <v>10000</v>
      </c>
      <c r="F1277">
        <v>103</v>
      </c>
      <c r="G1277">
        <v>0</v>
      </c>
      <c r="H1277">
        <v>0</v>
      </c>
      <c r="I1277">
        <v>0</v>
      </c>
      <c r="J1277">
        <v>103</v>
      </c>
      <c r="K1277">
        <v>0</v>
      </c>
      <c r="L1277">
        <v>0</v>
      </c>
      <c r="M1277">
        <v>0</v>
      </c>
      <c r="N1277">
        <v>0</v>
      </c>
      <c r="O1277">
        <v>4</v>
      </c>
      <c r="P1277">
        <v>20</v>
      </c>
      <c r="Q1277">
        <v>60</v>
      </c>
      <c r="R1277">
        <v>80</v>
      </c>
      <c r="S1277">
        <v>80</v>
      </c>
      <c r="T1277">
        <v>25</v>
      </c>
      <c r="U1277">
        <v>14</v>
      </c>
      <c r="V1277">
        <v>14</v>
      </c>
      <c r="W1277">
        <v>0</v>
      </c>
      <c r="X1277">
        <v>0</v>
      </c>
    </row>
    <row r="1278" spans="1:24" x14ac:dyDescent="0.2">
      <c r="A1278">
        <v>10001100</v>
      </c>
      <c r="B1278" t="s">
        <v>1277</v>
      </c>
      <c r="C1278">
        <v>1100</v>
      </c>
      <c r="D1278">
        <v>1100</v>
      </c>
      <c r="E1278">
        <v>10000</v>
      </c>
      <c r="F1278">
        <v>105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20</v>
      </c>
      <c r="Q1278">
        <v>60</v>
      </c>
      <c r="R1278">
        <v>0</v>
      </c>
      <c r="S1278">
        <v>0</v>
      </c>
      <c r="T1278">
        <v>25</v>
      </c>
      <c r="U1278">
        <v>14</v>
      </c>
      <c r="V1278">
        <v>14</v>
      </c>
      <c r="W1278">
        <v>0</v>
      </c>
      <c r="X1278">
        <v>0</v>
      </c>
    </row>
    <row r="1279" spans="1:24" x14ac:dyDescent="0.2">
      <c r="A1279">
        <v>10001200</v>
      </c>
      <c r="B1279" t="s">
        <v>1278</v>
      </c>
      <c r="C1279">
        <v>1200</v>
      </c>
      <c r="D1279">
        <v>1200</v>
      </c>
      <c r="E1279">
        <v>10000</v>
      </c>
      <c r="F1279">
        <v>105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20</v>
      </c>
      <c r="Q1279">
        <v>60</v>
      </c>
      <c r="R1279">
        <v>0</v>
      </c>
      <c r="S1279">
        <v>0</v>
      </c>
      <c r="T1279">
        <v>25</v>
      </c>
      <c r="U1279">
        <v>14</v>
      </c>
      <c r="V1279">
        <v>14</v>
      </c>
      <c r="W1279">
        <v>0</v>
      </c>
      <c r="X1279">
        <v>0</v>
      </c>
    </row>
    <row r="1280" spans="1:24" x14ac:dyDescent="0.2">
      <c r="A1280">
        <v>10001300</v>
      </c>
      <c r="B1280" t="s">
        <v>1279</v>
      </c>
      <c r="C1280">
        <v>1300</v>
      </c>
      <c r="D1280">
        <v>1300</v>
      </c>
      <c r="E1280">
        <v>10000</v>
      </c>
      <c r="F1280">
        <v>115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20</v>
      </c>
      <c r="Q1280">
        <v>60</v>
      </c>
      <c r="R1280">
        <v>0</v>
      </c>
      <c r="S1280">
        <v>0</v>
      </c>
      <c r="T1280">
        <v>25</v>
      </c>
      <c r="U1280">
        <v>14</v>
      </c>
      <c r="V1280">
        <v>14</v>
      </c>
      <c r="W1280">
        <v>0</v>
      </c>
      <c r="X1280">
        <v>0</v>
      </c>
    </row>
    <row r="1281" spans="1:24" x14ac:dyDescent="0.2">
      <c r="A1281">
        <v>10001400</v>
      </c>
      <c r="B1281" t="s">
        <v>1280</v>
      </c>
      <c r="C1281">
        <v>1400</v>
      </c>
      <c r="D1281">
        <v>1400</v>
      </c>
      <c r="E1281">
        <v>10014</v>
      </c>
      <c r="F1281">
        <v>103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20</v>
      </c>
      <c r="Q1281">
        <v>60</v>
      </c>
      <c r="R1281">
        <v>0</v>
      </c>
      <c r="S1281">
        <v>80</v>
      </c>
      <c r="T1281">
        <v>25</v>
      </c>
      <c r="U1281">
        <v>14</v>
      </c>
      <c r="V1281">
        <v>14</v>
      </c>
      <c r="W1281">
        <v>0</v>
      </c>
      <c r="X1281">
        <v>0</v>
      </c>
    </row>
    <row r="1282" spans="1:24" x14ac:dyDescent="0.2">
      <c r="A1282">
        <v>10001500</v>
      </c>
      <c r="B1282" t="s">
        <v>1281</v>
      </c>
      <c r="C1282">
        <v>1500</v>
      </c>
      <c r="D1282">
        <v>1500</v>
      </c>
      <c r="E1282">
        <v>10015</v>
      </c>
      <c r="F1282">
        <v>105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20</v>
      </c>
      <c r="Q1282">
        <v>60</v>
      </c>
      <c r="R1282">
        <v>0</v>
      </c>
      <c r="S1282">
        <v>0</v>
      </c>
      <c r="T1282">
        <v>25</v>
      </c>
      <c r="U1282">
        <v>14</v>
      </c>
      <c r="V1282">
        <v>14</v>
      </c>
      <c r="W1282">
        <v>0</v>
      </c>
      <c r="X1282">
        <v>0</v>
      </c>
    </row>
    <row r="1283" spans="1:24" x14ac:dyDescent="0.2">
      <c r="A1283">
        <v>10010000</v>
      </c>
      <c r="B1283" t="s">
        <v>1282</v>
      </c>
      <c r="C1283">
        <v>0</v>
      </c>
      <c r="D1283">
        <v>0</v>
      </c>
      <c r="E1283">
        <v>10000</v>
      </c>
      <c r="F1283">
        <v>126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35</v>
      </c>
      <c r="Q1283">
        <v>41</v>
      </c>
      <c r="R1283">
        <v>0</v>
      </c>
      <c r="S1283">
        <v>0</v>
      </c>
      <c r="T1283">
        <v>21</v>
      </c>
      <c r="U1283">
        <v>15</v>
      </c>
      <c r="V1283">
        <v>13</v>
      </c>
      <c r="W1283">
        <v>0</v>
      </c>
      <c r="X1283">
        <v>0</v>
      </c>
    </row>
    <row r="1284" spans="1:24" x14ac:dyDescent="0.2">
      <c r="A1284">
        <v>10010100</v>
      </c>
      <c r="B1284" t="s">
        <v>1283</v>
      </c>
      <c r="C1284">
        <v>200</v>
      </c>
      <c r="D1284">
        <v>100</v>
      </c>
      <c r="E1284">
        <v>10000</v>
      </c>
      <c r="F1284">
        <v>126</v>
      </c>
      <c r="G1284">
        <v>0</v>
      </c>
      <c r="H1284">
        <v>0</v>
      </c>
      <c r="I1284">
        <v>0</v>
      </c>
      <c r="J1284">
        <v>0</v>
      </c>
      <c r="K1284">
        <v>1</v>
      </c>
      <c r="L1284">
        <v>0</v>
      </c>
      <c r="M1284">
        <v>0</v>
      </c>
      <c r="N1284">
        <v>0</v>
      </c>
      <c r="O1284">
        <v>0</v>
      </c>
      <c r="P1284">
        <v>41</v>
      </c>
      <c r="Q1284">
        <v>0</v>
      </c>
      <c r="R1284">
        <v>0</v>
      </c>
      <c r="S1284">
        <v>0</v>
      </c>
      <c r="T1284">
        <v>21</v>
      </c>
      <c r="U1284">
        <v>15</v>
      </c>
      <c r="V1284">
        <v>13</v>
      </c>
      <c r="W1284">
        <v>0</v>
      </c>
      <c r="X1284">
        <v>0</v>
      </c>
    </row>
    <row r="1285" spans="1:24" x14ac:dyDescent="0.2">
      <c r="A1285">
        <v>10010200</v>
      </c>
      <c r="B1285" t="s">
        <v>1284</v>
      </c>
      <c r="C1285">
        <v>100</v>
      </c>
      <c r="D1285">
        <v>5000</v>
      </c>
      <c r="E1285">
        <v>10000</v>
      </c>
      <c r="F1285">
        <v>126</v>
      </c>
      <c r="G1285">
        <v>0</v>
      </c>
      <c r="H1285">
        <v>0</v>
      </c>
      <c r="I1285">
        <v>0</v>
      </c>
      <c r="J1285">
        <v>0</v>
      </c>
      <c r="K1285">
        <v>2</v>
      </c>
      <c r="L1285">
        <v>0</v>
      </c>
      <c r="M1285">
        <v>0</v>
      </c>
      <c r="N1285">
        <v>0</v>
      </c>
      <c r="O1285">
        <v>0</v>
      </c>
      <c r="P1285">
        <v>22</v>
      </c>
      <c r="Q1285">
        <v>51</v>
      </c>
      <c r="R1285">
        <v>0</v>
      </c>
      <c r="S1285">
        <v>0</v>
      </c>
      <c r="T1285">
        <v>21</v>
      </c>
      <c r="U1285">
        <v>15</v>
      </c>
      <c r="V1285">
        <v>13</v>
      </c>
      <c r="W1285">
        <v>0</v>
      </c>
      <c r="X1285">
        <v>0</v>
      </c>
    </row>
    <row r="1286" spans="1:24" x14ac:dyDescent="0.2">
      <c r="A1286">
        <v>10010300</v>
      </c>
      <c r="B1286" t="s">
        <v>1285</v>
      </c>
      <c r="C1286">
        <v>300</v>
      </c>
      <c r="D1286">
        <v>300</v>
      </c>
      <c r="E1286">
        <v>10000</v>
      </c>
      <c r="F1286">
        <v>126</v>
      </c>
      <c r="G1286">
        <v>0</v>
      </c>
      <c r="H1286">
        <v>0</v>
      </c>
      <c r="I1286">
        <v>0</v>
      </c>
      <c r="J1286">
        <v>0</v>
      </c>
      <c r="K1286">
        <v>8</v>
      </c>
      <c r="L1286">
        <v>0</v>
      </c>
      <c r="M1286">
        <v>0</v>
      </c>
      <c r="N1286">
        <v>0</v>
      </c>
      <c r="O1286">
        <v>0</v>
      </c>
      <c r="P1286">
        <v>48</v>
      </c>
      <c r="Q1286">
        <v>48</v>
      </c>
      <c r="R1286">
        <v>0</v>
      </c>
      <c r="S1286">
        <v>0</v>
      </c>
      <c r="T1286">
        <v>21</v>
      </c>
      <c r="U1286">
        <v>15</v>
      </c>
      <c r="V1286">
        <v>13</v>
      </c>
      <c r="W1286">
        <v>0</v>
      </c>
      <c r="X1286">
        <v>0</v>
      </c>
    </row>
    <row r="1287" spans="1:24" x14ac:dyDescent="0.2">
      <c r="A1287">
        <v>10010400</v>
      </c>
      <c r="B1287" t="s">
        <v>1286</v>
      </c>
      <c r="C1287">
        <v>500</v>
      </c>
      <c r="D1287">
        <v>500</v>
      </c>
      <c r="E1287">
        <v>10000</v>
      </c>
      <c r="F1287">
        <v>121</v>
      </c>
      <c r="G1287">
        <v>121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35</v>
      </c>
      <c r="Q1287">
        <v>41</v>
      </c>
      <c r="R1287">
        <v>76</v>
      </c>
      <c r="S1287">
        <v>0</v>
      </c>
      <c r="T1287">
        <v>21</v>
      </c>
      <c r="U1287">
        <v>15</v>
      </c>
      <c r="V1287">
        <v>13</v>
      </c>
      <c r="W1287">
        <v>0</v>
      </c>
      <c r="X1287">
        <v>0</v>
      </c>
    </row>
    <row r="1288" spans="1:24" x14ac:dyDescent="0.2">
      <c r="A1288">
        <v>10010500</v>
      </c>
      <c r="B1288" t="s">
        <v>1287</v>
      </c>
      <c r="C1288">
        <v>400</v>
      </c>
      <c r="D1288">
        <v>400</v>
      </c>
      <c r="E1288">
        <v>10000</v>
      </c>
      <c r="F1288">
        <v>121</v>
      </c>
      <c r="G1288">
        <v>121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35</v>
      </c>
      <c r="Q1288">
        <v>41</v>
      </c>
      <c r="R1288">
        <v>76</v>
      </c>
      <c r="S1288">
        <v>0</v>
      </c>
      <c r="T1288">
        <v>21</v>
      </c>
      <c r="U1288">
        <v>15</v>
      </c>
      <c r="V1288">
        <v>13</v>
      </c>
      <c r="W1288">
        <v>0</v>
      </c>
      <c r="X1288">
        <v>0</v>
      </c>
    </row>
    <row r="1289" spans="1:24" x14ac:dyDescent="0.2">
      <c r="A1289">
        <v>10010600</v>
      </c>
      <c r="B1289" t="s">
        <v>1288</v>
      </c>
      <c r="C1289">
        <v>600</v>
      </c>
      <c r="D1289">
        <v>600</v>
      </c>
      <c r="E1289">
        <v>10000</v>
      </c>
      <c r="F1289">
        <v>121</v>
      </c>
      <c r="G1289">
        <v>0</v>
      </c>
      <c r="H1289">
        <v>121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35</v>
      </c>
      <c r="Q1289">
        <v>41</v>
      </c>
      <c r="R1289">
        <v>0</v>
      </c>
      <c r="S1289">
        <v>0</v>
      </c>
      <c r="T1289">
        <v>21</v>
      </c>
      <c r="U1289">
        <v>15</v>
      </c>
      <c r="V1289">
        <v>13</v>
      </c>
      <c r="W1289">
        <v>0</v>
      </c>
      <c r="X1289">
        <v>0</v>
      </c>
    </row>
    <row r="1290" spans="1:24" x14ac:dyDescent="0.2">
      <c r="A1290">
        <v>10010700</v>
      </c>
      <c r="B1290" t="s">
        <v>1289</v>
      </c>
      <c r="C1290">
        <v>700</v>
      </c>
      <c r="D1290">
        <v>700</v>
      </c>
      <c r="E1290">
        <v>10000</v>
      </c>
      <c r="F1290">
        <v>121</v>
      </c>
      <c r="G1290">
        <v>0</v>
      </c>
      <c r="H1290">
        <v>121</v>
      </c>
      <c r="I1290">
        <v>0</v>
      </c>
      <c r="J1290">
        <v>0</v>
      </c>
      <c r="K1290">
        <v>0</v>
      </c>
      <c r="L1290">
        <v>0</v>
      </c>
      <c r="M1290">
        <v>4</v>
      </c>
      <c r="N1290">
        <v>0</v>
      </c>
      <c r="O1290">
        <v>0</v>
      </c>
      <c r="P1290">
        <v>35</v>
      </c>
      <c r="Q1290">
        <v>41</v>
      </c>
      <c r="R1290">
        <v>76</v>
      </c>
      <c r="S1290">
        <v>76</v>
      </c>
      <c r="T1290">
        <v>21</v>
      </c>
      <c r="U1290">
        <v>15</v>
      </c>
      <c r="V1290">
        <v>13</v>
      </c>
      <c r="W1290">
        <v>0</v>
      </c>
      <c r="X1290">
        <v>0</v>
      </c>
    </row>
    <row r="1291" spans="1:24" x14ac:dyDescent="0.2">
      <c r="A1291">
        <v>10010800</v>
      </c>
      <c r="B1291" t="s">
        <v>1290</v>
      </c>
      <c r="C1291">
        <v>800</v>
      </c>
      <c r="D1291">
        <v>800</v>
      </c>
      <c r="E1291">
        <v>10000</v>
      </c>
      <c r="F1291">
        <v>121</v>
      </c>
      <c r="G1291">
        <v>0</v>
      </c>
      <c r="H1291">
        <v>0</v>
      </c>
      <c r="I1291">
        <v>121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35</v>
      </c>
      <c r="Q1291">
        <v>41</v>
      </c>
      <c r="R1291">
        <v>0</v>
      </c>
      <c r="S1291">
        <v>76</v>
      </c>
      <c r="T1291">
        <v>21</v>
      </c>
      <c r="U1291">
        <v>15</v>
      </c>
      <c r="V1291">
        <v>13</v>
      </c>
      <c r="W1291">
        <v>0</v>
      </c>
      <c r="X1291">
        <v>0</v>
      </c>
    </row>
    <row r="1292" spans="1:24" x14ac:dyDescent="0.2">
      <c r="A1292">
        <v>10010900</v>
      </c>
      <c r="B1292" t="s">
        <v>1291</v>
      </c>
      <c r="C1292">
        <v>900</v>
      </c>
      <c r="D1292">
        <v>900</v>
      </c>
      <c r="E1292">
        <v>10000</v>
      </c>
      <c r="F1292">
        <v>121</v>
      </c>
      <c r="G1292">
        <v>0</v>
      </c>
      <c r="H1292">
        <v>0</v>
      </c>
      <c r="I1292">
        <v>0</v>
      </c>
      <c r="J1292">
        <v>121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35</v>
      </c>
      <c r="Q1292">
        <v>41</v>
      </c>
      <c r="R1292">
        <v>0</v>
      </c>
      <c r="S1292">
        <v>0</v>
      </c>
      <c r="T1292">
        <v>21</v>
      </c>
      <c r="U1292">
        <v>15</v>
      </c>
      <c r="V1292">
        <v>13</v>
      </c>
      <c r="W1292">
        <v>0</v>
      </c>
      <c r="X1292">
        <v>0</v>
      </c>
    </row>
    <row r="1293" spans="1:24" x14ac:dyDescent="0.2">
      <c r="A1293">
        <v>10011000</v>
      </c>
      <c r="B1293" t="s">
        <v>1292</v>
      </c>
      <c r="C1293">
        <v>1000</v>
      </c>
      <c r="D1293">
        <v>1000</v>
      </c>
      <c r="E1293">
        <v>10000</v>
      </c>
      <c r="F1293">
        <v>121</v>
      </c>
      <c r="G1293">
        <v>0</v>
      </c>
      <c r="H1293">
        <v>0</v>
      </c>
      <c r="I1293">
        <v>0</v>
      </c>
      <c r="J1293">
        <v>121</v>
      </c>
      <c r="K1293">
        <v>0</v>
      </c>
      <c r="L1293">
        <v>0</v>
      </c>
      <c r="M1293">
        <v>0</v>
      </c>
      <c r="N1293">
        <v>0</v>
      </c>
      <c r="O1293">
        <v>4</v>
      </c>
      <c r="P1293">
        <v>35</v>
      </c>
      <c r="Q1293">
        <v>41</v>
      </c>
      <c r="R1293">
        <v>76</v>
      </c>
      <c r="S1293">
        <v>76</v>
      </c>
      <c r="T1293">
        <v>21</v>
      </c>
      <c r="U1293">
        <v>15</v>
      </c>
      <c r="V1293">
        <v>13</v>
      </c>
      <c r="W1293">
        <v>0</v>
      </c>
      <c r="X1293">
        <v>0</v>
      </c>
    </row>
    <row r="1294" spans="1:24" x14ac:dyDescent="0.2">
      <c r="A1294">
        <v>10011100</v>
      </c>
      <c r="B1294" t="s">
        <v>1293</v>
      </c>
      <c r="C1294">
        <v>1100</v>
      </c>
      <c r="D1294">
        <v>1100</v>
      </c>
      <c r="E1294">
        <v>10000</v>
      </c>
      <c r="F1294">
        <v>126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35</v>
      </c>
      <c r="Q1294">
        <v>41</v>
      </c>
      <c r="R1294">
        <v>0</v>
      </c>
      <c r="S1294">
        <v>0</v>
      </c>
      <c r="T1294">
        <v>21</v>
      </c>
      <c r="U1294">
        <v>15</v>
      </c>
      <c r="V1294">
        <v>13</v>
      </c>
      <c r="W1294">
        <v>0</v>
      </c>
      <c r="X1294">
        <v>0</v>
      </c>
    </row>
    <row r="1295" spans="1:24" x14ac:dyDescent="0.2">
      <c r="A1295">
        <v>10011200</v>
      </c>
      <c r="B1295" t="s">
        <v>1294</v>
      </c>
      <c r="C1295">
        <v>1200</v>
      </c>
      <c r="D1295">
        <v>1200</v>
      </c>
      <c r="E1295">
        <v>10000</v>
      </c>
      <c r="F1295">
        <v>126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35</v>
      </c>
      <c r="Q1295">
        <v>41</v>
      </c>
      <c r="R1295">
        <v>0</v>
      </c>
      <c r="S1295">
        <v>0</v>
      </c>
      <c r="T1295">
        <v>21</v>
      </c>
      <c r="U1295">
        <v>15</v>
      </c>
      <c r="V1295">
        <v>13</v>
      </c>
      <c r="W1295">
        <v>0</v>
      </c>
      <c r="X1295">
        <v>0</v>
      </c>
    </row>
    <row r="1296" spans="1:24" x14ac:dyDescent="0.2">
      <c r="A1296">
        <v>10011300</v>
      </c>
      <c r="B1296" t="s">
        <v>1295</v>
      </c>
      <c r="C1296">
        <v>1300</v>
      </c>
      <c r="D1296">
        <v>1300</v>
      </c>
      <c r="E1296">
        <v>10000</v>
      </c>
      <c r="F1296">
        <v>136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35</v>
      </c>
      <c r="Q1296">
        <v>41</v>
      </c>
      <c r="R1296">
        <v>0</v>
      </c>
      <c r="S1296">
        <v>0</v>
      </c>
      <c r="T1296">
        <v>21</v>
      </c>
      <c r="U1296">
        <v>15</v>
      </c>
      <c r="V1296">
        <v>13</v>
      </c>
      <c r="W1296">
        <v>0</v>
      </c>
      <c r="X1296">
        <v>0</v>
      </c>
    </row>
    <row r="1297" spans="1:24" x14ac:dyDescent="0.2">
      <c r="A1297">
        <v>10011400</v>
      </c>
      <c r="B1297" t="s">
        <v>1296</v>
      </c>
      <c r="C1297">
        <v>1400</v>
      </c>
      <c r="D1297">
        <v>1400</v>
      </c>
      <c r="E1297">
        <v>10014</v>
      </c>
      <c r="F1297">
        <v>121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35</v>
      </c>
      <c r="Q1297">
        <v>41</v>
      </c>
      <c r="R1297">
        <v>0</v>
      </c>
      <c r="S1297">
        <v>76</v>
      </c>
      <c r="T1297">
        <v>21</v>
      </c>
      <c r="U1297">
        <v>15</v>
      </c>
      <c r="V1297">
        <v>13</v>
      </c>
      <c r="W1297">
        <v>0</v>
      </c>
      <c r="X1297">
        <v>0</v>
      </c>
    </row>
    <row r="1298" spans="1:24" x14ac:dyDescent="0.2">
      <c r="A1298">
        <v>10011500</v>
      </c>
      <c r="B1298" t="s">
        <v>1297</v>
      </c>
      <c r="C1298">
        <v>1500</v>
      </c>
      <c r="D1298">
        <v>1500</v>
      </c>
      <c r="E1298">
        <v>10015</v>
      </c>
      <c r="F1298">
        <v>126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35</v>
      </c>
      <c r="Q1298">
        <v>41</v>
      </c>
      <c r="R1298">
        <v>0</v>
      </c>
      <c r="S1298">
        <v>0</v>
      </c>
      <c r="T1298">
        <v>21</v>
      </c>
      <c r="U1298">
        <v>15</v>
      </c>
      <c r="V1298">
        <v>13</v>
      </c>
      <c r="W1298">
        <v>0</v>
      </c>
      <c r="X1298">
        <v>0</v>
      </c>
    </row>
    <row r="1299" spans="1:24" x14ac:dyDescent="0.2">
      <c r="A1299">
        <v>10020000</v>
      </c>
      <c r="B1299" t="s">
        <v>1298</v>
      </c>
      <c r="C1299">
        <v>0</v>
      </c>
      <c r="D1299">
        <v>0</v>
      </c>
      <c r="E1299">
        <v>10000</v>
      </c>
      <c r="F1299">
        <v>141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41</v>
      </c>
      <c r="Q1299">
        <v>15</v>
      </c>
      <c r="R1299">
        <v>0</v>
      </c>
      <c r="S1299">
        <v>0</v>
      </c>
      <c r="T1299">
        <v>14</v>
      </c>
      <c r="U1299">
        <v>17</v>
      </c>
      <c r="V1299">
        <v>11</v>
      </c>
      <c r="W1299">
        <v>0</v>
      </c>
      <c r="X1299">
        <v>0</v>
      </c>
    </row>
    <row r="1300" spans="1:24" x14ac:dyDescent="0.2">
      <c r="A1300">
        <v>10020100</v>
      </c>
      <c r="B1300" t="s">
        <v>1299</v>
      </c>
      <c r="C1300">
        <v>200</v>
      </c>
      <c r="D1300">
        <v>100</v>
      </c>
      <c r="E1300">
        <v>10000</v>
      </c>
      <c r="F1300">
        <v>141</v>
      </c>
      <c r="G1300">
        <v>0</v>
      </c>
      <c r="H1300">
        <v>0</v>
      </c>
      <c r="I1300">
        <v>0</v>
      </c>
      <c r="J1300">
        <v>0</v>
      </c>
      <c r="K1300">
        <v>1</v>
      </c>
      <c r="L1300">
        <v>0</v>
      </c>
      <c r="M1300">
        <v>0</v>
      </c>
      <c r="N1300">
        <v>0</v>
      </c>
      <c r="O1300">
        <v>0</v>
      </c>
      <c r="P1300">
        <v>38</v>
      </c>
      <c r="Q1300">
        <v>0</v>
      </c>
      <c r="R1300">
        <v>0</v>
      </c>
      <c r="S1300">
        <v>0</v>
      </c>
      <c r="T1300">
        <v>14</v>
      </c>
      <c r="U1300">
        <v>17</v>
      </c>
      <c r="V1300">
        <v>11</v>
      </c>
      <c r="W1300">
        <v>0</v>
      </c>
      <c r="X1300">
        <v>0</v>
      </c>
    </row>
    <row r="1301" spans="1:24" x14ac:dyDescent="0.2">
      <c r="A1301">
        <v>10020200</v>
      </c>
      <c r="B1301" t="s">
        <v>1300</v>
      </c>
      <c r="C1301">
        <v>100</v>
      </c>
      <c r="D1301">
        <v>200</v>
      </c>
      <c r="E1301">
        <v>10000</v>
      </c>
      <c r="F1301">
        <v>141</v>
      </c>
      <c r="G1301">
        <v>0</v>
      </c>
      <c r="H1301">
        <v>0</v>
      </c>
      <c r="I1301">
        <v>0</v>
      </c>
      <c r="J1301">
        <v>0</v>
      </c>
      <c r="K1301">
        <v>2</v>
      </c>
      <c r="L1301">
        <v>0</v>
      </c>
      <c r="M1301">
        <v>0</v>
      </c>
      <c r="N1301">
        <v>0</v>
      </c>
      <c r="O1301">
        <v>0</v>
      </c>
      <c r="P1301">
        <v>26</v>
      </c>
      <c r="Q1301">
        <v>30</v>
      </c>
      <c r="R1301">
        <v>0</v>
      </c>
      <c r="S1301">
        <v>0</v>
      </c>
      <c r="T1301">
        <v>14</v>
      </c>
      <c r="U1301">
        <v>17</v>
      </c>
      <c r="V1301">
        <v>11</v>
      </c>
      <c r="W1301">
        <v>0</v>
      </c>
      <c r="X1301">
        <v>0</v>
      </c>
    </row>
    <row r="1302" spans="1:24" x14ac:dyDescent="0.2">
      <c r="A1302">
        <v>10020300</v>
      </c>
      <c r="B1302" t="s">
        <v>1301</v>
      </c>
      <c r="C1302">
        <v>300</v>
      </c>
      <c r="D1302">
        <v>6100</v>
      </c>
      <c r="E1302">
        <v>10000</v>
      </c>
      <c r="F1302">
        <v>141</v>
      </c>
      <c r="G1302">
        <v>0</v>
      </c>
      <c r="H1302">
        <v>0</v>
      </c>
      <c r="I1302">
        <v>0</v>
      </c>
      <c r="J1302">
        <v>0</v>
      </c>
      <c r="K1302">
        <v>8</v>
      </c>
      <c r="L1302">
        <v>0</v>
      </c>
      <c r="M1302">
        <v>0</v>
      </c>
      <c r="N1302">
        <v>0</v>
      </c>
      <c r="O1302">
        <v>0</v>
      </c>
      <c r="P1302">
        <v>38</v>
      </c>
      <c r="Q1302">
        <v>38</v>
      </c>
      <c r="R1302">
        <v>0</v>
      </c>
      <c r="S1302">
        <v>0</v>
      </c>
      <c r="T1302">
        <v>14</v>
      </c>
      <c r="U1302">
        <v>17</v>
      </c>
      <c r="V1302">
        <v>11</v>
      </c>
      <c r="W1302">
        <v>0</v>
      </c>
      <c r="X1302">
        <v>0</v>
      </c>
    </row>
    <row r="1303" spans="1:24" x14ac:dyDescent="0.2">
      <c r="A1303">
        <v>10020400</v>
      </c>
      <c r="B1303" t="s">
        <v>1302</v>
      </c>
      <c r="C1303">
        <v>500</v>
      </c>
      <c r="D1303">
        <v>500</v>
      </c>
      <c r="E1303">
        <v>10000</v>
      </c>
      <c r="F1303">
        <v>139</v>
      </c>
      <c r="G1303">
        <v>139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41</v>
      </c>
      <c r="Q1303">
        <v>15</v>
      </c>
      <c r="R1303">
        <v>56</v>
      </c>
      <c r="S1303">
        <v>0</v>
      </c>
      <c r="T1303">
        <v>14</v>
      </c>
      <c r="U1303">
        <v>17</v>
      </c>
      <c r="V1303">
        <v>11</v>
      </c>
      <c r="W1303">
        <v>0</v>
      </c>
      <c r="X1303">
        <v>0</v>
      </c>
    </row>
    <row r="1304" spans="1:24" x14ac:dyDescent="0.2">
      <c r="A1304">
        <v>10020500</v>
      </c>
      <c r="B1304" t="s">
        <v>1303</v>
      </c>
      <c r="C1304">
        <v>400</v>
      </c>
      <c r="D1304">
        <v>400</v>
      </c>
      <c r="E1304">
        <v>10000</v>
      </c>
      <c r="F1304">
        <v>139</v>
      </c>
      <c r="G1304">
        <v>139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41</v>
      </c>
      <c r="Q1304">
        <v>15</v>
      </c>
      <c r="R1304">
        <v>56</v>
      </c>
      <c r="S1304">
        <v>0</v>
      </c>
      <c r="T1304">
        <v>14</v>
      </c>
      <c r="U1304">
        <v>17</v>
      </c>
      <c r="V1304">
        <v>11</v>
      </c>
      <c r="W1304">
        <v>0</v>
      </c>
      <c r="X1304">
        <v>0</v>
      </c>
    </row>
    <row r="1305" spans="1:24" x14ac:dyDescent="0.2">
      <c r="A1305">
        <v>10020600</v>
      </c>
      <c r="B1305" t="s">
        <v>1304</v>
      </c>
      <c r="C1305">
        <v>600</v>
      </c>
      <c r="D1305">
        <v>600</v>
      </c>
      <c r="E1305">
        <v>10000</v>
      </c>
      <c r="F1305">
        <v>121</v>
      </c>
      <c r="G1305">
        <v>0</v>
      </c>
      <c r="H1305">
        <v>121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41</v>
      </c>
      <c r="Q1305">
        <v>15</v>
      </c>
      <c r="R1305">
        <v>0</v>
      </c>
      <c r="S1305">
        <v>0</v>
      </c>
      <c r="T1305">
        <v>14</v>
      </c>
      <c r="U1305">
        <v>17</v>
      </c>
      <c r="V1305">
        <v>11</v>
      </c>
      <c r="W1305">
        <v>0</v>
      </c>
      <c r="X1305">
        <v>0</v>
      </c>
    </row>
    <row r="1306" spans="1:24" x14ac:dyDescent="0.2">
      <c r="A1306">
        <v>10020700</v>
      </c>
      <c r="B1306" t="s">
        <v>1305</v>
      </c>
      <c r="C1306">
        <v>700</v>
      </c>
      <c r="D1306">
        <v>700</v>
      </c>
      <c r="E1306">
        <v>10000</v>
      </c>
      <c r="F1306">
        <v>139</v>
      </c>
      <c r="G1306">
        <v>0</v>
      </c>
      <c r="H1306">
        <v>139</v>
      </c>
      <c r="I1306">
        <v>0</v>
      </c>
      <c r="J1306">
        <v>0</v>
      </c>
      <c r="K1306">
        <v>0</v>
      </c>
      <c r="L1306">
        <v>0</v>
      </c>
      <c r="M1306">
        <v>4</v>
      </c>
      <c r="N1306">
        <v>0</v>
      </c>
      <c r="O1306">
        <v>0</v>
      </c>
      <c r="P1306">
        <v>41</v>
      </c>
      <c r="Q1306">
        <v>15</v>
      </c>
      <c r="R1306">
        <v>56</v>
      </c>
      <c r="S1306">
        <v>56</v>
      </c>
      <c r="T1306">
        <v>14</v>
      </c>
      <c r="U1306">
        <v>17</v>
      </c>
      <c r="V1306">
        <v>11</v>
      </c>
      <c r="W1306">
        <v>0</v>
      </c>
      <c r="X1306">
        <v>0</v>
      </c>
    </row>
    <row r="1307" spans="1:24" x14ac:dyDescent="0.2">
      <c r="A1307">
        <v>10020800</v>
      </c>
      <c r="B1307" t="s">
        <v>1306</v>
      </c>
      <c r="C1307">
        <v>800</v>
      </c>
      <c r="D1307">
        <v>800</v>
      </c>
      <c r="E1307">
        <v>10000</v>
      </c>
      <c r="F1307">
        <v>139</v>
      </c>
      <c r="G1307">
        <v>0</v>
      </c>
      <c r="H1307">
        <v>0</v>
      </c>
      <c r="I1307">
        <v>139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41</v>
      </c>
      <c r="Q1307">
        <v>15</v>
      </c>
      <c r="R1307">
        <v>0</v>
      </c>
      <c r="S1307">
        <v>56</v>
      </c>
      <c r="T1307">
        <v>14</v>
      </c>
      <c r="U1307">
        <v>17</v>
      </c>
      <c r="V1307">
        <v>11</v>
      </c>
      <c r="W1307">
        <v>0</v>
      </c>
      <c r="X1307">
        <v>0</v>
      </c>
    </row>
    <row r="1308" spans="1:24" x14ac:dyDescent="0.2">
      <c r="A1308">
        <v>10020900</v>
      </c>
      <c r="B1308" t="s">
        <v>1307</v>
      </c>
      <c r="C1308">
        <v>900</v>
      </c>
      <c r="D1308">
        <v>900</v>
      </c>
      <c r="E1308">
        <v>10000</v>
      </c>
      <c r="F1308">
        <v>121</v>
      </c>
      <c r="G1308">
        <v>0</v>
      </c>
      <c r="H1308">
        <v>0</v>
      </c>
      <c r="I1308">
        <v>0</v>
      </c>
      <c r="J1308">
        <v>121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41</v>
      </c>
      <c r="Q1308">
        <v>15</v>
      </c>
      <c r="R1308">
        <v>0</v>
      </c>
      <c r="S1308">
        <v>0</v>
      </c>
      <c r="T1308">
        <v>14</v>
      </c>
      <c r="U1308">
        <v>17</v>
      </c>
      <c r="V1308">
        <v>11</v>
      </c>
      <c r="W1308">
        <v>0</v>
      </c>
      <c r="X1308">
        <v>0</v>
      </c>
    </row>
    <row r="1309" spans="1:24" x14ac:dyDescent="0.2">
      <c r="A1309">
        <v>10021000</v>
      </c>
      <c r="B1309" t="s">
        <v>1308</v>
      </c>
      <c r="C1309">
        <v>1000</v>
      </c>
      <c r="D1309">
        <v>1000</v>
      </c>
      <c r="E1309">
        <v>10000</v>
      </c>
      <c r="F1309">
        <v>139</v>
      </c>
      <c r="G1309">
        <v>0</v>
      </c>
      <c r="H1309">
        <v>0</v>
      </c>
      <c r="I1309">
        <v>0</v>
      </c>
      <c r="J1309">
        <v>139</v>
      </c>
      <c r="K1309">
        <v>0</v>
      </c>
      <c r="L1309">
        <v>0</v>
      </c>
      <c r="M1309">
        <v>0</v>
      </c>
      <c r="N1309">
        <v>0</v>
      </c>
      <c r="O1309">
        <v>4</v>
      </c>
      <c r="P1309">
        <v>41</v>
      </c>
      <c r="Q1309">
        <v>15</v>
      </c>
      <c r="R1309">
        <v>56</v>
      </c>
      <c r="S1309">
        <v>56</v>
      </c>
      <c r="T1309">
        <v>14</v>
      </c>
      <c r="U1309">
        <v>17</v>
      </c>
      <c r="V1309">
        <v>11</v>
      </c>
      <c r="W1309">
        <v>0</v>
      </c>
      <c r="X1309">
        <v>0</v>
      </c>
    </row>
    <row r="1310" spans="1:24" x14ac:dyDescent="0.2">
      <c r="A1310">
        <v>10021100</v>
      </c>
      <c r="B1310" t="s">
        <v>1309</v>
      </c>
      <c r="C1310">
        <v>1100</v>
      </c>
      <c r="D1310">
        <v>1100</v>
      </c>
      <c r="E1310">
        <v>10000</v>
      </c>
      <c r="F1310">
        <v>141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41</v>
      </c>
      <c r="Q1310">
        <v>15</v>
      </c>
      <c r="R1310">
        <v>0</v>
      </c>
      <c r="S1310">
        <v>0</v>
      </c>
      <c r="T1310">
        <v>14</v>
      </c>
      <c r="U1310">
        <v>17</v>
      </c>
      <c r="V1310">
        <v>11</v>
      </c>
      <c r="W1310">
        <v>0</v>
      </c>
      <c r="X1310">
        <v>0</v>
      </c>
    </row>
    <row r="1311" spans="1:24" x14ac:dyDescent="0.2">
      <c r="A1311">
        <v>10021200</v>
      </c>
      <c r="B1311" t="s">
        <v>1310</v>
      </c>
      <c r="C1311">
        <v>1200</v>
      </c>
      <c r="D1311">
        <v>1200</v>
      </c>
      <c r="E1311">
        <v>10000</v>
      </c>
      <c r="F1311">
        <v>141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41</v>
      </c>
      <c r="Q1311">
        <v>15</v>
      </c>
      <c r="R1311">
        <v>0</v>
      </c>
      <c r="S1311">
        <v>0</v>
      </c>
      <c r="T1311">
        <v>14</v>
      </c>
      <c r="U1311">
        <v>17</v>
      </c>
      <c r="V1311">
        <v>11</v>
      </c>
      <c r="W1311">
        <v>0</v>
      </c>
      <c r="X1311">
        <v>0</v>
      </c>
    </row>
    <row r="1312" spans="1:24" x14ac:dyDescent="0.2">
      <c r="A1312">
        <v>10021300</v>
      </c>
      <c r="B1312" t="s">
        <v>1311</v>
      </c>
      <c r="C1312">
        <v>1300</v>
      </c>
      <c r="D1312">
        <v>1300</v>
      </c>
      <c r="E1312">
        <v>10000</v>
      </c>
      <c r="F1312">
        <v>141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41</v>
      </c>
      <c r="Q1312">
        <v>15</v>
      </c>
      <c r="R1312">
        <v>0</v>
      </c>
      <c r="S1312">
        <v>0</v>
      </c>
      <c r="T1312">
        <v>14</v>
      </c>
      <c r="U1312">
        <v>17</v>
      </c>
      <c r="V1312">
        <v>11</v>
      </c>
      <c r="W1312">
        <v>0</v>
      </c>
      <c r="X1312">
        <v>0</v>
      </c>
    </row>
    <row r="1313" spans="1:24" x14ac:dyDescent="0.2">
      <c r="A1313">
        <v>10021400</v>
      </c>
      <c r="B1313" t="s">
        <v>1312</v>
      </c>
      <c r="C1313">
        <v>1400</v>
      </c>
      <c r="D1313">
        <v>1400</v>
      </c>
      <c r="E1313">
        <v>10014</v>
      </c>
      <c r="F1313">
        <v>139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41</v>
      </c>
      <c r="Q1313">
        <v>15</v>
      </c>
      <c r="R1313">
        <v>0</v>
      </c>
      <c r="S1313">
        <v>56</v>
      </c>
      <c r="T1313">
        <v>14</v>
      </c>
      <c r="U1313">
        <v>17</v>
      </c>
      <c r="V1313">
        <v>11</v>
      </c>
      <c r="W1313">
        <v>0</v>
      </c>
      <c r="X1313">
        <v>0</v>
      </c>
    </row>
    <row r="1314" spans="1:24" x14ac:dyDescent="0.2">
      <c r="A1314">
        <v>10021500</v>
      </c>
      <c r="B1314" t="s">
        <v>1313</v>
      </c>
      <c r="C1314">
        <v>1500</v>
      </c>
      <c r="D1314">
        <v>1500</v>
      </c>
      <c r="E1314">
        <v>10015</v>
      </c>
      <c r="F1314">
        <v>141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41</v>
      </c>
      <c r="Q1314">
        <v>15</v>
      </c>
      <c r="R1314">
        <v>0</v>
      </c>
      <c r="S1314">
        <v>0</v>
      </c>
      <c r="T1314">
        <v>14</v>
      </c>
      <c r="U1314">
        <v>17</v>
      </c>
      <c r="V1314">
        <v>11</v>
      </c>
      <c r="W1314">
        <v>0</v>
      </c>
      <c r="X1314">
        <v>0</v>
      </c>
    </row>
    <row r="1315" spans="1:24" x14ac:dyDescent="0.2">
      <c r="A1315">
        <v>10030000</v>
      </c>
      <c r="B1315" t="s">
        <v>1314</v>
      </c>
      <c r="C1315">
        <v>0</v>
      </c>
      <c r="D1315">
        <v>0</v>
      </c>
      <c r="E1315">
        <v>10000</v>
      </c>
      <c r="F1315">
        <v>125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30</v>
      </c>
      <c r="Q1315">
        <v>50</v>
      </c>
      <c r="R1315">
        <v>0</v>
      </c>
      <c r="S1315">
        <v>0</v>
      </c>
      <c r="T1315">
        <v>23</v>
      </c>
      <c r="U1315">
        <v>16</v>
      </c>
      <c r="V1315">
        <v>12</v>
      </c>
      <c r="W1315">
        <v>0</v>
      </c>
      <c r="X1315">
        <v>0</v>
      </c>
    </row>
    <row r="1316" spans="1:24" x14ac:dyDescent="0.2">
      <c r="A1316">
        <v>10030100</v>
      </c>
      <c r="B1316" t="s">
        <v>1315</v>
      </c>
      <c r="C1316">
        <v>200</v>
      </c>
      <c r="D1316">
        <v>100</v>
      </c>
      <c r="E1316">
        <v>10000</v>
      </c>
      <c r="F1316">
        <v>125</v>
      </c>
      <c r="G1316">
        <v>0</v>
      </c>
      <c r="H1316">
        <v>0</v>
      </c>
      <c r="I1316">
        <v>0</v>
      </c>
      <c r="J1316">
        <v>0</v>
      </c>
      <c r="K1316">
        <v>1</v>
      </c>
      <c r="L1316">
        <v>0</v>
      </c>
      <c r="M1316">
        <v>0</v>
      </c>
      <c r="N1316">
        <v>0</v>
      </c>
      <c r="O1316">
        <v>0</v>
      </c>
      <c r="P1316">
        <v>41</v>
      </c>
      <c r="Q1316">
        <v>0</v>
      </c>
      <c r="R1316">
        <v>0</v>
      </c>
      <c r="S1316">
        <v>0</v>
      </c>
      <c r="T1316">
        <v>23</v>
      </c>
      <c r="U1316">
        <v>16</v>
      </c>
      <c r="V1316">
        <v>12</v>
      </c>
      <c r="W1316">
        <v>0</v>
      </c>
      <c r="X1316">
        <v>0</v>
      </c>
    </row>
    <row r="1317" spans="1:24" x14ac:dyDescent="0.2">
      <c r="A1317">
        <v>10030200</v>
      </c>
      <c r="B1317" t="s">
        <v>1316</v>
      </c>
      <c r="C1317">
        <v>100</v>
      </c>
      <c r="D1317">
        <v>5000</v>
      </c>
      <c r="E1317">
        <v>10000</v>
      </c>
      <c r="F1317">
        <v>125</v>
      </c>
      <c r="G1317">
        <v>0</v>
      </c>
      <c r="H1317">
        <v>0</v>
      </c>
      <c r="I1317">
        <v>0</v>
      </c>
      <c r="J1317">
        <v>0</v>
      </c>
      <c r="K1317">
        <v>2</v>
      </c>
      <c r="L1317">
        <v>0</v>
      </c>
      <c r="M1317">
        <v>0</v>
      </c>
      <c r="N1317">
        <v>0</v>
      </c>
      <c r="O1317">
        <v>0</v>
      </c>
      <c r="P1317">
        <v>19</v>
      </c>
      <c r="Q1317">
        <v>52</v>
      </c>
      <c r="R1317">
        <v>0</v>
      </c>
      <c r="S1317">
        <v>0</v>
      </c>
      <c r="T1317">
        <v>23</v>
      </c>
      <c r="U1317">
        <v>16</v>
      </c>
      <c r="V1317">
        <v>12</v>
      </c>
      <c r="W1317">
        <v>0</v>
      </c>
      <c r="X1317">
        <v>0</v>
      </c>
    </row>
    <row r="1318" spans="1:24" x14ac:dyDescent="0.2">
      <c r="A1318">
        <v>10030300</v>
      </c>
      <c r="B1318" t="s">
        <v>1317</v>
      </c>
      <c r="C1318">
        <v>300</v>
      </c>
      <c r="D1318">
        <v>300</v>
      </c>
      <c r="E1318">
        <v>10000</v>
      </c>
      <c r="F1318">
        <v>125</v>
      </c>
      <c r="G1318">
        <v>0</v>
      </c>
      <c r="H1318">
        <v>0</v>
      </c>
      <c r="I1318">
        <v>0</v>
      </c>
      <c r="J1318">
        <v>0</v>
      </c>
      <c r="K1318">
        <v>8</v>
      </c>
      <c r="L1318">
        <v>0</v>
      </c>
      <c r="M1318">
        <v>0</v>
      </c>
      <c r="N1318">
        <v>0</v>
      </c>
      <c r="O1318">
        <v>0</v>
      </c>
      <c r="P1318">
        <v>50</v>
      </c>
      <c r="Q1318">
        <v>50</v>
      </c>
      <c r="R1318">
        <v>0</v>
      </c>
      <c r="S1318">
        <v>0</v>
      </c>
      <c r="T1318">
        <v>23</v>
      </c>
      <c r="U1318">
        <v>16</v>
      </c>
      <c r="V1318">
        <v>12</v>
      </c>
      <c r="W1318">
        <v>0</v>
      </c>
      <c r="X1318">
        <v>0</v>
      </c>
    </row>
    <row r="1319" spans="1:24" x14ac:dyDescent="0.2">
      <c r="A1319">
        <v>10030400</v>
      </c>
      <c r="B1319" t="s">
        <v>1318</v>
      </c>
      <c r="C1319">
        <v>500</v>
      </c>
      <c r="D1319">
        <v>500</v>
      </c>
      <c r="E1319">
        <v>10000</v>
      </c>
      <c r="F1319">
        <v>120</v>
      </c>
      <c r="G1319">
        <v>120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30</v>
      </c>
      <c r="Q1319">
        <v>50</v>
      </c>
      <c r="R1319">
        <v>80</v>
      </c>
      <c r="S1319">
        <v>0</v>
      </c>
      <c r="T1319">
        <v>23</v>
      </c>
      <c r="U1319">
        <v>16</v>
      </c>
      <c r="V1319">
        <v>12</v>
      </c>
      <c r="W1319">
        <v>0</v>
      </c>
      <c r="X1319">
        <v>0</v>
      </c>
    </row>
    <row r="1320" spans="1:24" x14ac:dyDescent="0.2">
      <c r="A1320">
        <v>10030500</v>
      </c>
      <c r="B1320" t="s">
        <v>1319</v>
      </c>
      <c r="C1320">
        <v>400</v>
      </c>
      <c r="D1320">
        <v>400</v>
      </c>
      <c r="E1320">
        <v>10000</v>
      </c>
      <c r="F1320">
        <v>120</v>
      </c>
      <c r="G1320">
        <v>120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30</v>
      </c>
      <c r="Q1320">
        <v>50</v>
      </c>
      <c r="R1320">
        <v>80</v>
      </c>
      <c r="S1320">
        <v>0</v>
      </c>
      <c r="T1320">
        <v>23</v>
      </c>
      <c r="U1320">
        <v>16</v>
      </c>
      <c r="V1320">
        <v>12</v>
      </c>
      <c r="W1320">
        <v>0</v>
      </c>
      <c r="X1320">
        <v>0</v>
      </c>
    </row>
    <row r="1321" spans="1:24" x14ac:dyDescent="0.2">
      <c r="A1321">
        <v>10030600</v>
      </c>
      <c r="B1321" t="s">
        <v>1320</v>
      </c>
      <c r="C1321">
        <v>600</v>
      </c>
      <c r="D1321">
        <v>600</v>
      </c>
      <c r="E1321">
        <v>10000</v>
      </c>
      <c r="F1321">
        <v>120</v>
      </c>
      <c r="G1321">
        <v>0</v>
      </c>
      <c r="H1321">
        <v>120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30</v>
      </c>
      <c r="Q1321">
        <v>50</v>
      </c>
      <c r="R1321">
        <v>0</v>
      </c>
      <c r="S1321">
        <v>0</v>
      </c>
      <c r="T1321">
        <v>23</v>
      </c>
      <c r="U1321">
        <v>16</v>
      </c>
      <c r="V1321">
        <v>12</v>
      </c>
      <c r="W1321">
        <v>0</v>
      </c>
      <c r="X1321">
        <v>0</v>
      </c>
    </row>
    <row r="1322" spans="1:24" x14ac:dyDescent="0.2">
      <c r="A1322">
        <v>10030700</v>
      </c>
      <c r="B1322" t="s">
        <v>1321</v>
      </c>
      <c r="C1322">
        <v>700</v>
      </c>
      <c r="D1322">
        <v>700</v>
      </c>
      <c r="E1322">
        <v>10000</v>
      </c>
      <c r="F1322">
        <v>120</v>
      </c>
      <c r="G1322">
        <v>0</v>
      </c>
      <c r="H1322">
        <v>120</v>
      </c>
      <c r="I1322">
        <v>0</v>
      </c>
      <c r="J1322">
        <v>0</v>
      </c>
      <c r="K1322">
        <v>0</v>
      </c>
      <c r="L1322">
        <v>0</v>
      </c>
      <c r="M1322">
        <v>4</v>
      </c>
      <c r="N1322">
        <v>0</v>
      </c>
      <c r="O1322">
        <v>0</v>
      </c>
      <c r="P1322">
        <v>30</v>
      </c>
      <c r="Q1322">
        <v>50</v>
      </c>
      <c r="R1322">
        <v>80</v>
      </c>
      <c r="S1322">
        <v>80</v>
      </c>
      <c r="T1322">
        <v>23</v>
      </c>
      <c r="U1322">
        <v>16</v>
      </c>
      <c r="V1322">
        <v>12</v>
      </c>
      <c r="W1322">
        <v>0</v>
      </c>
      <c r="X1322">
        <v>0</v>
      </c>
    </row>
    <row r="1323" spans="1:24" x14ac:dyDescent="0.2">
      <c r="A1323">
        <v>10030800</v>
      </c>
      <c r="B1323" t="s">
        <v>1322</v>
      </c>
      <c r="C1323">
        <v>800</v>
      </c>
      <c r="D1323">
        <v>800</v>
      </c>
      <c r="E1323">
        <v>10000</v>
      </c>
      <c r="F1323">
        <v>120</v>
      </c>
      <c r="G1323">
        <v>0</v>
      </c>
      <c r="H1323">
        <v>0</v>
      </c>
      <c r="I1323">
        <v>120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30</v>
      </c>
      <c r="Q1323">
        <v>50</v>
      </c>
      <c r="R1323">
        <v>0</v>
      </c>
      <c r="S1323">
        <v>80</v>
      </c>
      <c r="T1323">
        <v>23</v>
      </c>
      <c r="U1323">
        <v>16</v>
      </c>
      <c r="V1323">
        <v>12</v>
      </c>
      <c r="W1323">
        <v>0</v>
      </c>
      <c r="X1323">
        <v>0</v>
      </c>
    </row>
    <row r="1324" spans="1:24" x14ac:dyDescent="0.2">
      <c r="A1324">
        <v>10030900</v>
      </c>
      <c r="B1324" t="s">
        <v>1323</v>
      </c>
      <c r="C1324">
        <v>900</v>
      </c>
      <c r="D1324">
        <v>900</v>
      </c>
      <c r="E1324">
        <v>10000</v>
      </c>
      <c r="F1324">
        <v>120</v>
      </c>
      <c r="G1324">
        <v>0</v>
      </c>
      <c r="H1324">
        <v>0</v>
      </c>
      <c r="I1324">
        <v>0</v>
      </c>
      <c r="J1324">
        <v>120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30</v>
      </c>
      <c r="Q1324">
        <v>50</v>
      </c>
      <c r="R1324">
        <v>0</v>
      </c>
      <c r="S1324">
        <v>0</v>
      </c>
      <c r="T1324">
        <v>23</v>
      </c>
      <c r="U1324">
        <v>16</v>
      </c>
      <c r="V1324">
        <v>12</v>
      </c>
      <c r="W1324">
        <v>0</v>
      </c>
      <c r="X1324">
        <v>0</v>
      </c>
    </row>
    <row r="1325" spans="1:24" x14ac:dyDescent="0.2">
      <c r="A1325">
        <v>10031000</v>
      </c>
      <c r="B1325" t="s">
        <v>1324</v>
      </c>
      <c r="C1325">
        <v>1000</v>
      </c>
      <c r="D1325">
        <v>1000</v>
      </c>
      <c r="E1325">
        <v>10000</v>
      </c>
      <c r="F1325">
        <v>120</v>
      </c>
      <c r="G1325">
        <v>0</v>
      </c>
      <c r="H1325">
        <v>0</v>
      </c>
      <c r="I1325">
        <v>0</v>
      </c>
      <c r="J1325">
        <v>120</v>
      </c>
      <c r="K1325">
        <v>0</v>
      </c>
      <c r="L1325">
        <v>0</v>
      </c>
      <c r="M1325">
        <v>0</v>
      </c>
      <c r="N1325">
        <v>0</v>
      </c>
      <c r="O1325">
        <v>4</v>
      </c>
      <c r="P1325">
        <v>30</v>
      </c>
      <c r="Q1325">
        <v>50</v>
      </c>
      <c r="R1325">
        <v>80</v>
      </c>
      <c r="S1325">
        <v>80</v>
      </c>
      <c r="T1325">
        <v>23</v>
      </c>
      <c r="U1325">
        <v>16</v>
      </c>
      <c r="V1325">
        <v>12</v>
      </c>
      <c r="W1325">
        <v>0</v>
      </c>
      <c r="X1325">
        <v>0</v>
      </c>
    </row>
    <row r="1326" spans="1:24" x14ac:dyDescent="0.2">
      <c r="A1326">
        <v>10031100</v>
      </c>
      <c r="B1326" t="s">
        <v>1325</v>
      </c>
      <c r="C1326">
        <v>1100</v>
      </c>
      <c r="D1326">
        <v>1100</v>
      </c>
      <c r="E1326">
        <v>10000</v>
      </c>
      <c r="F1326">
        <v>125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30</v>
      </c>
      <c r="Q1326">
        <v>50</v>
      </c>
      <c r="R1326">
        <v>0</v>
      </c>
      <c r="S1326">
        <v>0</v>
      </c>
      <c r="T1326">
        <v>23</v>
      </c>
      <c r="U1326">
        <v>16</v>
      </c>
      <c r="V1326">
        <v>12</v>
      </c>
      <c r="W1326">
        <v>0</v>
      </c>
      <c r="X1326">
        <v>0</v>
      </c>
    </row>
    <row r="1327" spans="1:24" x14ac:dyDescent="0.2">
      <c r="A1327">
        <v>10031200</v>
      </c>
      <c r="B1327" t="s">
        <v>1326</v>
      </c>
      <c r="C1327">
        <v>1200</v>
      </c>
      <c r="D1327">
        <v>1200</v>
      </c>
      <c r="E1327">
        <v>10000</v>
      </c>
      <c r="F1327">
        <v>125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30</v>
      </c>
      <c r="Q1327">
        <v>50</v>
      </c>
      <c r="R1327">
        <v>0</v>
      </c>
      <c r="S1327">
        <v>0</v>
      </c>
      <c r="T1327">
        <v>23</v>
      </c>
      <c r="U1327">
        <v>16</v>
      </c>
      <c r="V1327">
        <v>12</v>
      </c>
      <c r="W1327">
        <v>0</v>
      </c>
      <c r="X1327">
        <v>0</v>
      </c>
    </row>
    <row r="1328" spans="1:24" x14ac:dyDescent="0.2">
      <c r="A1328">
        <v>10031300</v>
      </c>
      <c r="B1328" t="s">
        <v>1327</v>
      </c>
      <c r="C1328">
        <v>1300</v>
      </c>
      <c r="D1328">
        <v>1300</v>
      </c>
      <c r="E1328">
        <v>10000</v>
      </c>
      <c r="F1328">
        <v>140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30</v>
      </c>
      <c r="Q1328">
        <v>50</v>
      </c>
      <c r="R1328">
        <v>0</v>
      </c>
      <c r="S1328">
        <v>0</v>
      </c>
      <c r="T1328">
        <v>23</v>
      </c>
      <c r="U1328">
        <v>16</v>
      </c>
      <c r="V1328">
        <v>12</v>
      </c>
      <c r="W1328">
        <v>0</v>
      </c>
      <c r="X1328">
        <v>0</v>
      </c>
    </row>
    <row r="1329" spans="1:24" x14ac:dyDescent="0.2">
      <c r="A1329">
        <v>10031400</v>
      </c>
      <c r="B1329" t="s">
        <v>1328</v>
      </c>
      <c r="C1329">
        <v>1400</v>
      </c>
      <c r="D1329">
        <v>1400</v>
      </c>
      <c r="E1329">
        <v>10014</v>
      </c>
      <c r="F1329">
        <v>120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30</v>
      </c>
      <c r="Q1329">
        <v>50</v>
      </c>
      <c r="R1329">
        <v>0</v>
      </c>
      <c r="S1329">
        <v>80</v>
      </c>
      <c r="T1329">
        <v>23</v>
      </c>
      <c r="U1329">
        <v>16</v>
      </c>
      <c r="V1329">
        <v>12</v>
      </c>
      <c r="W1329">
        <v>0</v>
      </c>
      <c r="X1329">
        <v>0</v>
      </c>
    </row>
    <row r="1330" spans="1:24" x14ac:dyDescent="0.2">
      <c r="A1330">
        <v>10031500</v>
      </c>
      <c r="B1330" t="s">
        <v>1329</v>
      </c>
      <c r="C1330">
        <v>1500</v>
      </c>
      <c r="D1330">
        <v>1500</v>
      </c>
      <c r="E1330">
        <v>10015</v>
      </c>
      <c r="F1330">
        <v>125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30</v>
      </c>
      <c r="Q1330">
        <v>50</v>
      </c>
      <c r="R1330">
        <v>0</v>
      </c>
      <c r="S1330">
        <v>0</v>
      </c>
      <c r="T1330">
        <v>23</v>
      </c>
      <c r="U1330">
        <v>16</v>
      </c>
      <c r="V1330">
        <v>12</v>
      </c>
      <c r="W1330">
        <v>0</v>
      </c>
      <c r="X1330">
        <v>0</v>
      </c>
    </row>
    <row r="1331" spans="1:24" x14ac:dyDescent="0.2">
      <c r="A1331">
        <v>10050000</v>
      </c>
      <c r="B1331" t="s">
        <v>1330</v>
      </c>
      <c r="C1331">
        <v>2200</v>
      </c>
      <c r="D1331">
        <v>2200</v>
      </c>
      <c r="E1331">
        <v>10000</v>
      </c>
      <c r="F1331">
        <v>175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51</v>
      </c>
      <c r="Q1331">
        <v>30</v>
      </c>
      <c r="R1331">
        <v>0</v>
      </c>
      <c r="S1331">
        <v>0</v>
      </c>
      <c r="T1331">
        <v>25</v>
      </c>
      <c r="U1331">
        <v>36</v>
      </c>
      <c r="V1331">
        <v>18</v>
      </c>
      <c r="W1331">
        <v>0</v>
      </c>
      <c r="X1331">
        <v>0</v>
      </c>
    </row>
    <row r="1332" spans="1:24" x14ac:dyDescent="0.2">
      <c r="A1332">
        <v>10070000</v>
      </c>
      <c r="B1332" t="s">
        <v>1331</v>
      </c>
      <c r="C1332">
        <v>2200</v>
      </c>
      <c r="D1332">
        <v>2200</v>
      </c>
      <c r="E1332">
        <v>10000</v>
      </c>
      <c r="F1332">
        <v>87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11</v>
      </c>
      <c r="Q1332">
        <v>114</v>
      </c>
      <c r="R1332">
        <v>0</v>
      </c>
      <c r="S1332">
        <v>0</v>
      </c>
      <c r="T1332">
        <v>43</v>
      </c>
      <c r="U1332">
        <v>14</v>
      </c>
      <c r="V1332">
        <v>19</v>
      </c>
      <c r="W1332">
        <v>0</v>
      </c>
      <c r="X1332">
        <v>12</v>
      </c>
    </row>
    <row r="1333" spans="1:24" x14ac:dyDescent="0.2">
      <c r="A1333">
        <v>10080000</v>
      </c>
      <c r="B1333" t="s">
        <v>1332</v>
      </c>
      <c r="C1333">
        <v>0</v>
      </c>
      <c r="D1333">
        <v>0</v>
      </c>
      <c r="E1333">
        <v>10000</v>
      </c>
      <c r="F1333">
        <v>97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40</v>
      </c>
      <c r="Q1333">
        <v>66</v>
      </c>
      <c r="R1333">
        <v>0</v>
      </c>
      <c r="S1333">
        <v>0</v>
      </c>
      <c r="T1333">
        <v>30</v>
      </c>
      <c r="U1333">
        <v>16</v>
      </c>
      <c r="V1333">
        <v>18</v>
      </c>
      <c r="W1333">
        <v>0</v>
      </c>
      <c r="X1333">
        <v>0</v>
      </c>
    </row>
    <row r="1334" spans="1:24" x14ac:dyDescent="0.2">
      <c r="A1334">
        <v>10080100</v>
      </c>
      <c r="B1334" t="s">
        <v>1333</v>
      </c>
      <c r="C1334">
        <v>200</v>
      </c>
      <c r="D1334">
        <v>100</v>
      </c>
      <c r="E1334">
        <v>10000</v>
      </c>
      <c r="F1334">
        <v>97</v>
      </c>
      <c r="G1334">
        <v>0</v>
      </c>
      <c r="H1334">
        <v>0</v>
      </c>
      <c r="I1334">
        <v>0</v>
      </c>
      <c r="J1334">
        <v>0</v>
      </c>
      <c r="K1334">
        <v>1</v>
      </c>
      <c r="L1334">
        <v>0</v>
      </c>
      <c r="M1334">
        <v>0</v>
      </c>
      <c r="N1334">
        <v>0</v>
      </c>
      <c r="O1334">
        <v>0</v>
      </c>
      <c r="P1334">
        <v>47</v>
      </c>
      <c r="Q1334">
        <v>0</v>
      </c>
      <c r="R1334">
        <v>0</v>
      </c>
      <c r="S1334">
        <v>0</v>
      </c>
      <c r="T1334">
        <v>30</v>
      </c>
      <c r="U1334">
        <v>16</v>
      </c>
      <c r="V1334">
        <v>18</v>
      </c>
      <c r="W1334">
        <v>0</v>
      </c>
      <c r="X1334">
        <v>0</v>
      </c>
    </row>
    <row r="1335" spans="1:24" x14ac:dyDescent="0.2">
      <c r="A1335">
        <v>10080200</v>
      </c>
      <c r="B1335" t="s">
        <v>1334</v>
      </c>
      <c r="C1335">
        <v>100</v>
      </c>
      <c r="D1335">
        <v>5000</v>
      </c>
      <c r="E1335">
        <v>10000</v>
      </c>
      <c r="F1335">
        <v>97</v>
      </c>
      <c r="G1335">
        <v>0</v>
      </c>
      <c r="H1335">
        <v>0</v>
      </c>
      <c r="I1335">
        <v>0</v>
      </c>
      <c r="J1335">
        <v>0</v>
      </c>
      <c r="K1335">
        <v>2</v>
      </c>
      <c r="L1335">
        <v>0</v>
      </c>
      <c r="M1335">
        <v>0</v>
      </c>
      <c r="N1335">
        <v>0</v>
      </c>
      <c r="O1335">
        <v>0</v>
      </c>
      <c r="P1335">
        <v>26</v>
      </c>
      <c r="Q1335">
        <v>69</v>
      </c>
      <c r="R1335">
        <v>0</v>
      </c>
      <c r="S1335">
        <v>0</v>
      </c>
      <c r="T1335">
        <v>30</v>
      </c>
      <c r="U1335">
        <v>16</v>
      </c>
      <c r="V1335">
        <v>18</v>
      </c>
      <c r="W1335">
        <v>0</v>
      </c>
      <c r="X1335">
        <v>0</v>
      </c>
    </row>
    <row r="1336" spans="1:24" x14ac:dyDescent="0.2">
      <c r="A1336">
        <v>10080300</v>
      </c>
      <c r="B1336" t="s">
        <v>1335</v>
      </c>
      <c r="C1336">
        <v>300</v>
      </c>
      <c r="D1336">
        <v>300</v>
      </c>
      <c r="E1336">
        <v>10000</v>
      </c>
      <c r="F1336">
        <v>97</v>
      </c>
      <c r="G1336">
        <v>0</v>
      </c>
      <c r="H1336">
        <v>0</v>
      </c>
      <c r="I1336">
        <v>0</v>
      </c>
      <c r="J1336">
        <v>0</v>
      </c>
      <c r="K1336">
        <v>8</v>
      </c>
      <c r="L1336">
        <v>0</v>
      </c>
      <c r="M1336">
        <v>0</v>
      </c>
      <c r="N1336">
        <v>0</v>
      </c>
      <c r="O1336">
        <v>0</v>
      </c>
      <c r="P1336">
        <v>63</v>
      </c>
      <c r="Q1336">
        <v>63</v>
      </c>
      <c r="R1336">
        <v>0</v>
      </c>
      <c r="S1336">
        <v>0</v>
      </c>
      <c r="T1336">
        <v>30</v>
      </c>
      <c r="U1336">
        <v>16</v>
      </c>
      <c r="V1336">
        <v>18</v>
      </c>
      <c r="W1336">
        <v>0</v>
      </c>
      <c r="X1336">
        <v>0</v>
      </c>
    </row>
    <row r="1337" spans="1:24" x14ac:dyDescent="0.2">
      <c r="A1337">
        <v>10080400</v>
      </c>
      <c r="B1337" t="s">
        <v>1336</v>
      </c>
      <c r="C1337">
        <v>500</v>
      </c>
      <c r="D1337">
        <v>500</v>
      </c>
      <c r="E1337">
        <v>10000</v>
      </c>
      <c r="F1337">
        <v>97</v>
      </c>
      <c r="G1337">
        <v>97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40</v>
      </c>
      <c r="Q1337">
        <v>66</v>
      </c>
      <c r="R1337">
        <v>106</v>
      </c>
      <c r="S1337">
        <v>0</v>
      </c>
      <c r="T1337">
        <v>30</v>
      </c>
      <c r="U1337">
        <v>16</v>
      </c>
      <c r="V1337">
        <v>18</v>
      </c>
      <c r="W1337">
        <v>0</v>
      </c>
      <c r="X1337">
        <v>0</v>
      </c>
    </row>
    <row r="1338" spans="1:24" x14ac:dyDescent="0.2">
      <c r="A1338">
        <v>10080500</v>
      </c>
      <c r="B1338" t="s">
        <v>1337</v>
      </c>
      <c r="C1338">
        <v>400</v>
      </c>
      <c r="D1338">
        <v>400</v>
      </c>
      <c r="E1338">
        <v>10000</v>
      </c>
      <c r="F1338">
        <v>97</v>
      </c>
      <c r="G1338">
        <v>97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40</v>
      </c>
      <c r="Q1338">
        <v>66</v>
      </c>
      <c r="R1338">
        <v>106</v>
      </c>
      <c r="S1338">
        <v>0</v>
      </c>
      <c r="T1338">
        <v>30</v>
      </c>
      <c r="U1338">
        <v>16</v>
      </c>
      <c r="V1338">
        <v>18</v>
      </c>
      <c r="W1338">
        <v>0</v>
      </c>
      <c r="X1338">
        <v>0</v>
      </c>
    </row>
    <row r="1339" spans="1:24" x14ac:dyDescent="0.2">
      <c r="A1339">
        <v>10080600</v>
      </c>
      <c r="B1339" t="s">
        <v>1338</v>
      </c>
      <c r="C1339">
        <v>600</v>
      </c>
      <c r="D1339">
        <v>600</v>
      </c>
      <c r="E1339">
        <v>10000</v>
      </c>
      <c r="F1339">
        <v>112</v>
      </c>
      <c r="G1339">
        <v>0</v>
      </c>
      <c r="H1339">
        <v>112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40</v>
      </c>
      <c r="Q1339">
        <v>66</v>
      </c>
      <c r="R1339">
        <v>0</v>
      </c>
      <c r="S1339">
        <v>0</v>
      </c>
      <c r="T1339">
        <v>30</v>
      </c>
      <c r="U1339">
        <v>16</v>
      </c>
      <c r="V1339">
        <v>18</v>
      </c>
      <c r="W1339">
        <v>0</v>
      </c>
      <c r="X1339">
        <v>0</v>
      </c>
    </row>
    <row r="1340" spans="1:24" x14ac:dyDescent="0.2">
      <c r="A1340">
        <v>10080700</v>
      </c>
      <c r="B1340" t="s">
        <v>1339</v>
      </c>
      <c r="C1340">
        <v>700</v>
      </c>
      <c r="D1340">
        <v>700</v>
      </c>
      <c r="E1340">
        <v>10000</v>
      </c>
      <c r="F1340">
        <v>97</v>
      </c>
      <c r="G1340">
        <v>0</v>
      </c>
      <c r="H1340">
        <v>97</v>
      </c>
      <c r="I1340">
        <v>0</v>
      </c>
      <c r="J1340">
        <v>0</v>
      </c>
      <c r="K1340">
        <v>0</v>
      </c>
      <c r="L1340">
        <v>0</v>
      </c>
      <c r="M1340">
        <v>4</v>
      </c>
      <c r="N1340">
        <v>0</v>
      </c>
      <c r="O1340">
        <v>0</v>
      </c>
      <c r="P1340">
        <v>40</v>
      </c>
      <c r="Q1340">
        <v>66</v>
      </c>
      <c r="R1340">
        <v>106</v>
      </c>
      <c r="S1340">
        <v>106</v>
      </c>
      <c r="T1340">
        <v>30</v>
      </c>
      <c r="U1340">
        <v>16</v>
      </c>
      <c r="V1340">
        <v>18</v>
      </c>
      <c r="W1340">
        <v>0</v>
      </c>
      <c r="X1340">
        <v>0</v>
      </c>
    </row>
    <row r="1341" spans="1:24" x14ac:dyDescent="0.2">
      <c r="A1341">
        <v>10080800</v>
      </c>
      <c r="B1341" t="s">
        <v>1340</v>
      </c>
      <c r="C1341">
        <v>800</v>
      </c>
      <c r="D1341">
        <v>800</v>
      </c>
      <c r="E1341">
        <v>10000</v>
      </c>
      <c r="F1341">
        <v>97</v>
      </c>
      <c r="G1341">
        <v>0</v>
      </c>
      <c r="H1341">
        <v>0</v>
      </c>
      <c r="I1341">
        <v>97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40</v>
      </c>
      <c r="Q1341">
        <v>66</v>
      </c>
      <c r="R1341">
        <v>0</v>
      </c>
      <c r="S1341">
        <v>106</v>
      </c>
      <c r="T1341">
        <v>30</v>
      </c>
      <c r="U1341">
        <v>16</v>
      </c>
      <c r="V1341">
        <v>18</v>
      </c>
      <c r="W1341">
        <v>0</v>
      </c>
      <c r="X1341">
        <v>0</v>
      </c>
    </row>
    <row r="1342" spans="1:24" x14ac:dyDescent="0.2">
      <c r="A1342">
        <v>10080900</v>
      </c>
      <c r="B1342" t="s">
        <v>1341</v>
      </c>
      <c r="C1342">
        <v>900</v>
      </c>
      <c r="D1342">
        <v>900</v>
      </c>
      <c r="E1342">
        <v>10000</v>
      </c>
      <c r="F1342">
        <v>112</v>
      </c>
      <c r="G1342">
        <v>0</v>
      </c>
      <c r="H1342">
        <v>0</v>
      </c>
      <c r="I1342">
        <v>0</v>
      </c>
      <c r="J1342">
        <v>112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40</v>
      </c>
      <c r="Q1342">
        <v>66</v>
      </c>
      <c r="R1342">
        <v>0</v>
      </c>
      <c r="S1342">
        <v>0</v>
      </c>
      <c r="T1342">
        <v>30</v>
      </c>
      <c r="U1342">
        <v>16</v>
      </c>
      <c r="V1342">
        <v>18</v>
      </c>
      <c r="W1342">
        <v>0</v>
      </c>
      <c r="X1342">
        <v>0</v>
      </c>
    </row>
    <row r="1343" spans="1:24" x14ac:dyDescent="0.2">
      <c r="A1343">
        <v>10081000</v>
      </c>
      <c r="B1343" t="s">
        <v>1342</v>
      </c>
      <c r="C1343">
        <v>1000</v>
      </c>
      <c r="D1343">
        <v>1000</v>
      </c>
      <c r="E1343">
        <v>10000</v>
      </c>
      <c r="F1343">
        <v>97</v>
      </c>
      <c r="G1343">
        <v>0</v>
      </c>
      <c r="H1343">
        <v>0</v>
      </c>
      <c r="I1343">
        <v>0</v>
      </c>
      <c r="J1343">
        <v>97</v>
      </c>
      <c r="K1343">
        <v>0</v>
      </c>
      <c r="L1343">
        <v>0</v>
      </c>
      <c r="M1343">
        <v>0</v>
      </c>
      <c r="N1343">
        <v>0</v>
      </c>
      <c r="O1343">
        <v>4</v>
      </c>
      <c r="P1343">
        <v>40</v>
      </c>
      <c r="Q1343">
        <v>66</v>
      </c>
      <c r="R1343">
        <v>106</v>
      </c>
      <c r="S1343">
        <v>106</v>
      </c>
      <c r="T1343">
        <v>30</v>
      </c>
      <c r="U1343">
        <v>16</v>
      </c>
      <c r="V1343">
        <v>18</v>
      </c>
      <c r="W1343">
        <v>0</v>
      </c>
      <c r="X1343">
        <v>0</v>
      </c>
    </row>
    <row r="1344" spans="1:24" x14ac:dyDescent="0.2">
      <c r="A1344">
        <v>10081100</v>
      </c>
      <c r="B1344" t="s">
        <v>1343</v>
      </c>
      <c r="C1344">
        <v>1100</v>
      </c>
      <c r="D1344">
        <v>1100</v>
      </c>
      <c r="E1344">
        <v>10000</v>
      </c>
      <c r="F1344">
        <v>97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40</v>
      </c>
      <c r="Q1344">
        <v>66</v>
      </c>
      <c r="R1344">
        <v>0</v>
      </c>
      <c r="S1344">
        <v>0</v>
      </c>
      <c r="T1344">
        <v>30</v>
      </c>
      <c r="U1344">
        <v>16</v>
      </c>
      <c r="V1344">
        <v>18</v>
      </c>
      <c r="W1344">
        <v>0</v>
      </c>
      <c r="X1344">
        <v>0</v>
      </c>
    </row>
    <row r="1345" spans="1:24" x14ac:dyDescent="0.2">
      <c r="A1345">
        <v>10081200</v>
      </c>
      <c r="B1345" t="s">
        <v>1344</v>
      </c>
      <c r="C1345">
        <v>1200</v>
      </c>
      <c r="D1345">
        <v>1200</v>
      </c>
      <c r="E1345">
        <v>10000</v>
      </c>
      <c r="F1345">
        <v>97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40</v>
      </c>
      <c r="Q1345">
        <v>66</v>
      </c>
      <c r="R1345">
        <v>0</v>
      </c>
      <c r="S1345">
        <v>0</v>
      </c>
      <c r="T1345">
        <v>30</v>
      </c>
      <c r="U1345">
        <v>16</v>
      </c>
      <c r="V1345">
        <v>18</v>
      </c>
      <c r="W1345">
        <v>0</v>
      </c>
      <c r="X1345">
        <v>0</v>
      </c>
    </row>
    <row r="1346" spans="1:24" x14ac:dyDescent="0.2">
      <c r="A1346">
        <v>10081300</v>
      </c>
      <c r="B1346" t="s">
        <v>1345</v>
      </c>
      <c r="C1346">
        <v>1300</v>
      </c>
      <c r="D1346">
        <v>1300</v>
      </c>
      <c r="E1346">
        <v>10000</v>
      </c>
      <c r="F1346">
        <v>122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40</v>
      </c>
      <c r="Q1346">
        <v>66</v>
      </c>
      <c r="R1346">
        <v>0</v>
      </c>
      <c r="S1346">
        <v>0</v>
      </c>
      <c r="T1346">
        <v>30</v>
      </c>
      <c r="U1346">
        <v>16</v>
      </c>
      <c r="V1346">
        <v>18</v>
      </c>
      <c r="W1346">
        <v>0</v>
      </c>
      <c r="X1346">
        <v>0</v>
      </c>
    </row>
    <row r="1347" spans="1:24" x14ac:dyDescent="0.2">
      <c r="A1347">
        <v>10081400</v>
      </c>
      <c r="B1347" t="s">
        <v>1346</v>
      </c>
      <c r="C1347">
        <v>1400</v>
      </c>
      <c r="D1347">
        <v>1400</v>
      </c>
      <c r="E1347">
        <v>10014</v>
      </c>
      <c r="F1347">
        <v>97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40</v>
      </c>
      <c r="Q1347">
        <v>66</v>
      </c>
      <c r="R1347">
        <v>0</v>
      </c>
      <c r="S1347">
        <v>106</v>
      </c>
      <c r="T1347">
        <v>30</v>
      </c>
      <c r="U1347">
        <v>16</v>
      </c>
      <c r="V1347">
        <v>18</v>
      </c>
      <c r="W1347">
        <v>0</v>
      </c>
      <c r="X1347">
        <v>0</v>
      </c>
    </row>
    <row r="1348" spans="1:24" x14ac:dyDescent="0.2">
      <c r="A1348">
        <v>10081500</v>
      </c>
      <c r="B1348" t="s">
        <v>1347</v>
      </c>
      <c r="C1348">
        <v>1500</v>
      </c>
      <c r="D1348">
        <v>1500</v>
      </c>
      <c r="E1348">
        <v>10015</v>
      </c>
      <c r="F1348">
        <v>97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40</v>
      </c>
      <c r="Q1348">
        <v>66</v>
      </c>
      <c r="R1348">
        <v>0</v>
      </c>
      <c r="S1348">
        <v>0</v>
      </c>
      <c r="T1348">
        <v>30</v>
      </c>
      <c r="U1348">
        <v>16</v>
      </c>
      <c r="V1348">
        <v>18</v>
      </c>
      <c r="W1348">
        <v>0</v>
      </c>
      <c r="X1348">
        <v>0</v>
      </c>
    </row>
    <row r="1349" spans="1:24" x14ac:dyDescent="0.2">
      <c r="A1349">
        <v>10090000</v>
      </c>
      <c r="B1349" t="s">
        <v>1348</v>
      </c>
      <c r="C1349">
        <v>0</v>
      </c>
      <c r="D1349">
        <v>0</v>
      </c>
      <c r="E1349">
        <v>10000</v>
      </c>
      <c r="F1349">
        <v>145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41</v>
      </c>
      <c r="Q1349">
        <v>15</v>
      </c>
      <c r="R1349">
        <v>0</v>
      </c>
      <c r="S1349">
        <v>0</v>
      </c>
      <c r="T1349">
        <v>14</v>
      </c>
      <c r="U1349">
        <v>26</v>
      </c>
      <c r="V1349">
        <v>16</v>
      </c>
      <c r="W1349">
        <v>0</v>
      </c>
      <c r="X1349">
        <v>0</v>
      </c>
    </row>
    <row r="1350" spans="1:24" x14ac:dyDescent="0.2">
      <c r="A1350">
        <v>10090100</v>
      </c>
      <c r="B1350" t="s">
        <v>1349</v>
      </c>
      <c r="C1350">
        <v>200</v>
      </c>
      <c r="D1350">
        <v>100</v>
      </c>
      <c r="E1350">
        <v>10000</v>
      </c>
      <c r="F1350">
        <v>145</v>
      </c>
      <c r="G1350">
        <v>0</v>
      </c>
      <c r="H1350">
        <v>0</v>
      </c>
      <c r="I1350">
        <v>0</v>
      </c>
      <c r="J1350">
        <v>0</v>
      </c>
      <c r="K1350">
        <v>1</v>
      </c>
      <c r="L1350">
        <v>0</v>
      </c>
      <c r="M1350">
        <v>0</v>
      </c>
      <c r="N1350">
        <v>0</v>
      </c>
      <c r="O1350">
        <v>0</v>
      </c>
      <c r="P1350">
        <v>44</v>
      </c>
      <c r="Q1350">
        <v>0</v>
      </c>
      <c r="R1350">
        <v>0</v>
      </c>
      <c r="S1350">
        <v>0</v>
      </c>
      <c r="T1350">
        <v>14</v>
      </c>
      <c r="U1350">
        <v>26</v>
      </c>
      <c r="V1350">
        <v>16</v>
      </c>
      <c r="W1350">
        <v>0</v>
      </c>
      <c r="X1350">
        <v>0</v>
      </c>
    </row>
    <row r="1351" spans="1:24" x14ac:dyDescent="0.2">
      <c r="A1351">
        <v>10090200</v>
      </c>
      <c r="B1351" t="s">
        <v>1350</v>
      </c>
      <c r="C1351">
        <v>100</v>
      </c>
      <c r="D1351">
        <v>200</v>
      </c>
      <c r="E1351">
        <v>10000</v>
      </c>
      <c r="F1351">
        <v>145</v>
      </c>
      <c r="G1351">
        <v>0</v>
      </c>
      <c r="H1351">
        <v>0</v>
      </c>
      <c r="I1351">
        <v>0</v>
      </c>
      <c r="J1351">
        <v>0</v>
      </c>
      <c r="K1351">
        <v>2</v>
      </c>
      <c r="L1351">
        <v>0</v>
      </c>
      <c r="M1351">
        <v>0</v>
      </c>
      <c r="N1351">
        <v>0</v>
      </c>
      <c r="O1351">
        <v>0</v>
      </c>
      <c r="P1351">
        <v>6</v>
      </c>
      <c r="Q1351">
        <v>40</v>
      </c>
      <c r="R1351">
        <v>0</v>
      </c>
      <c r="S1351">
        <v>0</v>
      </c>
      <c r="T1351">
        <v>14</v>
      </c>
      <c r="U1351">
        <v>26</v>
      </c>
      <c r="V1351">
        <v>16</v>
      </c>
      <c r="W1351">
        <v>0</v>
      </c>
      <c r="X1351">
        <v>0</v>
      </c>
    </row>
    <row r="1352" spans="1:24" x14ac:dyDescent="0.2">
      <c r="A1352">
        <v>10090300</v>
      </c>
      <c r="B1352" t="s">
        <v>1351</v>
      </c>
      <c r="C1352">
        <v>300</v>
      </c>
      <c r="D1352">
        <v>6100</v>
      </c>
      <c r="E1352">
        <v>10000</v>
      </c>
      <c r="F1352">
        <v>145</v>
      </c>
      <c r="G1352">
        <v>0</v>
      </c>
      <c r="H1352">
        <v>0</v>
      </c>
      <c r="I1352">
        <v>0</v>
      </c>
      <c r="J1352">
        <v>0</v>
      </c>
      <c r="K1352">
        <v>8</v>
      </c>
      <c r="L1352">
        <v>0</v>
      </c>
      <c r="M1352">
        <v>0</v>
      </c>
      <c r="N1352">
        <v>0</v>
      </c>
      <c r="O1352">
        <v>0</v>
      </c>
      <c r="P1352">
        <v>43</v>
      </c>
      <c r="Q1352">
        <v>38</v>
      </c>
      <c r="R1352">
        <v>0</v>
      </c>
      <c r="S1352">
        <v>0</v>
      </c>
      <c r="T1352">
        <v>14</v>
      </c>
      <c r="U1352">
        <v>26</v>
      </c>
      <c r="V1352">
        <v>16</v>
      </c>
      <c r="W1352">
        <v>0</v>
      </c>
      <c r="X1352">
        <v>0</v>
      </c>
    </row>
    <row r="1353" spans="1:24" x14ac:dyDescent="0.2">
      <c r="A1353">
        <v>10090400</v>
      </c>
      <c r="B1353" t="s">
        <v>1352</v>
      </c>
      <c r="C1353">
        <v>500</v>
      </c>
      <c r="D1353">
        <v>500</v>
      </c>
      <c r="E1353">
        <v>10000</v>
      </c>
      <c r="F1353">
        <v>150</v>
      </c>
      <c r="G1353">
        <v>150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41</v>
      </c>
      <c r="Q1353">
        <v>15</v>
      </c>
      <c r="R1353">
        <v>56</v>
      </c>
      <c r="S1353">
        <v>0</v>
      </c>
      <c r="T1353">
        <v>14</v>
      </c>
      <c r="U1353">
        <v>26</v>
      </c>
      <c r="V1353">
        <v>16</v>
      </c>
      <c r="W1353">
        <v>0</v>
      </c>
      <c r="X1353">
        <v>0</v>
      </c>
    </row>
    <row r="1354" spans="1:24" x14ac:dyDescent="0.2">
      <c r="A1354">
        <v>10090500</v>
      </c>
      <c r="B1354" t="s">
        <v>1353</v>
      </c>
      <c r="C1354">
        <v>400</v>
      </c>
      <c r="D1354">
        <v>400</v>
      </c>
      <c r="E1354">
        <v>10000</v>
      </c>
      <c r="F1354">
        <v>150</v>
      </c>
      <c r="G1354">
        <v>150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41</v>
      </c>
      <c r="Q1354">
        <v>15</v>
      </c>
      <c r="R1354">
        <v>56</v>
      </c>
      <c r="S1354">
        <v>0</v>
      </c>
      <c r="T1354">
        <v>14</v>
      </c>
      <c r="U1354">
        <v>26</v>
      </c>
      <c r="V1354">
        <v>16</v>
      </c>
      <c r="W1354">
        <v>0</v>
      </c>
      <c r="X1354">
        <v>0</v>
      </c>
    </row>
    <row r="1355" spans="1:24" x14ac:dyDescent="0.2">
      <c r="A1355">
        <v>10090600</v>
      </c>
      <c r="B1355" t="s">
        <v>1354</v>
      </c>
      <c r="C1355">
        <v>600</v>
      </c>
      <c r="D1355">
        <v>600</v>
      </c>
      <c r="E1355">
        <v>10000</v>
      </c>
      <c r="F1355">
        <v>133</v>
      </c>
      <c r="G1355">
        <v>0</v>
      </c>
      <c r="H1355">
        <v>133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41</v>
      </c>
      <c r="Q1355">
        <v>15</v>
      </c>
      <c r="R1355">
        <v>0</v>
      </c>
      <c r="S1355">
        <v>0</v>
      </c>
      <c r="T1355">
        <v>14</v>
      </c>
      <c r="U1355">
        <v>26</v>
      </c>
      <c r="V1355">
        <v>16</v>
      </c>
      <c r="W1355">
        <v>0</v>
      </c>
      <c r="X1355">
        <v>0</v>
      </c>
    </row>
    <row r="1356" spans="1:24" x14ac:dyDescent="0.2">
      <c r="A1356">
        <v>10090700</v>
      </c>
      <c r="B1356" t="s">
        <v>1355</v>
      </c>
      <c r="C1356">
        <v>700</v>
      </c>
      <c r="D1356">
        <v>700</v>
      </c>
      <c r="E1356">
        <v>10000</v>
      </c>
      <c r="F1356">
        <v>150</v>
      </c>
      <c r="G1356">
        <v>0</v>
      </c>
      <c r="H1356">
        <v>150</v>
      </c>
      <c r="I1356">
        <v>0</v>
      </c>
      <c r="J1356">
        <v>0</v>
      </c>
      <c r="K1356">
        <v>0</v>
      </c>
      <c r="L1356">
        <v>0</v>
      </c>
      <c r="M1356">
        <v>4</v>
      </c>
      <c r="N1356">
        <v>0</v>
      </c>
      <c r="O1356">
        <v>0</v>
      </c>
      <c r="P1356">
        <v>41</v>
      </c>
      <c r="Q1356">
        <v>15</v>
      </c>
      <c r="R1356">
        <v>56</v>
      </c>
      <c r="S1356">
        <v>56</v>
      </c>
      <c r="T1356">
        <v>14</v>
      </c>
      <c r="U1356">
        <v>26</v>
      </c>
      <c r="V1356">
        <v>16</v>
      </c>
      <c r="W1356">
        <v>0</v>
      </c>
      <c r="X1356">
        <v>0</v>
      </c>
    </row>
    <row r="1357" spans="1:24" x14ac:dyDescent="0.2">
      <c r="A1357">
        <v>10090800</v>
      </c>
      <c r="B1357" t="s">
        <v>1356</v>
      </c>
      <c r="C1357">
        <v>800</v>
      </c>
      <c r="D1357">
        <v>800</v>
      </c>
      <c r="E1357">
        <v>10000</v>
      </c>
      <c r="F1357">
        <v>150</v>
      </c>
      <c r="G1357">
        <v>0</v>
      </c>
      <c r="H1357">
        <v>0</v>
      </c>
      <c r="I1357">
        <v>150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41</v>
      </c>
      <c r="Q1357">
        <v>15</v>
      </c>
      <c r="R1357">
        <v>0</v>
      </c>
      <c r="S1357">
        <v>56</v>
      </c>
      <c r="T1357">
        <v>14</v>
      </c>
      <c r="U1357">
        <v>26</v>
      </c>
      <c r="V1357">
        <v>16</v>
      </c>
      <c r="W1357">
        <v>0</v>
      </c>
      <c r="X1357">
        <v>0</v>
      </c>
    </row>
    <row r="1358" spans="1:24" x14ac:dyDescent="0.2">
      <c r="A1358">
        <v>10090900</v>
      </c>
      <c r="B1358" t="s">
        <v>1357</v>
      </c>
      <c r="C1358">
        <v>900</v>
      </c>
      <c r="D1358">
        <v>900</v>
      </c>
      <c r="E1358">
        <v>10000</v>
      </c>
      <c r="F1358">
        <v>133</v>
      </c>
      <c r="G1358">
        <v>0</v>
      </c>
      <c r="H1358">
        <v>0</v>
      </c>
      <c r="I1358">
        <v>0</v>
      </c>
      <c r="J1358">
        <v>133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41</v>
      </c>
      <c r="Q1358">
        <v>15</v>
      </c>
      <c r="R1358">
        <v>0</v>
      </c>
      <c r="S1358">
        <v>0</v>
      </c>
      <c r="T1358">
        <v>14</v>
      </c>
      <c r="U1358">
        <v>26</v>
      </c>
      <c r="V1358">
        <v>16</v>
      </c>
      <c r="W1358">
        <v>0</v>
      </c>
      <c r="X1358">
        <v>0</v>
      </c>
    </row>
    <row r="1359" spans="1:24" x14ac:dyDescent="0.2">
      <c r="A1359">
        <v>10091000</v>
      </c>
      <c r="B1359" t="s">
        <v>1358</v>
      </c>
      <c r="C1359">
        <v>1000</v>
      </c>
      <c r="D1359">
        <v>1000</v>
      </c>
      <c r="E1359">
        <v>10000</v>
      </c>
      <c r="F1359">
        <v>150</v>
      </c>
      <c r="G1359">
        <v>0</v>
      </c>
      <c r="H1359">
        <v>0</v>
      </c>
      <c r="I1359">
        <v>0</v>
      </c>
      <c r="J1359">
        <v>150</v>
      </c>
      <c r="K1359">
        <v>0</v>
      </c>
      <c r="L1359">
        <v>0</v>
      </c>
      <c r="M1359">
        <v>0</v>
      </c>
      <c r="N1359">
        <v>0</v>
      </c>
      <c r="O1359">
        <v>4</v>
      </c>
      <c r="P1359">
        <v>41</v>
      </c>
      <c r="Q1359">
        <v>15</v>
      </c>
      <c r="R1359">
        <v>56</v>
      </c>
      <c r="S1359">
        <v>56</v>
      </c>
      <c r="T1359">
        <v>14</v>
      </c>
      <c r="U1359">
        <v>26</v>
      </c>
      <c r="V1359">
        <v>16</v>
      </c>
      <c r="W1359">
        <v>0</v>
      </c>
      <c r="X1359">
        <v>0</v>
      </c>
    </row>
    <row r="1360" spans="1:24" x14ac:dyDescent="0.2">
      <c r="A1360">
        <v>10091100</v>
      </c>
      <c r="B1360" t="s">
        <v>1359</v>
      </c>
      <c r="C1360">
        <v>1100</v>
      </c>
      <c r="D1360">
        <v>1100</v>
      </c>
      <c r="E1360">
        <v>10000</v>
      </c>
      <c r="F1360">
        <v>145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41</v>
      </c>
      <c r="Q1360">
        <v>15</v>
      </c>
      <c r="R1360">
        <v>0</v>
      </c>
      <c r="S1360">
        <v>0</v>
      </c>
      <c r="T1360">
        <v>14</v>
      </c>
      <c r="U1360">
        <v>26</v>
      </c>
      <c r="V1360">
        <v>16</v>
      </c>
      <c r="W1360">
        <v>0</v>
      </c>
      <c r="X1360">
        <v>0</v>
      </c>
    </row>
    <row r="1361" spans="1:24" x14ac:dyDescent="0.2">
      <c r="A1361">
        <v>10091200</v>
      </c>
      <c r="B1361" t="s">
        <v>1360</v>
      </c>
      <c r="C1361">
        <v>1200</v>
      </c>
      <c r="D1361">
        <v>1200</v>
      </c>
      <c r="E1361">
        <v>10000</v>
      </c>
      <c r="F1361">
        <v>145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41</v>
      </c>
      <c r="Q1361">
        <v>15</v>
      </c>
      <c r="R1361">
        <v>0</v>
      </c>
      <c r="S1361">
        <v>0</v>
      </c>
      <c r="T1361">
        <v>14</v>
      </c>
      <c r="U1361">
        <v>26</v>
      </c>
      <c r="V1361">
        <v>16</v>
      </c>
      <c r="W1361">
        <v>0</v>
      </c>
      <c r="X1361">
        <v>0</v>
      </c>
    </row>
    <row r="1362" spans="1:24" x14ac:dyDescent="0.2">
      <c r="A1362">
        <v>10091300</v>
      </c>
      <c r="B1362" t="s">
        <v>1361</v>
      </c>
      <c r="C1362">
        <v>1300</v>
      </c>
      <c r="D1362">
        <v>1300</v>
      </c>
      <c r="E1362">
        <v>10000</v>
      </c>
      <c r="F1362">
        <v>158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41</v>
      </c>
      <c r="Q1362">
        <v>15</v>
      </c>
      <c r="R1362">
        <v>0</v>
      </c>
      <c r="S1362">
        <v>0</v>
      </c>
      <c r="T1362">
        <v>14</v>
      </c>
      <c r="U1362">
        <v>26</v>
      </c>
      <c r="V1362">
        <v>16</v>
      </c>
      <c r="W1362">
        <v>0</v>
      </c>
      <c r="X1362">
        <v>0</v>
      </c>
    </row>
    <row r="1363" spans="1:24" x14ac:dyDescent="0.2">
      <c r="A1363">
        <v>10091400</v>
      </c>
      <c r="B1363" t="s">
        <v>1362</v>
      </c>
      <c r="C1363">
        <v>1400</v>
      </c>
      <c r="D1363">
        <v>1400</v>
      </c>
      <c r="E1363">
        <v>10014</v>
      </c>
      <c r="F1363">
        <v>150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41</v>
      </c>
      <c r="Q1363">
        <v>15</v>
      </c>
      <c r="R1363">
        <v>0</v>
      </c>
      <c r="S1363">
        <v>56</v>
      </c>
      <c r="T1363">
        <v>14</v>
      </c>
      <c r="U1363">
        <v>26</v>
      </c>
      <c r="V1363">
        <v>16</v>
      </c>
      <c r="W1363">
        <v>0</v>
      </c>
      <c r="X1363">
        <v>0</v>
      </c>
    </row>
    <row r="1364" spans="1:24" x14ac:dyDescent="0.2">
      <c r="A1364">
        <v>10091500</v>
      </c>
      <c r="B1364" t="s">
        <v>1363</v>
      </c>
      <c r="C1364">
        <v>1500</v>
      </c>
      <c r="D1364">
        <v>1500</v>
      </c>
      <c r="E1364">
        <v>10015</v>
      </c>
      <c r="F1364">
        <v>145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41</v>
      </c>
      <c r="Q1364">
        <v>15</v>
      </c>
      <c r="R1364">
        <v>0</v>
      </c>
      <c r="S1364">
        <v>0</v>
      </c>
      <c r="T1364">
        <v>14</v>
      </c>
      <c r="U1364">
        <v>26</v>
      </c>
      <c r="V1364">
        <v>16</v>
      </c>
      <c r="W1364">
        <v>0</v>
      </c>
      <c r="X1364">
        <v>0</v>
      </c>
    </row>
    <row r="1365" spans="1:24" x14ac:dyDescent="0.2">
      <c r="A1365">
        <v>10100000</v>
      </c>
      <c r="B1365" t="s">
        <v>1364</v>
      </c>
      <c r="C1365">
        <v>2000</v>
      </c>
      <c r="D1365">
        <v>2100</v>
      </c>
      <c r="E1365">
        <v>10000</v>
      </c>
      <c r="F1365">
        <v>132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67</v>
      </c>
      <c r="Q1365">
        <v>10</v>
      </c>
      <c r="R1365">
        <v>0</v>
      </c>
      <c r="S1365">
        <v>0</v>
      </c>
      <c r="T1365">
        <v>17</v>
      </c>
      <c r="U1365">
        <v>30</v>
      </c>
      <c r="V1365">
        <v>15</v>
      </c>
      <c r="W1365">
        <v>0</v>
      </c>
      <c r="X1365">
        <v>0</v>
      </c>
    </row>
    <row r="1366" spans="1:24" x14ac:dyDescent="0.2">
      <c r="A1366">
        <v>10140000</v>
      </c>
      <c r="B1366" t="s">
        <v>1365</v>
      </c>
      <c r="C1366">
        <v>0</v>
      </c>
      <c r="D1366">
        <v>0</v>
      </c>
      <c r="E1366">
        <v>10000</v>
      </c>
      <c r="F1366">
        <v>130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35</v>
      </c>
      <c r="Q1366">
        <v>40</v>
      </c>
      <c r="R1366">
        <v>0</v>
      </c>
      <c r="S1366">
        <v>0</v>
      </c>
      <c r="T1366">
        <v>21</v>
      </c>
      <c r="U1366">
        <v>14</v>
      </c>
      <c r="V1366">
        <v>14</v>
      </c>
      <c r="W1366">
        <v>0</v>
      </c>
      <c r="X1366">
        <v>0</v>
      </c>
    </row>
    <row r="1367" spans="1:24" x14ac:dyDescent="0.2">
      <c r="A1367">
        <v>10140100</v>
      </c>
      <c r="B1367" t="s">
        <v>1366</v>
      </c>
      <c r="C1367">
        <v>200</v>
      </c>
      <c r="D1367">
        <v>100</v>
      </c>
      <c r="E1367">
        <v>10000</v>
      </c>
      <c r="F1367">
        <v>130</v>
      </c>
      <c r="G1367">
        <v>0</v>
      </c>
      <c r="H1367">
        <v>0</v>
      </c>
      <c r="I1367">
        <v>0</v>
      </c>
      <c r="J1367">
        <v>0</v>
      </c>
      <c r="K1367">
        <v>1</v>
      </c>
      <c r="L1367">
        <v>0</v>
      </c>
      <c r="M1367">
        <v>0</v>
      </c>
      <c r="N1367">
        <v>0</v>
      </c>
      <c r="O1367">
        <v>0</v>
      </c>
      <c r="P1367">
        <v>39</v>
      </c>
      <c r="Q1367">
        <v>0</v>
      </c>
      <c r="R1367">
        <v>0</v>
      </c>
      <c r="S1367">
        <v>0</v>
      </c>
      <c r="T1367">
        <v>21</v>
      </c>
      <c r="U1367">
        <v>14</v>
      </c>
      <c r="V1367">
        <v>14</v>
      </c>
      <c r="W1367">
        <v>0</v>
      </c>
      <c r="X1367">
        <v>0</v>
      </c>
    </row>
    <row r="1368" spans="1:24" x14ac:dyDescent="0.2">
      <c r="A1368">
        <v>10140200</v>
      </c>
      <c r="B1368" t="s">
        <v>1367</v>
      </c>
      <c r="C1368">
        <v>100</v>
      </c>
      <c r="D1368">
        <v>5000</v>
      </c>
      <c r="E1368">
        <v>10000</v>
      </c>
      <c r="F1368">
        <v>130</v>
      </c>
      <c r="G1368">
        <v>0</v>
      </c>
      <c r="H1368">
        <v>0</v>
      </c>
      <c r="I1368">
        <v>0</v>
      </c>
      <c r="J1368">
        <v>0</v>
      </c>
      <c r="K1368">
        <v>2</v>
      </c>
      <c r="L1368">
        <v>0</v>
      </c>
      <c r="M1368">
        <v>0</v>
      </c>
      <c r="N1368">
        <v>0</v>
      </c>
      <c r="O1368">
        <v>0</v>
      </c>
      <c r="P1368">
        <v>22</v>
      </c>
      <c r="Q1368">
        <v>50</v>
      </c>
      <c r="R1368">
        <v>0</v>
      </c>
      <c r="S1368">
        <v>0</v>
      </c>
      <c r="T1368">
        <v>21</v>
      </c>
      <c r="U1368">
        <v>14</v>
      </c>
      <c r="V1368">
        <v>14</v>
      </c>
      <c r="W1368">
        <v>0</v>
      </c>
      <c r="X1368">
        <v>0</v>
      </c>
    </row>
    <row r="1369" spans="1:24" x14ac:dyDescent="0.2">
      <c r="A1369">
        <v>10140300</v>
      </c>
      <c r="B1369" t="s">
        <v>1368</v>
      </c>
      <c r="C1369">
        <v>300</v>
      </c>
      <c r="D1369">
        <v>300</v>
      </c>
      <c r="E1369">
        <v>10000</v>
      </c>
      <c r="F1369">
        <v>130</v>
      </c>
      <c r="G1369">
        <v>0</v>
      </c>
      <c r="H1369">
        <v>0</v>
      </c>
      <c r="I1369">
        <v>0</v>
      </c>
      <c r="J1369">
        <v>0</v>
      </c>
      <c r="K1369">
        <v>8</v>
      </c>
      <c r="L1369">
        <v>0</v>
      </c>
      <c r="M1369">
        <v>0</v>
      </c>
      <c r="N1369">
        <v>0</v>
      </c>
      <c r="O1369">
        <v>0</v>
      </c>
      <c r="P1369">
        <v>47</v>
      </c>
      <c r="Q1369">
        <v>47</v>
      </c>
      <c r="R1369">
        <v>0</v>
      </c>
      <c r="S1369">
        <v>0</v>
      </c>
      <c r="T1369">
        <v>21</v>
      </c>
      <c r="U1369">
        <v>14</v>
      </c>
      <c r="V1369">
        <v>14</v>
      </c>
      <c r="W1369">
        <v>0</v>
      </c>
      <c r="X1369">
        <v>0</v>
      </c>
    </row>
    <row r="1370" spans="1:24" x14ac:dyDescent="0.2">
      <c r="A1370">
        <v>10140400</v>
      </c>
      <c r="B1370" t="s">
        <v>1369</v>
      </c>
      <c r="C1370">
        <v>500</v>
      </c>
      <c r="D1370">
        <v>500</v>
      </c>
      <c r="E1370">
        <v>10000</v>
      </c>
      <c r="F1370">
        <v>120</v>
      </c>
      <c r="G1370">
        <v>120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35</v>
      </c>
      <c r="Q1370">
        <v>40</v>
      </c>
      <c r="R1370">
        <v>75</v>
      </c>
      <c r="S1370">
        <v>0</v>
      </c>
      <c r="T1370">
        <v>21</v>
      </c>
      <c r="U1370">
        <v>14</v>
      </c>
      <c r="V1370">
        <v>14</v>
      </c>
      <c r="W1370">
        <v>0</v>
      </c>
      <c r="X1370">
        <v>0</v>
      </c>
    </row>
    <row r="1371" spans="1:24" x14ac:dyDescent="0.2">
      <c r="A1371">
        <v>10140500</v>
      </c>
      <c r="B1371" t="s">
        <v>1370</v>
      </c>
      <c r="C1371">
        <v>400</v>
      </c>
      <c r="D1371">
        <v>400</v>
      </c>
      <c r="E1371">
        <v>10000</v>
      </c>
      <c r="F1371">
        <v>120</v>
      </c>
      <c r="G1371">
        <v>120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35</v>
      </c>
      <c r="Q1371">
        <v>40</v>
      </c>
      <c r="R1371">
        <v>75</v>
      </c>
      <c r="S1371">
        <v>0</v>
      </c>
      <c r="T1371">
        <v>21</v>
      </c>
      <c r="U1371">
        <v>14</v>
      </c>
      <c r="V1371">
        <v>14</v>
      </c>
      <c r="W1371">
        <v>0</v>
      </c>
      <c r="X1371">
        <v>0</v>
      </c>
    </row>
    <row r="1372" spans="1:24" x14ac:dyDescent="0.2">
      <c r="A1372">
        <v>10140600</v>
      </c>
      <c r="B1372" t="s">
        <v>1371</v>
      </c>
      <c r="C1372">
        <v>600</v>
      </c>
      <c r="D1372">
        <v>600</v>
      </c>
      <c r="E1372">
        <v>10000</v>
      </c>
      <c r="F1372">
        <v>120</v>
      </c>
      <c r="G1372">
        <v>0</v>
      </c>
      <c r="H1372">
        <v>120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35</v>
      </c>
      <c r="Q1372">
        <v>40</v>
      </c>
      <c r="R1372">
        <v>0</v>
      </c>
      <c r="S1372">
        <v>0</v>
      </c>
      <c r="T1372">
        <v>21</v>
      </c>
      <c r="U1372">
        <v>14</v>
      </c>
      <c r="V1372">
        <v>14</v>
      </c>
      <c r="W1372">
        <v>0</v>
      </c>
      <c r="X1372">
        <v>0</v>
      </c>
    </row>
    <row r="1373" spans="1:24" x14ac:dyDescent="0.2">
      <c r="A1373">
        <v>10140700</v>
      </c>
      <c r="B1373" t="s">
        <v>1372</v>
      </c>
      <c r="C1373">
        <v>700</v>
      </c>
      <c r="D1373">
        <v>700</v>
      </c>
      <c r="E1373">
        <v>10000</v>
      </c>
      <c r="F1373">
        <v>120</v>
      </c>
      <c r="G1373">
        <v>0</v>
      </c>
      <c r="H1373">
        <v>120</v>
      </c>
      <c r="I1373">
        <v>0</v>
      </c>
      <c r="J1373">
        <v>0</v>
      </c>
      <c r="K1373">
        <v>0</v>
      </c>
      <c r="L1373">
        <v>0</v>
      </c>
      <c r="M1373">
        <v>4</v>
      </c>
      <c r="N1373">
        <v>0</v>
      </c>
      <c r="O1373">
        <v>0</v>
      </c>
      <c r="P1373">
        <v>35</v>
      </c>
      <c r="Q1373">
        <v>40</v>
      </c>
      <c r="R1373">
        <v>75</v>
      </c>
      <c r="S1373">
        <v>75</v>
      </c>
      <c r="T1373">
        <v>21</v>
      </c>
      <c r="U1373">
        <v>14</v>
      </c>
      <c r="V1373">
        <v>14</v>
      </c>
      <c r="W1373">
        <v>0</v>
      </c>
      <c r="X1373">
        <v>0</v>
      </c>
    </row>
    <row r="1374" spans="1:24" x14ac:dyDescent="0.2">
      <c r="A1374">
        <v>10140800</v>
      </c>
      <c r="B1374" t="s">
        <v>1373</v>
      </c>
      <c r="C1374">
        <v>800</v>
      </c>
      <c r="D1374">
        <v>800</v>
      </c>
      <c r="E1374">
        <v>10000</v>
      </c>
      <c r="F1374">
        <v>120</v>
      </c>
      <c r="G1374">
        <v>0</v>
      </c>
      <c r="H1374">
        <v>0</v>
      </c>
      <c r="I1374">
        <v>120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35</v>
      </c>
      <c r="Q1374">
        <v>40</v>
      </c>
      <c r="R1374">
        <v>0</v>
      </c>
      <c r="S1374">
        <v>75</v>
      </c>
      <c r="T1374">
        <v>21</v>
      </c>
      <c r="U1374">
        <v>14</v>
      </c>
      <c r="V1374">
        <v>14</v>
      </c>
      <c r="W1374">
        <v>0</v>
      </c>
      <c r="X1374">
        <v>0</v>
      </c>
    </row>
    <row r="1375" spans="1:24" x14ac:dyDescent="0.2">
      <c r="A1375">
        <v>10140900</v>
      </c>
      <c r="B1375" t="s">
        <v>1374</v>
      </c>
      <c r="C1375">
        <v>900</v>
      </c>
      <c r="D1375">
        <v>900</v>
      </c>
      <c r="E1375">
        <v>10000</v>
      </c>
      <c r="F1375">
        <v>120</v>
      </c>
      <c r="G1375">
        <v>0</v>
      </c>
      <c r="H1375">
        <v>0</v>
      </c>
      <c r="I1375">
        <v>0</v>
      </c>
      <c r="J1375">
        <v>120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35</v>
      </c>
      <c r="Q1375">
        <v>40</v>
      </c>
      <c r="R1375">
        <v>0</v>
      </c>
      <c r="S1375">
        <v>0</v>
      </c>
      <c r="T1375">
        <v>21</v>
      </c>
      <c r="U1375">
        <v>14</v>
      </c>
      <c r="V1375">
        <v>14</v>
      </c>
      <c r="W1375">
        <v>0</v>
      </c>
      <c r="X1375">
        <v>0</v>
      </c>
    </row>
    <row r="1376" spans="1:24" x14ac:dyDescent="0.2">
      <c r="A1376">
        <v>10141000</v>
      </c>
      <c r="B1376" t="s">
        <v>1375</v>
      </c>
      <c r="C1376">
        <v>1000</v>
      </c>
      <c r="D1376">
        <v>1000</v>
      </c>
      <c r="E1376">
        <v>10000</v>
      </c>
      <c r="F1376">
        <v>120</v>
      </c>
      <c r="G1376">
        <v>0</v>
      </c>
      <c r="H1376">
        <v>0</v>
      </c>
      <c r="I1376">
        <v>0</v>
      </c>
      <c r="J1376">
        <v>120</v>
      </c>
      <c r="K1376">
        <v>0</v>
      </c>
      <c r="L1376">
        <v>0</v>
      </c>
      <c r="M1376">
        <v>0</v>
      </c>
      <c r="N1376">
        <v>0</v>
      </c>
      <c r="O1376">
        <v>4</v>
      </c>
      <c r="P1376">
        <v>35</v>
      </c>
      <c r="Q1376">
        <v>40</v>
      </c>
      <c r="R1376">
        <v>75</v>
      </c>
      <c r="S1376">
        <v>75</v>
      </c>
      <c r="T1376">
        <v>21</v>
      </c>
      <c r="U1376">
        <v>14</v>
      </c>
      <c r="V1376">
        <v>14</v>
      </c>
      <c r="W1376">
        <v>0</v>
      </c>
      <c r="X1376">
        <v>0</v>
      </c>
    </row>
    <row r="1377" spans="1:24" x14ac:dyDescent="0.2">
      <c r="A1377">
        <v>10141100</v>
      </c>
      <c r="B1377" t="s">
        <v>1376</v>
      </c>
      <c r="C1377">
        <v>1100</v>
      </c>
      <c r="D1377">
        <v>1100</v>
      </c>
      <c r="E1377">
        <v>10000</v>
      </c>
      <c r="F1377">
        <v>130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35</v>
      </c>
      <c r="Q1377">
        <v>40</v>
      </c>
      <c r="R1377">
        <v>0</v>
      </c>
      <c r="S1377">
        <v>0</v>
      </c>
      <c r="T1377">
        <v>21</v>
      </c>
      <c r="U1377">
        <v>14</v>
      </c>
      <c r="V1377">
        <v>14</v>
      </c>
      <c r="W1377">
        <v>0</v>
      </c>
      <c r="X1377">
        <v>0</v>
      </c>
    </row>
    <row r="1378" spans="1:24" x14ac:dyDescent="0.2">
      <c r="A1378">
        <v>10141200</v>
      </c>
      <c r="B1378" t="s">
        <v>1377</v>
      </c>
      <c r="C1378">
        <v>1200</v>
      </c>
      <c r="D1378">
        <v>1200</v>
      </c>
      <c r="E1378">
        <v>10000</v>
      </c>
      <c r="F1378">
        <v>130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35</v>
      </c>
      <c r="Q1378">
        <v>40</v>
      </c>
      <c r="R1378">
        <v>0</v>
      </c>
      <c r="S1378">
        <v>0</v>
      </c>
      <c r="T1378">
        <v>21</v>
      </c>
      <c r="U1378">
        <v>14</v>
      </c>
      <c r="V1378">
        <v>14</v>
      </c>
      <c r="W1378">
        <v>0</v>
      </c>
      <c r="X1378">
        <v>0</v>
      </c>
    </row>
    <row r="1379" spans="1:24" x14ac:dyDescent="0.2">
      <c r="A1379">
        <v>10141300</v>
      </c>
      <c r="B1379" t="s">
        <v>1378</v>
      </c>
      <c r="C1379">
        <v>1300</v>
      </c>
      <c r="D1379">
        <v>1300</v>
      </c>
      <c r="E1379">
        <v>10000</v>
      </c>
      <c r="F1379">
        <v>135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35</v>
      </c>
      <c r="Q1379">
        <v>40</v>
      </c>
      <c r="R1379">
        <v>0</v>
      </c>
      <c r="S1379">
        <v>0</v>
      </c>
      <c r="T1379">
        <v>21</v>
      </c>
      <c r="U1379">
        <v>14</v>
      </c>
      <c r="V1379">
        <v>14</v>
      </c>
      <c r="W1379">
        <v>0</v>
      </c>
      <c r="X1379">
        <v>0</v>
      </c>
    </row>
    <row r="1380" spans="1:24" x14ac:dyDescent="0.2">
      <c r="A1380">
        <v>10141400</v>
      </c>
      <c r="B1380" t="s">
        <v>1379</v>
      </c>
      <c r="C1380">
        <v>1400</v>
      </c>
      <c r="D1380">
        <v>1400</v>
      </c>
      <c r="E1380">
        <v>10014</v>
      </c>
      <c r="F1380">
        <v>120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35</v>
      </c>
      <c r="Q1380">
        <v>40</v>
      </c>
      <c r="R1380">
        <v>0</v>
      </c>
      <c r="S1380">
        <v>75</v>
      </c>
      <c r="T1380">
        <v>21</v>
      </c>
      <c r="U1380">
        <v>14</v>
      </c>
      <c r="V1380">
        <v>14</v>
      </c>
      <c r="W1380">
        <v>0</v>
      </c>
      <c r="X1380">
        <v>0</v>
      </c>
    </row>
    <row r="1381" spans="1:24" x14ac:dyDescent="0.2">
      <c r="A1381">
        <v>10141500</v>
      </c>
      <c r="B1381" t="s">
        <v>1380</v>
      </c>
      <c r="C1381">
        <v>1500</v>
      </c>
      <c r="D1381">
        <v>1500</v>
      </c>
      <c r="E1381">
        <v>10015</v>
      </c>
      <c r="F1381">
        <v>130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35</v>
      </c>
      <c r="Q1381">
        <v>40</v>
      </c>
      <c r="R1381">
        <v>0</v>
      </c>
      <c r="S1381">
        <v>0</v>
      </c>
      <c r="T1381">
        <v>21</v>
      </c>
      <c r="U1381">
        <v>14</v>
      </c>
      <c r="V1381">
        <v>14</v>
      </c>
      <c r="W1381">
        <v>0</v>
      </c>
      <c r="X1381">
        <v>0</v>
      </c>
    </row>
    <row r="1382" spans="1:24" x14ac:dyDescent="0.2">
      <c r="A1382">
        <v>10150000</v>
      </c>
      <c r="B1382" t="s">
        <v>1381</v>
      </c>
      <c r="C1382">
        <v>2200</v>
      </c>
      <c r="D1382">
        <v>2200</v>
      </c>
      <c r="E1382">
        <v>10000</v>
      </c>
      <c r="F1382">
        <v>139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36</v>
      </c>
      <c r="Q1382">
        <v>40</v>
      </c>
      <c r="R1382">
        <v>0</v>
      </c>
      <c r="S1382">
        <v>0</v>
      </c>
      <c r="T1382">
        <v>22</v>
      </c>
      <c r="U1382">
        <v>28</v>
      </c>
      <c r="V1382">
        <v>18</v>
      </c>
      <c r="W1382">
        <v>0</v>
      </c>
      <c r="X1382">
        <v>0</v>
      </c>
    </row>
    <row r="1383" spans="1:24" x14ac:dyDescent="0.2">
      <c r="A1383">
        <v>10160000</v>
      </c>
      <c r="B1383" t="s">
        <v>1382</v>
      </c>
      <c r="C1383">
        <v>2200</v>
      </c>
      <c r="D1383">
        <v>2600</v>
      </c>
      <c r="E1383">
        <v>10000</v>
      </c>
      <c r="F1383">
        <v>103</v>
      </c>
      <c r="G1383">
        <v>0</v>
      </c>
      <c r="H1383">
        <v>66</v>
      </c>
      <c r="I1383">
        <v>0</v>
      </c>
      <c r="J1383">
        <v>0</v>
      </c>
      <c r="K1383">
        <v>0</v>
      </c>
      <c r="L1383">
        <v>16</v>
      </c>
      <c r="M1383">
        <v>16</v>
      </c>
      <c r="N1383">
        <v>16</v>
      </c>
      <c r="O1383">
        <v>16</v>
      </c>
      <c r="P1383">
        <v>36</v>
      </c>
      <c r="Q1383">
        <v>40</v>
      </c>
      <c r="R1383">
        <v>96</v>
      </c>
      <c r="S1383">
        <v>0</v>
      </c>
      <c r="T1383">
        <v>0</v>
      </c>
      <c r="U1383">
        <v>18</v>
      </c>
      <c r="V1383">
        <v>18</v>
      </c>
      <c r="W1383">
        <v>12</v>
      </c>
      <c r="X1383">
        <v>12</v>
      </c>
    </row>
    <row r="1384" spans="1:24" x14ac:dyDescent="0.2">
      <c r="A1384">
        <v>10170000</v>
      </c>
      <c r="B1384" t="s">
        <v>1383</v>
      </c>
      <c r="C1384">
        <v>0</v>
      </c>
      <c r="D1384">
        <v>0</v>
      </c>
      <c r="E1384">
        <v>10000</v>
      </c>
      <c r="F1384">
        <v>132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56</v>
      </c>
      <c r="Q1384">
        <v>15</v>
      </c>
      <c r="R1384">
        <v>0</v>
      </c>
      <c r="S1384">
        <v>0</v>
      </c>
      <c r="T1384">
        <v>17</v>
      </c>
      <c r="U1384">
        <v>26</v>
      </c>
      <c r="V1384">
        <v>16</v>
      </c>
      <c r="W1384">
        <v>0</v>
      </c>
      <c r="X1384">
        <v>0</v>
      </c>
    </row>
    <row r="1385" spans="1:24" x14ac:dyDescent="0.2">
      <c r="A1385">
        <v>10170100</v>
      </c>
      <c r="B1385" t="s">
        <v>1384</v>
      </c>
      <c r="C1385">
        <v>200</v>
      </c>
      <c r="D1385">
        <v>100</v>
      </c>
      <c r="E1385">
        <v>10000</v>
      </c>
      <c r="F1385">
        <v>132</v>
      </c>
      <c r="G1385">
        <v>0</v>
      </c>
      <c r="H1385">
        <v>0</v>
      </c>
      <c r="I1385">
        <v>0</v>
      </c>
      <c r="J1385">
        <v>0</v>
      </c>
      <c r="K1385">
        <v>1</v>
      </c>
      <c r="L1385">
        <v>0</v>
      </c>
      <c r="M1385">
        <v>0</v>
      </c>
      <c r="N1385">
        <v>0</v>
      </c>
      <c r="O1385">
        <v>0</v>
      </c>
      <c r="P1385">
        <v>56</v>
      </c>
      <c r="Q1385">
        <v>0</v>
      </c>
      <c r="R1385">
        <v>0</v>
      </c>
      <c r="S1385">
        <v>0</v>
      </c>
      <c r="T1385">
        <v>17</v>
      </c>
      <c r="U1385">
        <v>26</v>
      </c>
      <c r="V1385">
        <v>16</v>
      </c>
      <c r="W1385">
        <v>0</v>
      </c>
      <c r="X1385">
        <v>0</v>
      </c>
    </row>
    <row r="1386" spans="1:24" x14ac:dyDescent="0.2">
      <c r="A1386">
        <v>10170200</v>
      </c>
      <c r="B1386" t="s">
        <v>1385</v>
      </c>
      <c r="C1386">
        <v>100</v>
      </c>
      <c r="D1386">
        <v>200</v>
      </c>
      <c r="E1386">
        <v>10000</v>
      </c>
      <c r="F1386">
        <v>132</v>
      </c>
      <c r="G1386">
        <v>0</v>
      </c>
      <c r="H1386">
        <v>0</v>
      </c>
      <c r="I1386">
        <v>0</v>
      </c>
      <c r="J1386">
        <v>0</v>
      </c>
      <c r="K1386">
        <v>2</v>
      </c>
      <c r="L1386">
        <v>0</v>
      </c>
      <c r="M1386">
        <v>0</v>
      </c>
      <c r="N1386">
        <v>0</v>
      </c>
      <c r="O1386">
        <v>0</v>
      </c>
      <c r="P1386">
        <v>26</v>
      </c>
      <c r="Q1386">
        <v>44</v>
      </c>
      <c r="R1386">
        <v>0</v>
      </c>
      <c r="S1386">
        <v>0</v>
      </c>
      <c r="T1386">
        <v>17</v>
      </c>
      <c r="U1386">
        <v>26</v>
      </c>
      <c r="V1386">
        <v>16</v>
      </c>
      <c r="W1386">
        <v>0</v>
      </c>
      <c r="X1386">
        <v>0</v>
      </c>
    </row>
    <row r="1387" spans="1:24" x14ac:dyDescent="0.2">
      <c r="A1387">
        <v>10170300</v>
      </c>
      <c r="B1387" t="s">
        <v>1386</v>
      </c>
      <c r="C1387">
        <v>300</v>
      </c>
      <c r="D1387">
        <v>300</v>
      </c>
      <c r="E1387">
        <v>10000</v>
      </c>
      <c r="F1387">
        <v>132</v>
      </c>
      <c r="G1387">
        <v>0</v>
      </c>
      <c r="H1387">
        <v>0</v>
      </c>
      <c r="I1387">
        <v>0</v>
      </c>
      <c r="J1387">
        <v>0</v>
      </c>
      <c r="K1387">
        <v>8</v>
      </c>
      <c r="L1387">
        <v>0</v>
      </c>
      <c r="M1387">
        <v>0</v>
      </c>
      <c r="N1387">
        <v>0</v>
      </c>
      <c r="O1387">
        <v>0</v>
      </c>
      <c r="P1387">
        <v>50</v>
      </c>
      <c r="Q1387">
        <v>50</v>
      </c>
      <c r="R1387">
        <v>0</v>
      </c>
      <c r="S1387">
        <v>0</v>
      </c>
      <c r="T1387">
        <v>17</v>
      </c>
      <c r="U1387">
        <v>26</v>
      </c>
      <c r="V1387">
        <v>16</v>
      </c>
      <c r="W1387">
        <v>0</v>
      </c>
      <c r="X1387">
        <v>0</v>
      </c>
    </row>
    <row r="1388" spans="1:24" x14ac:dyDescent="0.2">
      <c r="A1388">
        <v>10170400</v>
      </c>
      <c r="B1388" t="s">
        <v>1387</v>
      </c>
      <c r="C1388">
        <v>500</v>
      </c>
      <c r="D1388">
        <v>500</v>
      </c>
      <c r="E1388">
        <v>10000</v>
      </c>
      <c r="F1388">
        <v>135</v>
      </c>
      <c r="G1388">
        <v>135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56</v>
      </c>
      <c r="Q1388">
        <v>15</v>
      </c>
      <c r="R1388">
        <v>71</v>
      </c>
      <c r="S1388">
        <v>0</v>
      </c>
      <c r="T1388">
        <v>17</v>
      </c>
      <c r="U1388">
        <v>26</v>
      </c>
      <c r="V1388">
        <v>16</v>
      </c>
      <c r="W1388">
        <v>0</v>
      </c>
      <c r="X1388">
        <v>0</v>
      </c>
    </row>
    <row r="1389" spans="1:24" x14ac:dyDescent="0.2">
      <c r="A1389">
        <v>10170500</v>
      </c>
      <c r="B1389" t="s">
        <v>1388</v>
      </c>
      <c r="C1389">
        <v>400</v>
      </c>
      <c r="D1389">
        <v>400</v>
      </c>
      <c r="E1389">
        <v>10000</v>
      </c>
      <c r="F1389">
        <v>135</v>
      </c>
      <c r="G1389">
        <v>135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56</v>
      </c>
      <c r="Q1389">
        <v>15</v>
      </c>
      <c r="R1389">
        <v>71</v>
      </c>
      <c r="S1389">
        <v>0</v>
      </c>
      <c r="T1389">
        <v>17</v>
      </c>
      <c r="U1389">
        <v>26</v>
      </c>
      <c r="V1389">
        <v>16</v>
      </c>
      <c r="W1389">
        <v>0</v>
      </c>
      <c r="X1389">
        <v>0</v>
      </c>
    </row>
    <row r="1390" spans="1:24" x14ac:dyDescent="0.2">
      <c r="A1390">
        <v>10170600</v>
      </c>
      <c r="B1390" t="s">
        <v>1389</v>
      </c>
      <c r="C1390">
        <v>600</v>
      </c>
      <c r="D1390">
        <v>600</v>
      </c>
      <c r="E1390">
        <v>10000</v>
      </c>
      <c r="F1390">
        <v>129</v>
      </c>
      <c r="G1390">
        <v>0</v>
      </c>
      <c r="H1390">
        <v>129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56</v>
      </c>
      <c r="Q1390">
        <v>15</v>
      </c>
      <c r="R1390">
        <v>0</v>
      </c>
      <c r="S1390">
        <v>0</v>
      </c>
      <c r="T1390">
        <v>17</v>
      </c>
      <c r="U1390">
        <v>26</v>
      </c>
      <c r="V1390">
        <v>16</v>
      </c>
      <c r="W1390">
        <v>0</v>
      </c>
      <c r="X1390">
        <v>0</v>
      </c>
    </row>
    <row r="1391" spans="1:24" x14ac:dyDescent="0.2">
      <c r="A1391">
        <v>10170700</v>
      </c>
      <c r="B1391" t="s">
        <v>1390</v>
      </c>
      <c r="C1391">
        <v>700</v>
      </c>
      <c r="D1391">
        <v>700</v>
      </c>
      <c r="E1391">
        <v>10000</v>
      </c>
      <c r="F1391">
        <v>135</v>
      </c>
      <c r="G1391">
        <v>0</v>
      </c>
      <c r="H1391">
        <v>135</v>
      </c>
      <c r="I1391">
        <v>0</v>
      </c>
      <c r="J1391">
        <v>0</v>
      </c>
      <c r="K1391">
        <v>0</v>
      </c>
      <c r="L1391">
        <v>0</v>
      </c>
      <c r="M1391">
        <v>4</v>
      </c>
      <c r="N1391">
        <v>0</v>
      </c>
      <c r="O1391">
        <v>0</v>
      </c>
      <c r="P1391">
        <v>56</v>
      </c>
      <c r="Q1391">
        <v>15</v>
      </c>
      <c r="R1391">
        <v>71</v>
      </c>
      <c r="S1391">
        <v>71</v>
      </c>
      <c r="T1391">
        <v>17</v>
      </c>
      <c r="U1391">
        <v>26</v>
      </c>
      <c r="V1391">
        <v>16</v>
      </c>
      <c r="W1391">
        <v>0</v>
      </c>
      <c r="X1391">
        <v>0</v>
      </c>
    </row>
    <row r="1392" spans="1:24" x14ac:dyDescent="0.2">
      <c r="A1392">
        <v>10170800</v>
      </c>
      <c r="B1392" t="s">
        <v>1391</v>
      </c>
      <c r="C1392">
        <v>800</v>
      </c>
      <c r="D1392">
        <v>800</v>
      </c>
      <c r="E1392">
        <v>10000</v>
      </c>
      <c r="F1392">
        <v>135</v>
      </c>
      <c r="G1392">
        <v>0</v>
      </c>
      <c r="H1392">
        <v>0</v>
      </c>
      <c r="I1392">
        <v>135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56</v>
      </c>
      <c r="Q1392">
        <v>15</v>
      </c>
      <c r="R1392">
        <v>0</v>
      </c>
      <c r="S1392">
        <v>71</v>
      </c>
      <c r="T1392">
        <v>17</v>
      </c>
      <c r="U1392">
        <v>26</v>
      </c>
      <c r="V1392">
        <v>16</v>
      </c>
      <c r="W1392">
        <v>0</v>
      </c>
      <c r="X1392">
        <v>0</v>
      </c>
    </row>
    <row r="1393" spans="1:24" x14ac:dyDescent="0.2">
      <c r="A1393">
        <v>10170900</v>
      </c>
      <c r="B1393" t="s">
        <v>1392</v>
      </c>
      <c r="C1393">
        <v>900</v>
      </c>
      <c r="D1393">
        <v>900</v>
      </c>
      <c r="E1393">
        <v>10000</v>
      </c>
      <c r="F1393">
        <v>129</v>
      </c>
      <c r="G1393">
        <v>0</v>
      </c>
      <c r="H1393">
        <v>0</v>
      </c>
      <c r="I1393">
        <v>0</v>
      </c>
      <c r="J1393">
        <v>129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56</v>
      </c>
      <c r="Q1393">
        <v>15</v>
      </c>
      <c r="R1393">
        <v>0</v>
      </c>
      <c r="S1393">
        <v>0</v>
      </c>
      <c r="T1393">
        <v>17</v>
      </c>
      <c r="U1393">
        <v>26</v>
      </c>
      <c r="V1393">
        <v>16</v>
      </c>
      <c r="W1393">
        <v>0</v>
      </c>
      <c r="X1393">
        <v>0</v>
      </c>
    </row>
    <row r="1394" spans="1:24" x14ac:dyDescent="0.2">
      <c r="A1394">
        <v>10171000</v>
      </c>
      <c r="B1394" t="s">
        <v>1393</v>
      </c>
      <c r="C1394">
        <v>1000</v>
      </c>
      <c r="D1394">
        <v>1000</v>
      </c>
      <c r="E1394">
        <v>10000</v>
      </c>
      <c r="F1394">
        <v>135</v>
      </c>
      <c r="G1394">
        <v>0</v>
      </c>
      <c r="H1394">
        <v>0</v>
      </c>
      <c r="I1394">
        <v>0</v>
      </c>
      <c r="J1394">
        <v>135</v>
      </c>
      <c r="K1394">
        <v>0</v>
      </c>
      <c r="L1394">
        <v>0</v>
      </c>
      <c r="M1394">
        <v>0</v>
      </c>
      <c r="N1394">
        <v>0</v>
      </c>
      <c r="O1394">
        <v>4</v>
      </c>
      <c r="P1394">
        <v>56</v>
      </c>
      <c r="Q1394">
        <v>15</v>
      </c>
      <c r="R1394">
        <v>71</v>
      </c>
      <c r="S1394">
        <v>71</v>
      </c>
      <c r="T1394">
        <v>17</v>
      </c>
      <c r="U1394">
        <v>26</v>
      </c>
      <c r="V1394">
        <v>16</v>
      </c>
      <c r="W1394">
        <v>0</v>
      </c>
      <c r="X1394">
        <v>0</v>
      </c>
    </row>
    <row r="1395" spans="1:24" x14ac:dyDescent="0.2">
      <c r="A1395">
        <v>10171100</v>
      </c>
      <c r="B1395" t="s">
        <v>1394</v>
      </c>
      <c r="C1395">
        <v>1100</v>
      </c>
      <c r="D1395">
        <v>1100</v>
      </c>
      <c r="E1395">
        <v>10000</v>
      </c>
      <c r="F1395">
        <v>132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56</v>
      </c>
      <c r="Q1395">
        <v>15</v>
      </c>
      <c r="R1395">
        <v>0</v>
      </c>
      <c r="S1395">
        <v>0</v>
      </c>
      <c r="T1395">
        <v>17</v>
      </c>
      <c r="U1395">
        <v>26</v>
      </c>
      <c r="V1395">
        <v>16</v>
      </c>
      <c r="W1395">
        <v>0</v>
      </c>
      <c r="X1395">
        <v>0</v>
      </c>
    </row>
    <row r="1396" spans="1:24" x14ac:dyDescent="0.2">
      <c r="A1396">
        <v>10171200</v>
      </c>
      <c r="B1396" t="s">
        <v>1395</v>
      </c>
      <c r="C1396">
        <v>1200</v>
      </c>
      <c r="D1396">
        <v>1200</v>
      </c>
      <c r="E1396">
        <v>10000</v>
      </c>
      <c r="F1396">
        <v>132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56</v>
      </c>
      <c r="Q1396">
        <v>15</v>
      </c>
      <c r="R1396">
        <v>0</v>
      </c>
      <c r="S1396">
        <v>0</v>
      </c>
      <c r="T1396">
        <v>17</v>
      </c>
      <c r="U1396">
        <v>26</v>
      </c>
      <c r="V1396">
        <v>16</v>
      </c>
      <c r="W1396">
        <v>0</v>
      </c>
      <c r="X1396">
        <v>0</v>
      </c>
    </row>
    <row r="1397" spans="1:24" x14ac:dyDescent="0.2">
      <c r="A1397">
        <v>10171300</v>
      </c>
      <c r="B1397" t="s">
        <v>1396</v>
      </c>
      <c r="C1397">
        <v>1300</v>
      </c>
      <c r="D1397">
        <v>1300</v>
      </c>
      <c r="E1397">
        <v>10000</v>
      </c>
      <c r="F1397">
        <v>154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56</v>
      </c>
      <c r="Q1397">
        <v>15</v>
      </c>
      <c r="R1397">
        <v>0</v>
      </c>
      <c r="S1397">
        <v>0</v>
      </c>
      <c r="T1397">
        <v>17</v>
      </c>
      <c r="U1397">
        <v>26</v>
      </c>
      <c r="V1397">
        <v>16</v>
      </c>
      <c r="W1397">
        <v>0</v>
      </c>
      <c r="X1397">
        <v>0</v>
      </c>
    </row>
    <row r="1398" spans="1:24" x14ac:dyDescent="0.2">
      <c r="A1398">
        <v>10171400</v>
      </c>
      <c r="B1398" t="s">
        <v>1397</v>
      </c>
      <c r="C1398">
        <v>1400</v>
      </c>
      <c r="D1398">
        <v>1400</v>
      </c>
      <c r="E1398">
        <v>10014</v>
      </c>
      <c r="F1398">
        <v>135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56</v>
      </c>
      <c r="Q1398">
        <v>15</v>
      </c>
      <c r="R1398">
        <v>0</v>
      </c>
      <c r="S1398">
        <v>71</v>
      </c>
      <c r="T1398">
        <v>17</v>
      </c>
      <c r="U1398">
        <v>26</v>
      </c>
      <c r="V1398">
        <v>16</v>
      </c>
      <c r="W1398">
        <v>0</v>
      </c>
      <c r="X1398">
        <v>0</v>
      </c>
    </row>
    <row r="1399" spans="1:24" x14ac:dyDescent="0.2">
      <c r="A1399">
        <v>10171500</v>
      </c>
      <c r="B1399" t="s">
        <v>1398</v>
      </c>
      <c r="C1399">
        <v>1500</v>
      </c>
      <c r="D1399">
        <v>1500</v>
      </c>
      <c r="E1399">
        <v>10015</v>
      </c>
      <c r="F1399">
        <v>132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56</v>
      </c>
      <c r="Q1399">
        <v>15</v>
      </c>
      <c r="R1399">
        <v>0</v>
      </c>
      <c r="S1399">
        <v>0</v>
      </c>
      <c r="T1399">
        <v>17</v>
      </c>
      <c r="U1399">
        <v>26</v>
      </c>
      <c r="V1399">
        <v>16</v>
      </c>
      <c r="W1399">
        <v>0</v>
      </c>
      <c r="X1399">
        <v>0</v>
      </c>
    </row>
    <row r="1400" spans="1:24" x14ac:dyDescent="0.2">
      <c r="A1400">
        <v>10180000</v>
      </c>
      <c r="B1400" t="s">
        <v>1399</v>
      </c>
      <c r="C1400">
        <v>2000</v>
      </c>
      <c r="D1400">
        <v>2100</v>
      </c>
      <c r="E1400">
        <v>12000</v>
      </c>
      <c r="F1400">
        <v>100</v>
      </c>
      <c r="G1400">
        <v>70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10</v>
      </c>
      <c r="Q1400">
        <v>85</v>
      </c>
      <c r="R1400">
        <v>80</v>
      </c>
      <c r="S1400">
        <v>10</v>
      </c>
      <c r="T1400">
        <v>31</v>
      </c>
      <c r="U1400">
        <v>12</v>
      </c>
      <c r="V1400">
        <v>16</v>
      </c>
      <c r="W1400">
        <v>12</v>
      </c>
      <c r="X1400">
        <v>11</v>
      </c>
    </row>
    <row r="1401" spans="1:24" x14ac:dyDescent="0.2">
      <c r="A1401">
        <v>11000000</v>
      </c>
      <c r="B1401" t="s">
        <v>1400</v>
      </c>
      <c r="C1401">
        <v>0</v>
      </c>
      <c r="D1401">
        <v>0</v>
      </c>
      <c r="E1401">
        <v>10000</v>
      </c>
      <c r="F1401">
        <v>86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16</v>
      </c>
      <c r="Q1401">
        <v>55</v>
      </c>
      <c r="R1401">
        <v>0</v>
      </c>
      <c r="S1401">
        <v>0</v>
      </c>
      <c r="T1401">
        <v>23</v>
      </c>
      <c r="U1401">
        <v>6</v>
      </c>
      <c r="V1401">
        <v>14</v>
      </c>
      <c r="W1401">
        <v>0</v>
      </c>
      <c r="X1401">
        <v>0</v>
      </c>
    </row>
    <row r="1402" spans="1:24" x14ac:dyDescent="0.2">
      <c r="A1402">
        <v>11000100</v>
      </c>
      <c r="B1402" t="s">
        <v>1401</v>
      </c>
      <c r="C1402">
        <v>200</v>
      </c>
      <c r="D1402">
        <v>100</v>
      </c>
      <c r="E1402">
        <v>10000</v>
      </c>
      <c r="F1402">
        <v>86</v>
      </c>
      <c r="G1402">
        <v>0</v>
      </c>
      <c r="H1402">
        <v>0</v>
      </c>
      <c r="I1402">
        <v>0</v>
      </c>
      <c r="J1402">
        <v>0</v>
      </c>
      <c r="K1402">
        <v>1</v>
      </c>
      <c r="L1402">
        <v>0</v>
      </c>
      <c r="M1402">
        <v>0</v>
      </c>
      <c r="N1402">
        <v>0</v>
      </c>
      <c r="O1402">
        <v>0</v>
      </c>
      <c r="P1402">
        <v>42</v>
      </c>
      <c r="Q1402">
        <v>0</v>
      </c>
      <c r="R1402">
        <v>0</v>
      </c>
      <c r="S1402">
        <v>0</v>
      </c>
      <c r="T1402">
        <v>23</v>
      </c>
      <c r="U1402">
        <v>6</v>
      </c>
      <c r="V1402">
        <v>14</v>
      </c>
      <c r="W1402">
        <v>0</v>
      </c>
      <c r="X1402">
        <v>0</v>
      </c>
    </row>
    <row r="1403" spans="1:24" x14ac:dyDescent="0.2">
      <c r="A1403">
        <v>11000200</v>
      </c>
      <c r="B1403" t="s">
        <v>1402</v>
      </c>
      <c r="C1403">
        <v>100</v>
      </c>
      <c r="D1403">
        <v>5000</v>
      </c>
      <c r="E1403">
        <v>10000</v>
      </c>
      <c r="F1403">
        <v>86</v>
      </c>
      <c r="G1403">
        <v>0</v>
      </c>
      <c r="H1403">
        <v>0</v>
      </c>
      <c r="I1403">
        <v>0</v>
      </c>
      <c r="J1403">
        <v>0</v>
      </c>
      <c r="K1403">
        <v>2</v>
      </c>
      <c r="L1403">
        <v>0</v>
      </c>
      <c r="M1403">
        <v>0</v>
      </c>
      <c r="N1403">
        <v>0</v>
      </c>
      <c r="O1403">
        <v>0</v>
      </c>
      <c r="P1403">
        <v>8</v>
      </c>
      <c r="Q1403">
        <v>57</v>
      </c>
      <c r="R1403">
        <v>0</v>
      </c>
      <c r="S1403">
        <v>0</v>
      </c>
      <c r="T1403">
        <v>23</v>
      </c>
      <c r="U1403">
        <v>6</v>
      </c>
      <c r="V1403">
        <v>14</v>
      </c>
      <c r="W1403">
        <v>0</v>
      </c>
      <c r="X1403">
        <v>0</v>
      </c>
    </row>
    <row r="1404" spans="1:24" x14ac:dyDescent="0.2">
      <c r="A1404">
        <v>11000300</v>
      </c>
      <c r="B1404" t="s">
        <v>1403</v>
      </c>
      <c r="C1404">
        <v>300</v>
      </c>
      <c r="D1404">
        <v>300</v>
      </c>
      <c r="E1404">
        <v>10000</v>
      </c>
      <c r="F1404">
        <v>86</v>
      </c>
      <c r="G1404">
        <v>0</v>
      </c>
      <c r="H1404">
        <v>0</v>
      </c>
      <c r="I1404">
        <v>0</v>
      </c>
      <c r="J1404">
        <v>0</v>
      </c>
      <c r="K1404">
        <v>8</v>
      </c>
      <c r="L1404">
        <v>0</v>
      </c>
      <c r="M1404">
        <v>0</v>
      </c>
      <c r="N1404">
        <v>0</v>
      </c>
      <c r="O1404">
        <v>0</v>
      </c>
      <c r="P1404">
        <v>45</v>
      </c>
      <c r="Q1404">
        <v>50</v>
      </c>
      <c r="R1404">
        <v>0</v>
      </c>
      <c r="S1404">
        <v>0</v>
      </c>
      <c r="T1404">
        <v>23</v>
      </c>
      <c r="U1404">
        <v>6</v>
      </c>
      <c r="V1404">
        <v>14</v>
      </c>
      <c r="W1404">
        <v>0</v>
      </c>
      <c r="X1404">
        <v>0</v>
      </c>
    </row>
    <row r="1405" spans="1:24" x14ac:dyDescent="0.2">
      <c r="A1405">
        <v>11000400</v>
      </c>
      <c r="B1405" t="s">
        <v>1404</v>
      </c>
      <c r="C1405">
        <v>500</v>
      </c>
      <c r="D1405">
        <v>500</v>
      </c>
      <c r="E1405">
        <v>10000</v>
      </c>
      <c r="F1405">
        <v>92</v>
      </c>
      <c r="G1405">
        <v>92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16</v>
      </c>
      <c r="Q1405">
        <v>55</v>
      </c>
      <c r="R1405">
        <v>71</v>
      </c>
      <c r="S1405">
        <v>0</v>
      </c>
      <c r="T1405">
        <v>23</v>
      </c>
      <c r="U1405">
        <v>6</v>
      </c>
      <c r="V1405">
        <v>14</v>
      </c>
      <c r="W1405">
        <v>0</v>
      </c>
      <c r="X1405">
        <v>0</v>
      </c>
    </row>
    <row r="1406" spans="1:24" x14ac:dyDescent="0.2">
      <c r="A1406">
        <v>11000500</v>
      </c>
      <c r="B1406" t="s">
        <v>1405</v>
      </c>
      <c r="C1406">
        <v>400</v>
      </c>
      <c r="D1406">
        <v>400</v>
      </c>
      <c r="E1406">
        <v>10000</v>
      </c>
      <c r="F1406">
        <v>92</v>
      </c>
      <c r="G1406">
        <v>92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16</v>
      </c>
      <c r="Q1406">
        <v>55</v>
      </c>
      <c r="R1406">
        <v>71</v>
      </c>
      <c r="S1406">
        <v>0</v>
      </c>
      <c r="T1406">
        <v>23</v>
      </c>
      <c r="U1406">
        <v>6</v>
      </c>
      <c r="V1406">
        <v>14</v>
      </c>
      <c r="W1406">
        <v>0</v>
      </c>
      <c r="X1406">
        <v>0</v>
      </c>
    </row>
    <row r="1407" spans="1:24" x14ac:dyDescent="0.2">
      <c r="A1407">
        <v>11000600</v>
      </c>
      <c r="B1407" t="s">
        <v>1406</v>
      </c>
      <c r="C1407">
        <v>600</v>
      </c>
      <c r="D1407">
        <v>600</v>
      </c>
      <c r="E1407">
        <v>10000</v>
      </c>
      <c r="F1407">
        <v>91</v>
      </c>
      <c r="G1407">
        <v>0</v>
      </c>
      <c r="H1407">
        <v>91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16</v>
      </c>
      <c r="Q1407">
        <v>55</v>
      </c>
      <c r="R1407">
        <v>0</v>
      </c>
      <c r="S1407">
        <v>0</v>
      </c>
      <c r="T1407">
        <v>23</v>
      </c>
      <c r="U1407">
        <v>6</v>
      </c>
      <c r="V1407">
        <v>14</v>
      </c>
      <c r="W1407">
        <v>0</v>
      </c>
      <c r="X1407">
        <v>0</v>
      </c>
    </row>
    <row r="1408" spans="1:24" x14ac:dyDescent="0.2">
      <c r="A1408">
        <v>11000700</v>
      </c>
      <c r="B1408" t="s">
        <v>1407</v>
      </c>
      <c r="C1408">
        <v>700</v>
      </c>
      <c r="D1408">
        <v>700</v>
      </c>
      <c r="E1408">
        <v>10000</v>
      </c>
      <c r="F1408">
        <v>92</v>
      </c>
      <c r="G1408">
        <v>0</v>
      </c>
      <c r="H1408">
        <v>92</v>
      </c>
      <c r="I1408">
        <v>0</v>
      </c>
      <c r="J1408">
        <v>0</v>
      </c>
      <c r="K1408">
        <v>0</v>
      </c>
      <c r="L1408">
        <v>0</v>
      </c>
      <c r="M1408">
        <v>4</v>
      </c>
      <c r="N1408">
        <v>0</v>
      </c>
      <c r="O1408">
        <v>0</v>
      </c>
      <c r="P1408">
        <v>16</v>
      </c>
      <c r="Q1408">
        <v>55</v>
      </c>
      <c r="R1408">
        <v>71</v>
      </c>
      <c r="S1408">
        <v>71</v>
      </c>
      <c r="T1408">
        <v>23</v>
      </c>
      <c r="U1408">
        <v>6</v>
      </c>
      <c r="V1408">
        <v>14</v>
      </c>
      <c r="W1408">
        <v>0</v>
      </c>
      <c r="X1408">
        <v>0</v>
      </c>
    </row>
    <row r="1409" spans="1:24" x14ac:dyDescent="0.2">
      <c r="A1409">
        <v>11000800</v>
      </c>
      <c r="B1409" t="s">
        <v>1408</v>
      </c>
      <c r="C1409">
        <v>800</v>
      </c>
      <c r="D1409">
        <v>800</v>
      </c>
      <c r="E1409">
        <v>10000</v>
      </c>
      <c r="F1409">
        <v>92</v>
      </c>
      <c r="G1409">
        <v>0</v>
      </c>
      <c r="H1409">
        <v>0</v>
      </c>
      <c r="I1409">
        <v>92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16</v>
      </c>
      <c r="Q1409">
        <v>55</v>
      </c>
      <c r="R1409">
        <v>0</v>
      </c>
      <c r="S1409">
        <v>71</v>
      </c>
      <c r="T1409">
        <v>23</v>
      </c>
      <c r="U1409">
        <v>6</v>
      </c>
      <c r="V1409">
        <v>14</v>
      </c>
      <c r="W1409">
        <v>0</v>
      </c>
      <c r="X1409">
        <v>0</v>
      </c>
    </row>
    <row r="1410" spans="1:24" x14ac:dyDescent="0.2">
      <c r="A1410">
        <v>11000900</v>
      </c>
      <c r="B1410" t="s">
        <v>1409</v>
      </c>
      <c r="C1410">
        <v>900</v>
      </c>
      <c r="D1410">
        <v>900</v>
      </c>
      <c r="E1410">
        <v>10000</v>
      </c>
      <c r="F1410">
        <v>91</v>
      </c>
      <c r="G1410">
        <v>0</v>
      </c>
      <c r="H1410">
        <v>0</v>
      </c>
      <c r="I1410">
        <v>0</v>
      </c>
      <c r="J1410">
        <v>91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16</v>
      </c>
      <c r="Q1410">
        <v>55</v>
      </c>
      <c r="R1410">
        <v>0</v>
      </c>
      <c r="S1410">
        <v>0</v>
      </c>
      <c r="T1410">
        <v>23</v>
      </c>
      <c r="U1410">
        <v>6</v>
      </c>
      <c r="V1410">
        <v>14</v>
      </c>
      <c r="W1410">
        <v>0</v>
      </c>
      <c r="X1410">
        <v>0</v>
      </c>
    </row>
    <row r="1411" spans="1:24" x14ac:dyDescent="0.2">
      <c r="A1411">
        <v>11001000</v>
      </c>
      <c r="B1411" t="s">
        <v>1410</v>
      </c>
      <c r="C1411">
        <v>1000</v>
      </c>
      <c r="D1411">
        <v>1000</v>
      </c>
      <c r="E1411">
        <v>10000</v>
      </c>
      <c r="F1411">
        <v>92</v>
      </c>
      <c r="G1411">
        <v>0</v>
      </c>
      <c r="H1411">
        <v>0</v>
      </c>
      <c r="I1411">
        <v>0</v>
      </c>
      <c r="J1411">
        <v>92</v>
      </c>
      <c r="K1411">
        <v>0</v>
      </c>
      <c r="L1411">
        <v>0</v>
      </c>
      <c r="M1411">
        <v>0</v>
      </c>
      <c r="N1411">
        <v>0</v>
      </c>
      <c r="O1411">
        <v>4</v>
      </c>
      <c r="P1411">
        <v>16</v>
      </c>
      <c r="Q1411">
        <v>55</v>
      </c>
      <c r="R1411">
        <v>71</v>
      </c>
      <c r="S1411">
        <v>71</v>
      </c>
      <c r="T1411">
        <v>23</v>
      </c>
      <c r="U1411">
        <v>6</v>
      </c>
      <c r="V1411">
        <v>14</v>
      </c>
      <c r="W1411">
        <v>0</v>
      </c>
      <c r="X1411">
        <v>0</v>
      </c>
    </row>
    <row r="1412" spans="1:24" x14ac:dyDescent="0.2">
      <c r="A1412">
        <v>11001100</v>
      </c>
      <c r="B1412" t="s">
        <v>1411</v>
      </c>
      <c r="C1412">
        <v>1100</v>
      </c>
      <c r="D1412">
        <v>1100</v>
      </c>
      <c r="E1412">
        <v>10000</v>
      </c>
      <c r="F1412">
        <v>86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16</v>
      </c>
      <c r="Q1412">
        <v>55</v>
      </c>
      <c r="R1412">
        <v>0</v>
      </c>
      <c r="S1412">
        <v>0</v>
      </c>
      <c r="T1412">
        <v>23</v>
      </c>
      <c r="U1412">
        <v>6</v>
      </c>
      <c r="V1412">
        <v>14</v>
      </c>
      <c r="W1412">
        <v>0</v>
      </c>
      <c r="X1412">
        <v>0</v>
      </c>
    </row>
    <row r="1413" spans="1:24" x14ac:dyDescent="0.2">
      <c r="A1413">
        <v>11001200</v>
      </c>
      <c r="B1413" t="s">
        <v>1412</v>
      </c>
      <c r="C1413">
        <v>1200</v>
      </c>
      <c r="D1413">
        <v>1200</v>
      </c>
      <c r="E1413">
        <v>10000</v>
      </c>
      <c r="F1413">
        <v>86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16</v>
      </c>
      <c r="Q1413">
        <v>55</v>
      </c>
      <c r="R1413">
        <v>0</v>
      </c>
      <c r="S1413">
        <v>0</v>
      </c>
      <c r="T1413">
        <v>23</v>
      </c>
      <c r="U1413">
        <v>6</v>
      </c>
      <c r="V1413">
        <v>14</v>
      </c>
      <c r="W1413">
        <v>0</v>
      </c>
      <c r="X1413">
        <v>0</v>
      </c>
    </row>
    <row r="1414" spans="1:24" x14ac:dyDescent="0.2">
      <c r="A1414">
        <v>11001300</v>
      </c>
      <c r="B1414" t="s">
        <v>1413</v>
      </c>
      <c r="C1414">
        <v>1300</v>
      </c>
      <c r="D1414">
        <v>1300</v>
      </c>
      <c r="E1414">
        <v>10000</v>
      </c>
      <c r="F1414">
        <v>96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16</v>
      </c>
      <c r="Q1414">
        <v>55</v>
      </c>
      <c r="R1414">
        <v>0</v>
      </c>
      <c r="S1414">
        <v>0</v>
      </c>
      <c r="T1414">
        <v>23</v>
      </c>
      <c r="U1414">
        <v>6</v>
      </c>
      <c r="V1414">
        <v>14</v>
      </c>
      <c r="W1414">
        <v>0</v>
      </c>
      <c r="X1414">
        <v>0</v>
      </c>
    </row>
    <row r="1415" spans="1:24" x14ac:dyDescent="0.2">
      <c r="A1415">
        <v>11001400</v>
      </c>
      <c r="B1415" t="s">
        <v>1414</v>
      </c>
      <c r="C1415">
        <v>1400</v>
      </c>
      <c r="D1415">
        <v>1400</v>
      </c>
      <c r="E1415">
        <v>10014</v>
      </c>
      <c r="F1415">
        <v>92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16</v>
      </c>
      <c r="Q1415">
        <v>55</v>
      </c>
      <c r="R1415">
        <v>0</v>
      </c>
      <c r="S1415">
        <v>71</v>
      </c>
      <c r="T1415">
        <v>23</v>
      </c>
      <c r="U1415">
        <v>6</v>
      </c>
      <c r="V1415">
        <v>14</v>
      </c>
      <c r="W1415">
        <v>0</v>
      </c>
      <c r="X1415">
        <v>0</v>
      </c>
    </row>
    <row r="1416" spans="1:24" x14ac:dyDescent="0.2">
      <c r="A1416">
        <v>11001500</v>
      </c>
      <c r="B1416" t="s">
        <v>1415</v>
      </c>
      <c r="C1416">
        <v>1500</v>
      </c>
      <c r="D1416">
        <v>1500</v>
      </c>
      <c r="E1416">
        <v>10015</v>
      </c>
      <c r="F1416">
        <v>86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16</v>
      </c>
      <c r="Q1416">
        <v>55</v>
      </c>
      <c r="R1416">
        <v>0</v>
      </c>
      <c r="S1416">
        <v>0</v>
      </c>
      <c r="T1416">
        <v>23</v>
      </c>
      <c r="U1416">
        <v>6</v>
      </c>
      <c r="V1416">
        <v>14</v>
      </c>
      <c r="W1416">
        <v>0</v>
      </c>
      <c r="X1416">
        <v>0</v>
      </c>
    </row>
    <row r="1417" spans="1:24" x14ac:dyDescent="0.2">
      <c r="A1417">
        <v>11010000</v>
      </c>
      <c r="B1417" t="s">
        <v>1416</v>
      </c>
      <c r="C1417">
        <v>0</v>
      </c>
      <c r="D1417">
        <v>0</v>
      </c>
      <c r="E1417">
        <v>10000</v>
      </c>
      <c r="F1417">
        <v>91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40</v>
      </c>
      <c r="Q1417">
        <v>40</v>
      </c>
      <c r="R1417">
        <v>0</v>
      </c>
      <c r="S1417">
        <v>0</v>
      </c>
      <c r="T1417">
        <v>22</v>
      </c>
      <c r="U1417">
        <v>5</v>
      </c>
      <c r="V1417">
        <v>8</v>
      </c>
      <c r="W1417">
        <v>0</v>
      </c>
      <c r="X1417">
        <v>0</v>
      </c>
    </row>
    <row r="1418" spans="1:24" x14ac:dyDescent="0.2">
      <c r="A1418">
        <v>11010100</v>
      </c>
      <c r="B1418" t="s">
        <v>1417</v>
      </c>
      <c r="C1418">
        <v>200</v>
      </c>
      <c r="D1418">
        <v>100</v>
      </c>
      <c r="E1418">
        <v>10000</v>
      </c>
      <c r="F1418">
        <v>91</v>
      </c>
      <c r="G1418">
        <v>0</v>
      </c>
      <c r="H1418">
        <v>0</v>
      </c>
      <c r="I1418">
        <v>0</v>
      </c>
      <c r="J1418">
        <v>0</v>
      </c>
      <c r="K1418">
        <v>1</v>
      </c>
      <c r="L1418">
        <v>0</v>
      </c>
      <c r="M1418">
        <v>0</v>
      </c>
      <c r="N1418">
        <v>0</v>
      </c>
      <c r="O1418">
        <v>0</v>
      </c>
      <c r="P1418">
        <v>45</v>
      </c>
      <c r="Q1418">
        <v>0</v>
      </c>
      <c r="R1418">
        <v>0</v>
      </c>
      <c r="S1418">
        <v>0</v>
      </c>
      <c r="T1418">
        <v>22</v>
      </c>
      <c r="U1418">
        <v>5</v>
      </c>
      <c r="V1418">
        <v>8</v>
      </c>
      <c r="W1418">
        <v>0</v>
      </c>
      <c r="X1418">
        <v>0</v>
      </c>
    </row>
    <row r="1419" spans="1:24" x14ac:dyDescent="0.2">
      <c r="A1419">
        <v>11010200</v>
      </c>
      <c r="B1419" t="s">
        <v>1418</v>
      </c>
      <c r="C1419">
        <v>100</v>
      </c>
      <c r="D1419">
        <v>200</v>
      </c>
      <c r="E1419">
        <v>10000</v>
      </c>
      <c r="F1419">
        <v>91</v>
      </c>
      <c r="G1419">
        <v>0</v>
      </c>
      <c r="H1419">
        <v>0</v>
      </c>
      <c r="I1419">
        <v>0</v>
      </c>
      <c r="J1419">
        <v>0</v>
      </c>
      <c r="K1419">
        <v>2</v>
      </c>
      <c r="L1419">
        <v>0</v>
      </c>
      <c r="M1419">
        <v>0</v>
      </c>
      <c r="N1419">
        <v>0</v>
      </c>
      <c r="O1419">
        <v>0</v>
      </c>
      <c r="P1419">
        <v>12</v>
      </c>
      <c r="Q1419">
        <v>44</v>
      </c>
      <c r="R1419">
        <v>0</v>
      </c>
      <c r="S1419">
        <v>0</v>
      </c>
      <c r="T1419">
        <v>22</v>
      </c>
      <c r="U1419">
        <v>5</v>
      </c>
      <c r="V1419">
        <v>8</v>
      </c>
      <c r="W1419">
        <v>0</v>
      </c>
      <c r="X1419">
        <v>0</v>
      </c>
    </row>
    <row r="1420" spans="1:24" x14ac:dyDescent="0.2">
      <c r="A1420">
        <v>11010300</v>
      </c>
      <c r="B1420" t="s">
        <v>1419</v>
      </c>
      <c r="C1420">
        <v>300</v>
      </c>
      <c r="D1420">
        <v>300</v>
      </c>
      <c r="E1420">
        <v>10000</v>
      </c>
      <c r="F1420">
        <v>91</v>
      </c>
      <c r="G1420">
        <v>0</v>
      </c>
      <c r="H1420">
        <v>0</v>
      </c>
      <c r="I1420">
        <v>0</v>
      </c>
      <c r="J1420">
        <v>0</v>
      </c>
      <c r="K1420">
        <v>8</v>
      </c>
      <c r="L1420">
        <v>0</v>
      </c>
      <c r="M1420">
        <v>0</v>
      </c>
      <c r="N1420">
        <v>0</v>
      </c>
      <c r="O1420">
        <v>0</v>
      </c>
      <c r="P1420">
        <v>50</v>
      </c>
      <c r="Q1420">
        <v>50</v>
      </c>
      <c r="R1420">
        <v>0</v>
      </c>
      <c r="S1420">
        <v>0</v>
      </c>
      <c r="T1420">
        <v>22</v>
      </c>
      <c r="U1420">
        <v>5</v>
      </c>
      <c r="V1420">
        <v>8</v>
      </c>
      <c r="W1420">
        <v>0</v>
      </c>
      <c r="X1420">
        <v>0</v>
      </c>
    </row>
    <row r="1421" spans="1:24" x14ac:dyDescent="0.2">
      <c r="A1421">
        <v>11010400</v>
      </c>
      <c r="B1421" t="s">
        <v>1420</v>
      </c>
      <c r="C1421">
        <v>500</v>
      </c>
      <c r="D1421">
        <v>500</v>
      </c>
      <c r="E1421">
        <v>10000</v>
      </c>
      <c r="F1421">
        <v>94</v>
      </c>
      <c r="G1421">
        <v>94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40</v>
      </c>
      <c r="Q1421">
        <v>40</v>
      </c>
      <c r="R1421">
        <v>80</v>
      </c>
      <c r="S1421">
        <v>0</v>
      </c>
      <c r="T1421">
        <v>22</v>
      </c>
      <c r="U1421">
        <v>5</v>
      </c>
      <c r="V1421">
        <v>8</v>
      </c>
      <c r="W1421">
        <v>0</v>
      </c>
      <c r="X1421">
        <v>0</v>
      </c>
    </row>
    <row r="1422" spans="1:24" x14ac:dyDescent="0.2">
      <c r="A1422">
        <v>11010500</v>
      </c>
      <c r="B1422" t="s">
        <v>1421</v>
      </c>
      <c r="C1422">
        <v>400</v>
      </c>
      <c r="D1422">
        <v>400</v>
      </c>
      <c r="E1422">
        <v>10000</v>
      </c>
      <c r="F1422">
        <v>94</v>
      </c>
      <c r="G1422">
        <v>94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40</v>
      </c>
      <c r="Q1422">
        <v>40</v>
      </c>
      <c r="R1422">
        <v>80</v>
      </c>
      <c r="S1422">
        <v>0</v>
      </c>
      <c r="T1422">
        <v>22</v>
      </c>
      <c r="U1422">
        <v>5</v>
      </c>
      <c r="V1422">
        <v>8</v>
      </c>
      <c r="W1422">
        <v>0</v>
      </c>
      <c r="X1422">
        <v>0</v>
      </c>
    </row>
    <row r="1423" spans="1:24" x14ac:dyDescent="0.2">
      <c r="A1423">
        <v>11010600</v>
      </c>
      <c r="B1423" t="s">
        <v>1422</v>
      </c>
      <c r="C1423">
        <v>600</v>
      </c>
      <c r="D1423">
        <v>600</v>
      </c>
      <c r="E1423">
        <v>10000</v>
      </c>
      <c r="F1423">
        <v>96</v>
      </c>
      <c r="G1423">
        <v>0</v>
      </c>
      <c r="H1423">
        <v>96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40</v>
      </c>
      <c r="Q1423">
        <v>40</v>
      </c>
      <c r="R1423">
        <v>0</v>
      </c>
      <c r="S1423">
        <v>0</v>
      </c>
      <c r="T1423">
        <v>22</v>
      </c>
      <c r="U1423">
        <v>5</v>
      </c>
      <c r="V1423">
        <v>8</v>
      </c>
      <c r="W1423">
        <v>0</v>
      </c>
      <c r="X1423">
        <v>0</v>
      </c>
    </row>
    <row r="1424" spans="1:24" x14ac:dyDescent="0.2">
      <c r="A1424">
        <v>11010700</v>
      </c>
      <c r="B1424" t="s">
        <v>1423</v>
      </c>
      <c r="C1424">
        <v>700</v>
      </c>
      <c r="D1424">
        <v>700</v>
      </c>
      <c r="E1424">
        <v>10000</v>
      </c>
      <c r="F1424">
        <v>94</v>
      </c>
      <c r="G1424">
        <v>0</v>
      </c>
      <c r="H1424">
        <v>94</v>
      </c>
      <c r="I1424">
        <v>0</v>
      </c>
      <c r="J1424">
        <v>0</v>
      </c>
      <c r="K1424">
        <v>0</v>
      </c>
      <c r="L1424">
        <v>0</v>
      </c>
      <c r="M1424">
        <v>4</v>
      </c>
      <c r="N1424">
        <v>0</v>
      </c>
      <c r="O1424">
        <v>0</v>
      </c>
      <c r="P1424">
        <v>40</v>
      </c>
      <c r="Q1424">
        <v>40</v>
      </c>
      <c r="R1424">
        <v>80</v>
      </c>
      <c r="S1424">
        <v>80</v>
      </c>
      <c r="T1424">
        <v>22</v>
      </c>
      <c r="U1424">
        <v>5</v>
      </c>
      <c r="V1424">
        <v>8</v>
      </c>
      <c r="W1424">
        <v>0</v>
      </c>
      <c r="X1424">
        <v>0</v>
      </c>
    </row>
    <row r="1425" spans="1:24" x14ac:dyDescent="0.2">
      <c r="A1425">
        <v>11010800</v>
      </c>
      <c r="B1425" t="s">
        <v>1424</v>
      </c>
      <c r="C1425">
        <v>800</v>
      </c>
      <c r="D1425">
        <v>800</v>
      </c>
      <c r="E1425">
        <v>10000</v>
      </c>
      <c r="F1425">
        <v>94</v>
      </c>
      <c r="G1425">
        <v>0</v>
      </c>
      <c r="H1425">
        <v>0</v>
      </c>
      <c r="I1425">
        <v>94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40</v>
      </c>
      <c r="Q1425">
        <v>40</v>
      </c>
      <c r="R1425">
        <v>0</v>
      </c>
      <c r="S1425">
        <v>80</v>
      </c>
      <c r="T1425">
        <v>22</v>
      </c>
      <c r="U1425">
        <v>5</v>
      </c>
      <c r="V1425">
        <v>8</v>
      </c>
      <c r="W1425">
        <v>0</v>
      </c>
      <c r="X1425">
        <v>0</v>
      </c>
    </row>
    <row r="1426" spans="1:24" x14ac:dyDescent="0.2">
      <c r="A1426">
        <v>11010900</v>
      </c>
      <c r="B1426" t="s">
        <v>1425</v>
      </c>
      <c r="C1426">
        <v>900</v>
      </c>
      <c r="D1426">
        <v>900</v>
      </c>
      <c r="E1426">
        <v>10000</v>
      </c>
      <c r="F1426">
        <v>96</v>
      </c>
      <c r="G1426">
        <v>0</v>
      </c>
      <c r="H1426">
        <v>0</v>
      </c>
      <c r="I1426">
        <v>0</v>
      </c>
      <c r="J1426">
        <v>96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40</v>
      </c>
      <c r="Q1426">
        <v>40</v>
      </c>
      <c r="R1426">
        <v>0</v>
      </c>
      <c r="S1426">
        <v>0</v>
      </c>
      <c r="T1426">
        <v>22</v>
      </c>
      <c r="U1426">
        <v>5</v>
      </c>
      <c r="V1426">
        <v>8</v>
      </c>
      <c r="W1426">
        <v>0</v>
      </c>
      <c r="X1426">
        <v>0</v>
      </c>
    </row>
    <row r="1427" spans="1:24" x14ac:dyDescent="0.2">
      <c r="A1427">
        <v>11011000</v>
      </c>
      <c r="B1427" t="s">
        <v>1426</v>
      </c>
      <c r="C1427">
        <v>1000</v>
      </c>
      <c r="D1427">
        <v>1000</v>
      </c>
      <c r="E1427">
        <v>10000</v>
      </c>
      <c r="F1427">
        <v>94</v>
      </c>
      <c r="G1427">
        <v>0</v>
      </c>
      <c r="H1427">
        <v>0</v>
      </c>
      <c r="I1427">
        <v>0</v>
      </c>
      <c r="J1427">
        <v>94</v>
      </c>
      <c r="K1427">
        <v>0</v>
      </c>
      <c r="L1427">
        <v>0</v>
      </c>
      <c r="M1427">
        <v>0</v>
      </c>
      <c r="N1427">
        <v>0</v>
      </c>
      <c r="O1427">
        <v>4</v>
      </c>
      <c r="P1427">
        <v>40</v>
      </c>
      <c r="Q1427">
        <v>40</v>
      </c>
      <c r="R1427">
        <v>80</v>
      </c>
      <c r="S1427">
        <v>80</v>
      </c>
      <c r="T1427">
        <v>22</v>
      </c>
      <c r="U1427">
        <v>5</v>
      </c>
      <c r="V1427">
        <v>8</v>
      </c>
      <c r="W1427">
        <v>0</v>
      </c>
      <c r="X1427">
        <v>0</v>
      </c>
    </row>
    <row r="1428" spans="1:24" x14ac:dyDescent="0.2">
      <c r="A1428">
        <v>11011100</v>
      </c>
      <c r="B1428" t="s">
        <v>1427</v>
      </c>
      <c r="C1428">
        <v>1100</v>
      </c>
      <c r="D1428">
        <v>1100</v>
      </c>
      <c r="E1428">
        <v>10000</v>
      </c>
      <c r="F1428">
        <v>91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40</v>
      </c>
      <c r="Q1428">
        <v>40</v>
      </c>
      <c r="R1428">
        <v>0</v>
      </c>
      <c r="S1428">
        <v>0</v>
      </c>
      <c r="T1428">
        <v>22</v>
      </c>
      <c r="U1428">
        <v>5</v>
      </c>
      <c r="V1428">
        <v>8</v>
      </c>
      <c r="W1428">
        <v>0</v>
      </c>
      <c r="X1428">
        <v>0</v>
      </c>
    </row>
    <row r="1429" spans="1:24" x14ac:dyDescent="0.2">
      <c r="A1429">
        <v>11011200</v>
      </c>
      <c r="B1429" t="s">
        <v>1428</v>
      </c>
      <c r="C1429">
        <v>1200</v>
      </c>
      <c r="D1429">
        <v>1200</v>
      </c>
      <c r="E1429">
        <v>10000</v>
      </c>
      <c r="F1429">
        <v>91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40</v>
      </c>
      <c r="Q1429">
        <v>40</v>
      </c>
      <c r="R1429">
        <v>0</v>
      </c>
      <c r="S1429">
        <v>0</v>
      </c>
      <c r="T1429">
        <v>22</v>
      </c>
      <c r="U1429">
        <v>5</v>
      </c>
      <c r="V1429">
        <v>8</v>
      </c>
      <c r="W1429">
        <v>0</v>
      </c>
      <c r="X1429">
        <v>0</v>
      </c>
    </row>
    <row r="1430" spans="1:24" x14ac:dyDescent="0.2">
      <c r="A1430">
        <v>11011300</v>
      </c>
      <c r="B1430" t="s">
        <v>1429</v>
      </c>
      <c r="C1430">
        <v>1300</v>
      </c>
      <c r="D1430">
        <v>1300</v>
      </c>
      <c r="E1430">
        <v>10000</v>
      </c>
      <c r="F1430">
        <v>101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40</v>
      </c>
      <c r="Q1430">
        <v>40</v>
      </c>
      <c r="R1430">
        <v>0</v>
      </c>
      <c r="S1430">
        <v>0</v>
      </c>
      <c r="T1430">
        <v>22</v>
      </c>
      <c r="U1430">
        <v>5</v>
      </c>
      <c r="V1430">
        <v>8</v>
      </c>
      <c r="W1430">
        <v>0</v>
      </c>
      <c r="X1430">
        <v>0</v>
      </c>
    </row>
    <row r="1431" spans="1:24" x14ac:dyDescent="0.2">
      <c r="A1431">
        <v>11011400</v>
      </c>
      <c r="B1431" t="s">
        <v>1430</v>
      </c>
      <c r="C1431">
        <v>1400</v>
      </c>
      <c r="D1431">
        <v>1400</v>
      </c>
      <c r="E1431">
        <v>10014</v>
      </c>
      <c r="F1431">
        <v>94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40</v>
      </c>
      <c r="Q1431">
        <v>40</v>
      </c>
      <c r="R1431">
        <v>0</v>
      </c>
      <c r="S1431">
        <v>80</v>
      </c>
      <c r="T1431">
        <v>22</v>
      </c>
      <c r="U1431">
        <v>5</v>
      </c>
      <c r="V1431">
        <v>8</v>
      </c>
      <c r="W1431">
        <v>0</v>
      </c>
      <c r="X1431">
        <v>0</v>
      </c>
    </row>
    <row r="1432" spans="1:24" x14ac:dyDescent="0.2">
      <c r="A1432">
        <v>11011500</v>
      </c>
      <c r="B1432" t="s">
        <v>1431</v>
      </c>
      <c r="C1432">
        <v>1500</v>
      </c>
      <c r="D1432">
        <v>1500</v>
      </c>
      <c r="E1432">
        <v>10015</v>
      </c>
      <c r="F1432">
        <v>91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40</v>
      </c>
      <c r="Q1432">
        <v>40</v>
      </c>
      <c r="R1432">
        <v>0</v>
      </c>
      <c r="S1432">
        <v>0</v>
      </c>
      <c r="T1432">
        <v>22</v>
      </c>
      <c r="U1432">
        <v>5</v>
      </c>
      <c r="V1432">
        <v>8</v>
      </c>
      <c r="W1432">
        <v>0</v>
      </c>
      <c r="X1432">
        <v>0</v>
      </c>
    </row>
    <row r="1433" spans="1:24" x14ac:dyDescent="0.2">
      <c r="A1433">
        <v>11020000</v>
      </c>
      <c r="B1433" t="s">
        <v>1432</v>
      </c>
      <c r="C1433">
        <v>0</v>
      </c>
      <c r="D1433">
        <v>0</v>
      </c>
      <c r="E1433">
        <v>10000</v>
      </c>
      <c r="F1433">
        <v>81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14</v>
      </c>
      <c r="Q1433">
        <v>58</v>
      </c>
      <c r="R1433">
        <v>0</v>
      </c>
      <c r="S1433">
        <v>0</v>
      </c>
      <c r="T1433">
        <v>21</v>
      </c>
      <c r="U1433">
        <v>8</v>
      </c>
      <c r="V1433">
        <v>18</v>
      </c>
      <c r="W1433">
        <v>0</v>
      </c>
      <c r="X1433">
        <v>0</v>
      </c>
    </row>
    <row r="1434" spans="1:24" x14ac:dyDescent="0.2">
      <c r="A1434">
        <v>11020100</v>
      </c>
      <c r="B1434" t="s">
        <v>1433</v>
      </c>
      <c r="C1434">
        <v>200</v>
      </c>
      <c r="D1434">
        <v>100</v>
      </c>
      <c r="E1434">
        <v>10000</v>
      </c>
      <c r="F1434">
        <v>81</v>
      </c>
      <c r="G1434">
        <v>0</v>
      </c>
      <c r="H1434">
        <v>0</v>
      </c>
      <c r="I1434">
        <v>0</v>
      </c>
      <c r="J1434">
        <v>0</v>
      </c>
      <c r="K1434">
        <v>1</v>
      </c>
      <c r="L1434">
        <v>0</v>
      </c>
      <c r="M1434">
        <v>0</v>
      </c>
      <c r="N1434">
        <v>0</v>
      </c>
      <c r="O1434">
        <v>0</v>
      </c>
      <c r="P1434">
        <v>43</v>
      </c>
      <c r="Q1434">
        <v>0</v>
      </c>
      <c r="R1434">
        <v>0</v>
      </c>
      <c r="S1434">
        <v>0</v>
      </c>
      <c r="T1434">
        <v>21</v>
      </c>
      <c r="U1434">
        <v>8</v>
      </c>
      <c r="V1434">
        <v>18</v>
      </c>
      <c r="W1434">
        <v>0</v>
      </c>
      <c r="X1434">
        <v>0</v>
      </c>
    </row>
    <row r="1435" spans="1:24" x14ac:dyDescent="0.2">
      <c r="A1435">
        <v>11020200</v>
      </c>
      <c r="B1435" t="s">
        <v>1434</v>
      </c>
      <c r="C1435">
        <v>100</v>
      </c>
      <c r="D1435">
        <v>5000</v>
      </c>
      <c r="E1435">
        <v>10000</v>
      </c>
      <c r="F1435">
        <v>81</v>
      </c>
      <c r="G1435">
        <v>0</v>
      </c>
      <c r="H1435">
        <v>0</v>
      </c>
      <c r="I1435">
        <v>0</v>
      </c>
      <c r="J1435">
        <v>0</v>
      </c>
      <c r="K1435">
        <v>2</v>
      </c>
      <c r="L1435">
        <v>0</v>
      </c>
      <c r="M1435">
        <v>0</v>
      </c>
      <c r="N1435">
        <v>0</v>
      </c>
      <c r="O1435">
        <v>0</v>
      </c>
      <c r="P1435">
        <v>7</v>
      </c>
      <c r="Q1435">
        <v>60</v>
      </c>
      <c r="R1435">
        <v>0</v>
      </c>
      <c r="S1435">
        <v>0</v>
      </c>
      <c r="T1435">
        <v>21</v>
      </c>
      <c r="U1435">
        <v>8</v>
      </c>
      <c r="V1435">
        <v>18</v>
      </c>
      <c r="W1435">
        <v>0</v>
      </c>
      <c r="X1435">
        <v>0</v>
      </c>
    </row>
    <row r="1436" spans="1:24" x14ac:dyDescent="0.2">
      <c r="A1436">
        <v>11020300</v>
      </c>
      <c r="B1436" t="s">
        <v>1435</v>
      </c>
      <c r="C1436">
        <v>300</v>
      </c>
      <c r="D1436">
        <v>300</v>
      </c>
      <c r="E1436">
        <v>10000</v>
      </c>
      <c r="F1436">
        <v>81</v>
      </c>
      <c r="G1436">
        <v>0</v>
      </c>
      <c r="H1436">
        <v>0</v>
      </c>
      <c r="I1436">
        <v>0</v>
      </c>
      <c r="J1436">
        <v>0</v>
      </c>
      <c r="K1436">
        <v>8</v>
      </c>
      <c r="L1436">
        <v>0</v>
      </c>
      <c r="M1436">
        <v>0</v>
      </c>
      <c r="N1436">
        <v>0</v>
      </c>
      <c r="O1436">
        <v>0</v>
      </c>
      <c r="P1436">
        <v>51</v>
      </c>
      <c r="Q1436">
        <v>51</v>
      </c>
      <c r="R1436">
        <v>0</v>
      </c>
      <c r="S1436">
        <v>0</v>
      </c>
      <c r="T1436">
        <v>21</v>
      </c>
      <c r="U1436">
        <v>8</v>
      </c>
      <c r="V1436">
        <v>18</v>
      </c>
      <c r="W1436">
        <v>0</v>
      </c>
      <c r="X1436">
        <v>0</v>
      </c>
    </row>
    <row r="1437" spans="1:24" x14ac:dyDescent="0.2">
      <c r="A1437">
        <v>11020400</v>
      </c>
      <c r="B1437" t="s">
        <v>1436</v>
      </c>
      <c r="C1437">
        <v>500</v>
      </c>
      <c r="D1437">
        <v>500</v>
      </c>
      <c r="E1437">
        <v>10000</v>
      </c>
      <c r="F1437">
        <v>87</v>
      </c>
      <c r="G1437">
        <v>87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14</v>
      </c>
      <c r="Q1437">
        <v>58</v>
      </c>
      <c r="R1437">
        <v>72</v>
      </c>
      <c r="S1437">
        <v>0</v>
      </c>
      <c r="T1437">
        <v>21</v>
      </c>
      <c r="U1437">
        <v>8</v>
      </c>
      <c r="V1437">
        <v>18</v>
      </c>
      <c r="W1437">
        <v>0</v>
      </c>
      <c r="X1437">
        <v>0</v>
      </c>
    </row>
    <row r="1438" spans="1:24" x14ac:dyDescent="0.2">
      <c r="A1438">
        <v>11020500</v>
      </c>
      <c r="B1438" t="s">
        <v>1437</v>
      </c>
      <c r="C1438">
        <v>400</v>
      </c>
      <c r="D1438">
        <v>400</v>
      </c>
      <c r="E1438">
        <v>10000</v>
      </c>
      <c r="F1438">
        <v>87</v>
      </c>
      <c r="G1438">
        <v>87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14</v>
      </c>
      <c r="Q1438">
        <v>58</v>
      </c>
      <c r="R1438">
        <v>72</v>
      </c>
      <c r="S1438">
        <v>0</v>
      </c>
      <c r="T1438">
        <v>21</v>
      </c>
      <c r="U1438">
        <v>8</v>
      </c>
      <c r="V1438">
        <v>18</v>
      </c>
      <c r="W1438">
        <v>0</v>
      </c>
      <c r="X1438">
        <v>0</v>
      </c>
    </row>
    <row r="1439" spans="1:24" x14ac:dyDescent="0.2">
      <c r="A1439">
        <v>11020600</v>
      </c>
      <c r="B1439" t="s">
        <v>1438</v>
      </c>
      <c r="C1439">
        <v>600</v>
      </c>
      <c r="D1439">
        <v>600</v>
      </c>
      <c r="E1439">
        <v>10000</v>
      </c>
      <c r="F1439">
        <v>89</v>
      </c>
      <c r="G1439">
        <v>0</v>
      </c>
      <c r="H1439">
        <v>89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14</v>
      </c>
      <c r="Q1439">
        <v>58</v>
      </c>
      <c r="R1439">
        <v>0</v>
      </c>
      <c r="S1439">
        <v>0</v>
      </c>
      <c r="T1439">
        <v>21</v>
      </c>
      <c r="U1439">
        <v>8</v>
      </c>
      <c r="V1439">
        <v>18</v>
      </c>
      <c r="W1439">
        <v>0</v>
      </c>
      <c r="X1439">
        <v>0</v>
      </c>
    </row>
    <row r="1440" spans="1:24" x14ac:dyDescent="0.2">
      <c r="A1440">
        <v>11020700</v>
      </c>
      <c r="B1440" t="s">
        <v>1439</v>
      </c>
      <c r="C1440">
        <v>700</v>
      </c>
      <c r="D1440">
        <v>700</v>
      </c>
      <c r="E1440">
        <v>10000</v>
      </c>
      <c r="F1440">
        <v>87</v>
      </c>
      <c r="G1440">
        <v>0</v>
      </c>
      <c r="H1440">
        <v>87</v>
      </c>
      <c r="I1440">
        <v>0</v>
      </c>
      <c r="J1440">
        <v>0</v>
      </c>
      <c r="K1440">
        <v>0</v>
      </c>
      <c r="L1440">
        <v>0</v>
      </c>
      <c r="M1440">
        <v>4</v>
      </c>
      <c r="N1440">
        <v>0</v>
      </c>
      <c r="O1440">
        <v>0</v>
      </c>
      <c r="P1440">
        <v>14</v>
      </c>
      <c r="Q1440">
        <v>58</v>
      </c>
      <c r="R1440">
        <v>72</v>
      </c>
      <c r="S1440">
        <v>72</v>
      </c>
      <c r="T1440">
        <v>21</v>
      </c>
      <c r="U1440">
        <v>8</v>
      </c>
      <c r="V1440">
        <v>18</v>
      </c>
      <c r="W1440">
        <v>0</v>
      </c>
      <c r="X1440">
        <v>0</v>
      </c>
    </row>
    <row r="1441" spans="1:24" x14ac:dyDescent="0.2">
      <c r="A1441">
        <v>11020800</v>
      </c>
      <c r="B1441" t="s">
        <v>1440</v>
      </c>
      <c r="C1441">
        <v>800</v>
      </c>
      <c r="D1441">
        <v>800</v>
      </c>
      <c r="E1441">
        <v>10000</v>
      </c>
      <c r="F1441">
        <v>87</v>
      </c>
      <c r="G1441">
        <v>0</v>
      </c>
      <c r="H1441">
        <v>0</v>
      </c>
      <c r="I1441">
        <v>87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14</v>
      </c>
      <c r="Q1441">
        <v>58</v>
      </c>
      <c r="R1441">
        <v>0</v>
      </c>
      <c r="S1441">
        <v>72</v>
      </c>
      <c r="T1441">
        <v>21</v>
      </c>
      <c r="U1441">
        <v>8</v>
      </c>
      <c r="V1441">
        <v>18</v>
      </c>
      <c r="W1441">
        <v>0</v>
      </c>
      <c r="X1441">
        <v>0</v>
      </c>
    </row>
    <row r="1442" spans="1:24" x14ac:dyDescent="0.2">
      <c r="A1442">
        <v>11020900</v>
      </c>
      <c r="B1442" t="s">
        <v>1441</v>
      </c>
      <c r="C1442">
        <v>900</v>
      </c>
      <c r="D1442">
        <v>900</v>
      </c>
      <c r="E1442">
        <v>10000</v>
      </c>
      <c r="F1442">
        <v>89</v>
      </c>
      <c r="G1442">
        <v>0</v>
      </c>
      <c r="H1442">
        <v>0</v>
      </c>
      <c r="I1442">
        <v>0</v>
      </c>
      <c r="J1442">
        <v>89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14</v>
      </c>
      <c r="Q1442">
        <v>58</v>
      </c>
      <c r="R1442">
        <v>0</v>
      </c>
      <c r="S1442">
        <v>0</v>
      </c>
      <c r="T1442">
        <v>21</v>
      </c>
      <c r="U1442">
        <v>8</v>
      </c>
      <c r="V1442">
        <v>18</v>
      </c>
      <c r="W1442">
        <v>0</v>
      </c>
      <c r="X1442">
        <v>0</v>
      </c>
    </row>
    <row r="1443" spans="1:24" x14ac:dyDescent="0.2">
      <c r="A1443">
        <v>11021000</v>
      </c>
      <c r="B1443" t="s">
        <v>1442</v>
      </c>
      <c r="C1443">
        <v>1000</v>
      </c>
      <c r="D1443">
        <v>1000</v>
      </c>
      <c r="E1443">
        <v>10000</v>
      </c>
      <c r="F1443">
        <v>87</v>
      </c>
      <c r="G1443">
        <v>0</v>
      </c>
      <c r="H1443">
        <v>0</v>
      </c>
      <c r="I1443">
        <v>0</v>
      </c>
      <c r="J1443">
        <v>87</v>
      </c>
      <c r="K1443">
        <v>0</v>
      </c>
      <c r="L1443">
        <v>0</v>
      </c>
      <c r="M1443">
        <v>0</v>
      </c>
      <c r="N1443">
        <v>0</v>
      </c>
      <c r="O1443">
        <v>4</v>
      </c>
      <c r="P1443">
        <v>14</v>
      </c>
      <c r="Q1443">
        <v>58</v>
      </c>
      <c r="R1443">
        <v>72</v>
      </c>
      <c r="S1443">
        <v>72</v>
      </c>
      <c r="T1443">
        <v>21</v>
      </c>
      <c r="U1443">
        <v>8</v>
      </c>
      <c r="V1443">
        <v>18</v>
      </c>
      <c r="W1443">
        <v>0</v>
      </c>
      <c r="X1443">
        <v>0</v>
      </c>
    </row>
    <row r="1444" spans="1:24" x14ac:dyDescent="0.2">
      <c r="A1444">
        <v>11021100</v>
      </c>
      <c r="B1444" t="s">
        <v>1443</v>
      </c>
      <c r="C1444">
        <v>1100</v>
      </c>
      <c r="D1444">
        <v>1100</v>
      </c>
      <c r="E1444">
        <v>10000</v>
      </c>
      <c r="F1444">
        <v>81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14</v>
      </c>
      <c r="Q1444">
        <v>58</v>
      </c>
      <c r="R1444">
        <v>0</v>
      </c>
      <c r="S1444">
        <v>0</v>
      </c>
      <c r="T1444">
        <v>21</v>
      </c>
      <c r="U1444">
        <v>8</v>
      </c>
      <c r="V1444">
        <v>18</v>
      </c>
      <c r="W1444">
        <v>0</v>
      </c>
      <c r="X1444">
        <v>0</v>
      </c>
    </row>
    <row r="1445" spans="1:24" x14ac:dyDescent="0.2">
      <c r="A1445">
        <v>11021200</v>
      </c>
      <c r="B1445" t="s">
        <v>1444</v>
      </c>
      <c r="C1445">
        <v>1200</v>
      </c>
      <c r="D1445">
        <v>1200</v>
      </c>
      <c r="E1445">
        <v>10000</v>
      </c>
      <c r="F1445">
        <v>81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14</v>
      </c>
      <c r="Q1445">
        <v>58</v>
      </c>
      <c r="R1445">
        <v>0</v>
      </c>
      <c r="S1445">
        <v>0</v>
      </c>
      <c r="T1445">
        <v>21</v>
      </c>
      <c r="U1445">
        <v>8</v>
      </c>
      <c r="V1445">
        <v>18</v>
      </c>
      <c r="W1445">
        <v>0</v>
      </c>
      <c r="X1445">
        <v>0</v>
      </c>
    </row>
    <row r="1446" spans="1:24" x14ac:dyDescent="0.2">
      <c r="A1446">
        <v>11021300</v>
      </c>
      <c r="B1446" t="s">
        <v>1445</v>
      </c>
      <c r="C1446">
        <v>1300</v>
      </c>
      <c r="D1446">
        <v>1300</v>
      </c>
      <c r="E1446">
        <v>10000</v>
      </c>
      <c r="F1446">
        <v>92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14</v>
      </c>
      <c r="Q1446">
        <v>58</v>
      </c>
      <c r="R1446">
        <v>0</v>
      </c>
      <c r="S1446">
        <v>0</v>
      </c>
      <c r="T1446">
        <v>21</v>
      </c>
      <c r="U1446">
        <v>8</v>
      </c>
      <c r="V1446">
        <v>18</v>
      </c>
      <c r="W1446">
        <v>0</v>
      </c>
      <c r="X1446">
        <v>0</v>
      </c>
    </row>
    <row r="1447" spans="1:24" x14ac:dyDescent="0.2">
      <c r="A1447">
        <v>11021400</v>
      </c>
      <c r="B1447" t="s">
        <v>1446</v>
      </c>
      <c r="C1447">
        <v>1400</v>
      </c>
      <c r="D1447">
        <v>1400</v>
      </c>
      <c r="E1447">
        <v>10014</v>
      </c>
      <c r="F1447">
        <v>87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14</v>
      </c>
      <c r="Q1447">
        <v>58</v>
      </c>
      <c r="R1447">
        <v>0</v>
      </c>
      <c r="S1447">
        <v>72</v>
      </c>
      <c r="T1447">
        <v>21</v>
      </c>
      <c r="U1447">
        <v>8</v>
      </c>
      <c r="V1447">
        <v>18</v>
      </c>
      <c r="W1447">
        <v>0</v>
      </c>
      <c r="X1447">
        <v>0</v>
      </c>
    </row>
    <row r="1448" spans="1:24" x14ac:dyDescent="0.2">
      <c r="A1448">
        <v>11021500</v>
      </c>
      <c r="B1448" t="s">
        <v>1447</v>
      </c>
      <c r="C1448">
        <v>1500</v>
      </c>
      <c r="D1448">
        <v>1500</v>
      </c>
      <c r="E1448">
        <v>10015</v>
      </c>
      <c r="F1448">
        <v>81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14</v>
      </c>
      <c r="Q1448">
        <v>58</v>
      </c>
      <c r="R1448">
        <v>0</v>
      </c>
      <c r="S1448">
        <v>0</v>
      </c>
      <c r="T1448">
        <v>21</v>
      </c>
      <c r="U1448">
        <v>8</v>
      </c>
      <c r="V1448">
        <v>18</v>
      </c>
      <c r="W1448">
        <v>0</v>
      </c>
      <c r="X1448">
        <v>0</v>
      </c>
    </row>
    <row r="1449" spans="1:24" x14ac:dyDescent="0.2">
      <c r="A1449">
        <v>11030000</v>
      </c>
      <c r="B1449" t="s">
        <v>1448</v>
      </c>
      <c r="C1449">
        <v>2000</v>
      </c>
      <c r="D1449">
        <v>2100</v>
      </c>
      <c r="E1449">
        <v>10000</v>
      </c>
      <c r="F1449">
        <v>101</v>
      </c>
      <c r="G1449">
        <v>0</v>
      </c>
      <c r="H1449">
        <v>70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45</v>
      </c>
      <c r="Q1449">
        <v>0</v>
      </c>
      <c r="R1449">
        <v>20</v>
      </c>
      <c r="S1449">
        <v>20</v>
      </c>
      <c r="T1449">
        <v>9</v>
      </c>
      <c r="U1449">
        <v>20</v>
      </c>
      <c r="V1449">
        <v>8</v>
      </c>
      <c r="W1449">
        <v>9</v>
      </c>
      <c r="X1449">
        <v>9</v>
      </c>
    </row>
    <row r="1450" spans="1:24" x14ac:dyDescent="0.2">
      <c r="A1450">
        <v>11040000</v>
      </c>
      <c r="B1450" t="s">
        <v>1449</v>
      </c>
      <c r="C1450">
        <v>0</v>
      </c>
      <c r="D1450">
        <v>3000</v>
      </c>
      <c r="E1450">
        <v>10000</v>
      </c>
      <c r="F1450">
        <v>88</v>
      </c>
      <c r="G1450">
        <v>0</v>
      </c>
      <c r="H1450">
        <v>0</v>
      </c>
      <c r="I1450">
        <v>0</v>
      </c>
      <c r="J1450">
        <v>150</v>
      </c>
      <c r="K1450">
        <v>15</v>
      </c>
      <c r="L1450">
        <v>15</v>
      </c>
      <c r="M1450">
        <v>15</v>
      </c>
      <c r="N1450">
        <v>15</v>
      </c>
      <c r="O1450">
        <v>15</v>
      </c>
      <c r="P1450">
        <v>60</v>
      </c>
      <c r="Q1450">
        <v>60</v>
      </c>
      <c r="R1450">
        <v>45</v>
      </c>
      <c r="S1450">
        <v>45</v>
      </c>
      <c r="T1450">
        <v>33</v>
      </c>
      <c r="U1450">
        <v>0</v>
      </c>
      <c r="V1450">
        <v>0</v>
      </c>
      <c r="W1450">
        <v>0</v>
      </c>
      <c r="X1450">
        <v>0</v>
      </c>
    </row>
    <row r="1451" spans="1:24" x14ac:dyDescent="0.2">
      <c r="A1451">
        <v>11050000</v>
      </c>
      <c r="B1451" t="s">
        <v>1450</v>
      </c>
      <c r="C1451">
        <v>0</v>
      </c>
      <c r="D1451">
        <v>0</v>
      </c>
      <c r="E1451">
        <v>10000</v>
      </c>
      <c r="F1451">
        <v>91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15</v>
      </c>
      <c r="Q1451">
        <v>55</v>
      </c>
      <c r="R1451">
        <v>0</v>
      </c>
      <c r="S1451">
        <v>0</v>
      </c>
      <c r="T1451">
        <v>22</v>
      </c>
      <c r="U1451">
        <v>6</v>
      </c>
      <c r="V1451">
        <v>19</v>
      </c>
      <c r="W1451">
        <v>0</v>
      </c>
      <c r="X1451">
        <v>0</v>
      </c>
    </row>
    <row r="1452" spans="1:24" x14ac:dyDescent="0.2">
      <c r="A1452">
        <v>11050100</v>
      </c>
      <c r="B1452" t="s">
        <v>1451</v>
      </c>
      <c r="C1452">
        <v>200</v>
      </c>
      <c r="D1452">
        <v>100</v>
      </c>
      <c r="E1452">
        <v>10000</v>
      </c>
      <c r="F1452">
        <v>91</v>
      </c>
      <c r="G1452">
        <v>0</v>
      </c>
      <c r="H1452">
        <v>0</v>
      </c>
      <c r="I1452">
        <v>0</v>
      </c>
      <c r="J1452">
        <v>0</v>
      </c>
      <c r="K1452">
        <v>1</v>
      </c>
      <c r="L1452">
        <v>0</v>
      </c>
      <c r="M1452">
        <v>0</v>
      </c>
      <c r="N1452">
        <v>0</v>
      </c>
      <c r="O1452">
        <v>0</v>
      </c>
      <c r="P1452">
        <v>38</v>
      </c>
      <c r="Q1452">
        <v>0</v>
      </c>
      <c r="R1452">
        <v>0</v>
      </c>
      <c r="S1452">
        <v>0</v>
      </c>
      <c r="T1452">
        <v>22</v>
      </c>
      <c r="U1452">
        <v>6</v>
      </c>
      <c r="V1452">
        <v>19</v>
      </c>
      <c r="W1452">
        <v>0</v>
      </c>
      <c r="X1452">
        <v>0</v>
      </c>
    </row>
    <row r="1453" spans="1:24" x14ac:dyDescent="0.2">
      <c r="A1453">
        <v>11050200</v>
      </c>
      <c r="B1453" t="s">
        <v>1452</v>
      </c>
      <c r="C1453">
        <v>100</v>
      </c>
      <c r="D1453">
        <v>200</v>
      </c>
      <c r="E1453">
        <v>10000</v>
      </c>
      <c r="F1453">
        <v>91</v>
      </c>
      <c r="G1453">
        <v>0</v>
      </c>
      <c r="H1453">
        <v>0</v>
      </c>
      <c r="I1453">
        <v>0</v>
      </c>
      <c r="J1453">
        <v>0</v>
      </c>
      <c r="K1453">
        <v>2</v>
      </c>
      <c r="L1453">
        <v>0</v>
      </c>
      <c r="M1453">
        <v>0</v>
      </c>
      <c r="N1453">
        <v>0</v>
      </c>
      <c r="O1453">
        <v>0</v>
      </c>
      <c r="P1453">
        <v>7</v>
      </c>
      <c r="Q1453">
        <v>49</v>
      </c>
      <c r="R1453">
        <v>0</v>
      </c>
      <c r="S1453">
        <v>0</v>
      </c>
      <c r="T1453">
        <v>22</v>
      </c>
      <c r="U1453">
        <v>6</v>
      </c>
      <c r="V1453">
        <v>19</v>
      </c>
      <c r="W1453">
        <v>0</v>
      </c>
      <c r="X1453">
        <v>0</v>
      </c>
    </row>
    <row r="1454" spans="1:24" x14ac:dyDescent="0.2">
      <c r="A1454">
        <v>11050300</v>
      </c>
      <c r="B1454" t="s">
        <v>1453</v>
      </c>
      <c r="C1454">
        <v>300</v>
      </c>
      <c r="D1454">
        <v>300</v>
      </c>
      <c r="E1454">
        <v>10000</v>
      </c>
      <c r="F1454">
        <v>91</v>
      </c>
      <c r="G1454">
        <v>0</v>
      </c>
      <c r="H1454">
        <v>0</v>
      </c>
      <c r="I1454">
        <v>0</v>
      </c>
      <c r="J1454">
        <v>0</v>
      </c>
      <c r="K1454">
        <v>8</v>
      </c>
      <c r="L1454">
        <v>0</v>
      </c>
      <c r="M1454">
        <v>0</v>
      </c>
      <c r="N1454">
        <v>0</v>
      </c>
      <c r="O1454">
        <v>0</v>
      </c>
      <c r="P1454">
        <v>45</v>
      </c>
      <c r="Q1454">
        <v>50</v>
      </c>
      <c r="R1454">
        <v>0</v>
      </c>
      <c r="S1454">
        <v>0</v>
      </c>
      <c r="T1454">
        <v>22</v>
      </c>
      <c r="U1454">
        <v>6</v>
      </c>
      <c r="V1454">
        <v>19</v>
      </c>
      <c r="W1454">
        <v>0</v>
      </c>
      <c r="X1454">
        <v>0</v>
      </c>
    </row>
    <row r="1455" spans="1:24" x14ac:dyDescent="0.2">
      <c r="A1455">
        <v>11050400</v>
      </c>
      <c r="B1455" t="s">
        <v>1454</v>
      </c>
      <c r="C1455">
        <v>500</v>
      </c>
      <c r="D1455">
        <v>500</v>
      </c>
      <c r="E1455">
        <v>10000</v>
      </c>
      <c r="F1455">
        <v>97</v>
      </c>
      <c r="G1455">
        <v>97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15</v>
      </c>
      <c r="Q1455">
        <v>55</v>
      </c>
      <c r="R1455">
        <v>70</v>
      </c>
      <c r="S1455">
        <v>0</v>
      </c>
      <c r="T1455">
        <v>22</v>
      </c>
      <c r="U1455">
        <v>6</v>
      </c>
      <c r="V1455">
        <v>19</v>
      </c>
      <c r="W1455">
        <v>0</v>
      </c>
      <c r="X1455">
        <v>0</v>
      </c>
    </row>
    <row r="1456" spans="1:24" x14ac:dyDescent="0.2">
      <c r="A1456">
        <v>11050500</v>
      </c>
      <c r="B1456" t="s">
        <v>1455</v>
      </c>
      <c r="C1456">
        <v>400</v>
      </c>
      <c r="D1456">
        <v>400</v>
      </c>
      <c r="E1456">
        <v>10000</v>
      </c>
      <c r="F1456">
        <v>97</v>
      </c>
      <c r="G1456">
        <v>97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15</v>
      </c>
      <c r="Q1456">
        <v>55</v>
      </c>
      <c r="R1456">
        <v>70</v>
      </c>
      <c r="S1456">
        <v>0</v>
      </c>
      <c r="T1456">
        <v>22</v>
      </c>
      <c r="U1456">
        <v>6</v>
      </c>
      <c r="V1456">
        <v>19</v>
      </c>
      <c r="W1456">
        <v>0</v>
      </c>
      <c r="X1456">
        <v>0</v>
      </c>
    </row>
    <row r="1457" spans="1:24" x14ac:dyDescent="0.2">
      <c r="A1457">
        <v>11050600</v>
      </c>
      <c r="B1457" t="s">
        <v>1456</v>
      </c>
      <c r="C1457">
        <v>600</v>
      </c>
      <c r="D1457">
        <v>600</v>
      </c>
      <c r="E1457">
        <v>10000</v>
      </c>
      <c r="F1457">
        <v>96</v>
      </c>
      <c r="G1457">
        <v>0</v>
      </c>
      <c r="H1457">
        <v>96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15</v>
      </c>
      <c r="Q1457">
        <v>55</v>
      </c>
      <c r="R1457">
        <v>0</v>
      </c>
      <c r="S1457">
        <v>0</v>
      </c>
      <c r="T1457">
        <v>22</v>
      </c>
      <c r="U1457">
        <v>6</v>
      </c>
      <c r="V1457">
        <v>19</v>
      </c>
      <c r="W1457">
        <v>0</v>
      </c>
      <c r="X1457">
        <v>0</v>
      </c>
    </row>
    <row r="1458" spans="1:24" x14ac:dyDescent="0.2">
      <c r="A1458">
        <v>11050700</v>
      </c>
      <c r="B1458" t="s">
        <v>1457</v>
      </c>
      <c r="C1458">
        <v>700</v>
      </c>
      <c r="D1458">
        <v>700</v>
      </c>
      <c r="E1458">
        <v>10000</v>
      </c>
      <c r="F1458">
        <v>97</v>
      </c>
      <c r="G1458">
        <v>0</v>
      </c>
      <c r="H1458">
        <v>97</v>
      </c>
      <c r="I1458">
        <v>0</v>
      </c>
      <c r="J1458">
        <v>0</v>
      </c>
      <c r="K1458">
        <v>0</v>
      </c>
      <c r="L1458">
        <v>0</v>
      </c>
      <c r="M1458">
        <v>4</v>
      </c>
      <c r="N1458">
        <v>0</v>
      </c>
      <c r="O1458">
        <v>0</v>
      </c>
      <c r="P1458">
        <v>15</v>
      </c>
      <c r="Q1458">
        <v>55</v>
      </c>
      <c r="R1458">
        <v>70</v>
      </c>
      <c r="S1458">
        <v>70</v>
      </c>
      <c r="T1458">
        <v>22</v>
      </c>
      <c r="U1458">
        <v>6</v>
      </c>
      <c r="V1458">
        <v>19</v>
      </c>
      <c r="W1458">
        <v>0</v>
      </c>
      <c r="X1458">
        <v>0</v>
      </c>
    </row>
    <row r="1459" spans="1:24" x14ac:dyDescent="0.2">
      <c r="A1459">
        <v>11050800</v>
      </c>
      <c r="B1459" t="s">
        <v>1458</v>
      </c>
      <c r="C1459">
        <v>800</v>
      </c>
      <c r="D1459">
        <v>800</v>
      </c>
      <c r="E1459">
        <v>10000</v>
      </c>
      <c r="F1459">
        <v>97</v>
      </c>
      <c r="G1459">
        <v>0</v>
      </c>
      <c r="H1459">
        <v>0</v>
      </c>
      <c r="I1459">
        <v>97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15</v>
      </c>
      <c r="Q1459">
        <v>55</v>
      </c>
      <c r="R1459">
        <v>0</v>
      </c>
      <c r="S1459">
        <v>70</v>
      </c>
      <c r="T1459">
        <v>22</v>
      </c>
      <c r="U1459">
        <v>6</v>
      </c>
      <c r="V1459">
        <v>19</v>
      </c>
      <c r="W1459">
        <v>0</v>
      </c>
      <c r="X1459">
        <v>0</v>
      </c>
    </row>
    <row r="1460" spans="1:24" x14ac:dyDescent="0.2">
      <c r="A1460">
        <v>11050900</v>
      </c>
      <c r="B1460" t="s">
        <v>1459</v>
      </c>
      <c r="C1460">
        <v>900</v>
      </c>
      <c r="D1460">
        <v>900</v>
      </c>
      <c r="E1460">
        <v>10000</v>
      </c>
      <c r="F1460">
        <v>96</v>
      </c>
      <c r="G1460">
        <v>0</v>
      </c>
      <c r="H1460">
        <v>0</v>
      </c>
      <c r="I1460">
        <v>0</v>
      </c>
      <c r="J1460">
        <v>96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15</v>
      </c>
      <c r="Q1460">
        <v>55</v>
      </c>
      <c r="R1460">
        <v>0</v>
      </c>
      <c r="S1460">
        <v>0</v>
      </c>
      <c r="T1460">
        <v>22</v>
      </c>
      <c r="U1460">
        <v>6</v>
      </c>
      <c r="V1460">
        <v>19</v>
      </c>
      <c r="W1460">
        <v>0</v>
      </c>
      <c r="X1460">
        <v>0</v>
      </c>
    </row>
    <row r="1461" spans="1:24" x14ac:dyDescent="0.2">
      <c r="A1461">
        <v>11051000</v>
      </c>
      <c r="B1461" t="s">
        <v>1460</v>
      </c>
      <c r="C1461">
        <v>1000</v>
      </c>
      <c r="D1461">
        <v>1000</v>
      </c>
      <c r="E1461">
        <v>10000</v>
      </c>
      <c r="F1461">
        <v>97</v>
      </c>
      <c r="G1461">
        <v>0</v>
      </c>
      <c r="H1461">
        <v>0</v>
      </c>
      <c r="I1461">
        <v>0</v>
      </c>
      <c r="J1461">
        <v>97</v>
      </c>
      <c r="K1461">
        <v>0</v>
      </c>
      <c r="L1461">
        <v>0</v>
      </c>
      <c r="M1461">
        <v>0</v>
      </c>
      <c r="N1461">
        <v>0</v>
      </c>
      <c r="O1461">
        <v>4</v>
      </c>
      <c r="P1461">
        <v>15</v>
      </c>
      <c r="Q1461">
        <v>55</v>
      </c>
      <c r="R1461">
        <v>70</v>
      </c>
      <c r="S1461">
        <v>70</v>
      </c>
      <c r="T1461">
        <v>22</v>
      </c>
      <c r="U1461">
        <v>6</v>
      </c>
      <c r="V1461">
        <v>19</v>
      </c>
      <c r="W1461">
        <v>0</v>
      </c>
      <c r="X1461">
        <v>0</v>
      </c>
    </row>
    <row r="1462" spans="1:24" x14ac:dyDescent="0.2">
      <c r="A1462">
        <v>11051100</v>
      </c>
      <c r="B1462" t="s">
        <v>1461</v>
      </c>
      <c r="C1462">
        <v>1100</v>
      </c>
      <c r="D1462">
        <v>1100</v>
      </c>
      <c r="E1462">
        <v>10000</v>
      </c>
      <c r="F1462">
        <v>91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15</v>
      </c>
      <c r="Q1462">
        <v>55</v>
      </c>
      <c r="R1462">
        <v>0</v>
      </c>
      <c r="S1462">
        <v>0</v>
      </c>
      <c r="T1462">
        <v>22</v>
      </c>
      <c r="U1462">
        <v>6</v>
      </c>
      <c r="V1462">
        <v>19</v>
      </c>
      <c r="W1462">
        <v>0</v>
      </c>
      <c r="X1462">
        <v>0</v>
      </c>
    </row>
    <row r="1463" spans="1:24" x14ac:dyDescent="0.2">
      <c r="A1463">
        <v>11051200</v>
      </c>
      <c r="B1463" t="s">
        <v>1462</v>
      </c>
      <c r="C1463">
        <v>1200</v>
      </c>
      <c r="D1463">
        <v>1200</v>
      </c>
      <c r="E1463">
        <v>10000</v>
      </c>
      <c r="F1463">
        <v>91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15</v>
      </c>
      <c r="Q1463">
        <v>55</v>
      </c>
      <c r="R1463">
        <v>0</v>
      </c>
      <c r="S1463">
        <v>0</v>
      </c>
      <c r="T1463">
        <v>22</v>
      </c>
      <c r="U1463">
        <v>6</v>
      </c>
      <c r="V1463">
        <v>19</v>
      </c>
      <c r="W1463">
        <v>0</v>
      </c>
      <c r="X1463">
        <v>0</v>
      </c>
    </row>
    <row r="1464" spans="1:24" x14ac:dyDescent="0.2">
      <c r="A1464">
        <v>11051300</v>
      </c>
      <c r="B1464" t="s">
        <v>1463</v>
      </c>
      <c r="C1464">
        <v>1300</v>
      </c>
      <c r="D1464">
        <v>1300</v>
      </c>
      <c r="E1464">
        <v>10000</v>
      </c>
      <c r="F1464">
        <v>101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15</v>
      </c>
      <c r="Q1464">
        <v>55</v>
      </c>
      <c r="R1464">
        <v>0</v>
      </c>
      <c r="S1464">
        <v>0</v>
      </c>
      <c r="T1464">
        <v>22</v>
      </c>
      <c r="U1464">
        <v>6</v>
      </c>
      <c r="V1464">
        <v>19</v>
      </c>
      <c r="W1464">
        <v>0</v>
      </c>
      <c r="X1464">
        <v>0</v>
      </c>
    </row>
    <row r="1465" spans="1:24" x14ac:dyDescent="0.2">
      <c r="A1465">
        <v>11051400</v>
      </c>
      <c r="B1465" t="s">
        <v>1464</v>
      </c>
      <c r="C1465">
        <v>1400</v>
      </c>
      <c r="D1465">
        <v>1400</v>
      </c>
      <c r="E1465">
        <v>10014</v>
      </c>
      <c r="F1465">
        <v>97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15</v>
      </c>
      <c r="Q1465">
        <v>55</v>
      </c>
      <c r="R1465">
        <v>0</v>
      </c>
      <c r="S1465">
        <v>70</v>
      </c>
      <c r="T1465">
        <v>22</v>
      </c>
      <c r="U1465">
        <v>6</v>
      </c>
      <c r="V1465">
        <v>19</v>
      </c>
      <c r="W1465">
        <v>0</v>
      </c>
      <c r="X1465">
        <v>0</v>
      </c>
    </row>
    <row r="1466" spans="1:24" x14ac:dyDescent="0.2">
      <c r="A1466">
        <v>11051500</v>
      </c>
      <c r="B1466" t="s">
        <v>1465</v>
      </c>
      <c r="C1466">
        <v>1500</v>
      </c>
      <c r="D1466">
        <v>1500</v>
      </c>
      <c r="E1466">
        <v>10015</v>
      </c>
      <c r="F1466">
        <v>91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15</v>
      </c>
      <c r="Q1466">
        <v>55</v>
      </c>
      <c r="R1466">
        <v>0</v>
      </c>
      <c r="S1466">
        <v>0</v>
      </c>
      <c r="T1466">
        <v>22</v>
      </c>
      <c r="U1466">
        <v>6</v>
      </c>
      <c r="V1466">
        <v>19</v>
      </c>
      <c r="W1466">
        <v>0</v>
      </c>
      <c r="X1466">
        <v>0</v>
      </c>
    </row>
    <row r="1467" spans="1:24" x14ac:dyDescent="0.2">
      <c r="A1467">
        <v>12000000</v>
      </c>
      <c r="B1467" t="s">
        <v>1466</v>
      </c>
      <c r="C1467">
        <v>0</v>
      </c>
      <c r="D1467">
        <v>0</v>
      </c>
      <c r="E1467">
        <v>10000</v>
      </c>
      <c r="F1467">
        <v>90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60</v>
      </c>
      <c r="R1467">
        <v>0</v>
      </c>
      <c r="S1467">
        <v>0</v>
      </c>
      <c r="T1467">
        <v>21</v>
      </c>
      <c r="U1467">
        <v>6</v>
      </c>
      <c r="V1467">
        <v>14</v>
      </c>
      <c r="W1467">
        <v>0</v>
      </c>
      <c r="X1467">
        <v>0</v>
      </c>
    </row>
    <row r="1468" spans="1:24" x14ac:dyDescent="0.2">
      <c r="A1468">
        <v>12000100</v>
      </c>
      <c r="B1468" t="s">
        <v>1467</v>
      </c>
      <c r="C1468">
        <v>200</v>
      </c>
      <c r="D1468">
        <v>100</v>
      </c>
      <c r="E1468">
        <v>10000</v>
      </c>
      <c r="F1468">
        <v>90</v>
      </c>
      <c r="G1468">
        <v>0</v>
      </c>
      <c r="H1468">
        <v>0</v>
      </c>
      <c r="I1468">
        <v>0</v>
      </c>
      <c r="J1468">
        <v>0</v>
      </c>
      <c r="K1468">
        <v>1</v>
      </c>
      <c r="L1468">
        <v>0</v>
      </c>
      <c r="M1468">
        <v>0</v>
      </c>
      <c r="N1468">
        <v>0</v>
      </c>
      <c r="O1468">
        <v>0</v>
      </c>
      <c r="P1468">
        <v>39</v>
      </c>
      <c r="Q1468">
        <v>0</v>
      </c>
      <c r="R1468">
        <v>0</v>
      </c>
      <c r="S1468">
        <v>0</v>
      </c>
      <c r="T1468">
        <v>21</v>
      </c>
      <c r="U1468">
        <v>6</v>
      </c>
      <c r="V1468">
        <v>14</v>
      </c>
      <c r="W1468">
        <v>0</v>
      </c>
      <c r="X1468">
        <v>0</v>
      </c>
    </row>
    <row r="1469" spans="1:24" x14ac:dyDescent="0.2">
      <c r="A1469">
        <v>12000200</v>
      </c>
      <c r="B1469" t="s">
        <v>1468</v>
      </c>
      <c r="C1469">
        <v>100</v>
      </c>
      <c r="D1469">
        <v>5000</v>
      </c>
      <c r="E1469">
        <v>10000</v>
      </c>
      <c r="F1469">
        <v>90</v>
      </c>
      <c r="G1469">
        <v>0</v>
      </c>
      <c r="H1469">
        <v>0</v>
      </c>
      <c r="I1469">
        <v>0</v>
      </c>
      <c r="J1469">
        <v>0</v>
      </c>
      <c r="K1469">
        <v>2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57</v>
      </c>
      <c r="R1469">
        <v>0</v>
      </c>
      <c r="S1469">
        <v>0</v>
      </c>
      <c r="T1469">
        <v>21</v>
      </c>
      <c r="U1469">
        <v>6</v>
      </c>
      <c r="V1469">
        <v>14</v>
      </c>
      <c r="W1469">
        <v>0</v>
      </c>
      <c r="X1469">
        <v>0</v>
      </c>
    </row>
    <row r="1470" spans="1:24" x14ac:dyDescent="0.2">
      <c r="A1470">
        <v>12000300</v>
      </c>
      <c r="B1470" t="s">
        <v>1469</v>
      </c>
      <c r="C1470">
        <v>300</v>
      </c>
      <c r="D1470">
        <v>300</v>
      </c>
      <c r="E1470">
        <v>10000</v>
      </c>
      <c r="F1470">
        <v>90</v>
      </c>
      <c r="G1470">
        <v>0</v>
      </c>
      <c r="H1470">
        <v>0</v>
      </c>
      <c r="I1470">
        <v>0</v>
      </c>
      <c r="J1470">
        <v>0</v>
      </c>
      <c r="K1470">
        <v>8</v>
      </c>
      <c r="L1470">
        <v>0</v>
      </c>
      <c r="M1470">
        <v>0</v>
      </c>
      <c r="N1470">
        <v>0</v>
      </c>
      <c r="O1470">
        <v>0</v>
      </c>
      <c r="P1470">
        <v>40</v>
      </c>
      <c r="Q1470">
        <v>40</v>
      </c>
      <c r="R1470">
        <v>0</v>
      </c>
      <c r="S1470">
        <v>0</v>
      </c>
      <c r="T1470">
        <v>21</v>
      </c>
      <c r="U1470">
        <v>6</v>
      </c>
      <c r="V1470">
        <v>14</v>
      </c>
      <c r="W1470">
        <v>0</v>
      </c>
      <c r="X1470">
        <v>0</v>
      </c>
    </row>
    <row r="1471" spans="1:24" x14ac:dyDescent="0.2">
      <c r="A1471">
        <v>12000400</v>
      </c>
      <c r="B1471" t="s">
        <v>1470</v>
      </c>
      <c r="C1471">
        <v>500</v>
      </c>
      <c r="D1471">
        <v>500</v>
      </c>
      <c r="E1471">
        <v>10000</v>
      </c>
      <c r="F1471">
        <v>96</v>
      </c>
      <c r="G1471">
        <v>96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60</v>
      </c>
      <c r="R1471">
        <v>60</v>
      </c>
      <c r="S1471">
        <v>0</v>
      </c>
      <c r="T1471">
        <v>21</v>
      </c>
      <c r="U1471">
        <v>6</v>
      </c>
      <c r="V1471">
        <v>14</v>
      </c>
      <c r="W1471">
        <v>0</v>
      </c>
      <c r="X1471">
        <v>0</v>
      </c>
    </row>
    <row r="1472" spans="1:24" x14ac:dyDescent="0.2">
      <c r="A1472">
        <v>12000500</v>
      </c>
      <c r="B1472" t="s">
        <v>1471</v>
      </c>
      <c r="C1472">
        <v>400</v>
      </c>
      <c r="D1472">
        <v>400</v>
      </c>
      <c r="E1472">
        <v>10000</v>
      </c>
      <c r="F1472">
        <v>96</v>
      </c>
      <c r="G1472">
        <v>96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60</v>
      </c>
      <c r="R1472">
        <v>60</v>
      </c>
      <c r="S1472">
        <v>0</v>
      </c>
      <c r="T1472">
        <v>21</v>
      </c>
      <c r="U1472">
        <v>6</v>
      </c>
      <c r="V1472">
        <v>14</v>
      </c>
      <c r="W1472">
        <v>0</v>
      </c>
      <c r="X1472">
        <v>0</v>
      </c>
    </row>
    <row r="1473" spans="1:24" x14ac:dyDescent="0.2">
      <c r="A1473">
        <v>12000600</v>
      </c>
      <c r="B1473" t="s">
        <v>1472</v>
      </c>
      <c r="C1473">
        <v>600</v>
      </c>
      <c r="D1473">
        <v>600</v>
      </c>
      <c r="E1473">
        <v>10000</v>
      </c>
      <c r="F1473">
        <v>94</v>
      </c>
      <c r="G1473">
        <v>0</v>
      </c>
      <c r="H1473">
        <v>94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21</v>
      </c>
      <c r="U1473">
        <v>6</v>
      </c>
      <c r="V1473">
        <v>14</v>
      </c>
      <c r="W1473">
        <v>0</v>
      </c>
      <c r="X1473">
        <v>0</v>
      </c>
    </row>
    <row r="1474" spans="1:24" x14ac:dyDescent="0.2">
      <c r="A1474">
        <v>12000700</v>
      </c>
      <c r="B1474" t="s">
        <v>1473</v>
      </c>
      <c r="C1474">
        <v>700</v>
      </c>
      <c r="D1474">
        <v>700</v>
      </c>
      <c r="E1474">
        <v>10000</v>
      </c>
      <c r="F1474">
        <v>96</v>
      </c>
      <c r="G1474">
        <v>0</v>
      </c>
      <c r="H1474">
        <v>96</v>
      </c>
      <c r="I1474">
        <v>0</v>
      </c>
      <c r="J1474">
        <v>0</v>
      </c>
      <c r="K1474">
        <v>0</v>
      </c>
      <c r="L1474">
        <v>0</v>
      </c>
      <c r="M1474">
        <v>4</v>
      </c>
      <c r="N1474">
        <v>0</v>
      </c>
      <c r="O1474">
        <v>0</v>
      </c>
      <c r="P1474">
        <v>0</v>
      </c>
      <c r="Q1474">
        <v>60</v>
      </c>
      <c r="R1474">
        <v>60</v>
      </c>
      <c r="S1474">
        <v>60</v>
      </c>
      <c r="T1474">
        <v>21</v>
      </c>
      <c r="U1474">
        <v>6</v>
      </c>
      <c r="V1474">
        <v>14</v>
      </c>
      <c r="W1474">
        <v>0</v>
      </c>
      <c r="X1474">
        <v>0</v>
      </c>
    </row>
    <row r="1475" spans="1:24" x14ac:dyDescent="0.2">
      <c r="A1475">
        <v>12000800</v>
      </c>
      <c r="B1475" t="s">
        <v>1474</v>
      </c>
      <c r="C1475">
        <v>800</v>
      </c>
      <c r="D1475">
        <v>800</v>
      </c>
      <c r="E1475">
        <v>10000</v>
      </c>
      <c r="F1475">
        <v>96</v>
      </c>
      <c r="G1475">
        <v>0</v>
      </c>
      <c r="H1475">
        <v>0</v>
      </c>
      <c r="I1475">
        <v>96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60</v>
      </c>
      <c r="R1475">
        <v>0</v>
      </c>
      <c r="S1475">
        <v>60</v>
      </c>
      <c r="T1475">
        <v>21</v>
      </c>
      <c r="U1475">
        <v>6</v>
      </c>
      <c r="V1475">
        <v>14</v>
      </c>
      <c r="W1475">
        <v>0</v>
      </c>
      <c r="X1475">
        <v>0</v>
      </c>
    </row>
    <row r="1476" spans="1:24" x14ac:dyDescent="0.2">
      <c r="A1476">
        <v>12000900</v>
      </c>
      <c r="B1476" t="s">
        <v>1475</v>
      </c>
      <c r="C1476">
        <v>900</v>
      </c>
      <c r="D1476">
        <v>900</v>
      </c>
      <c r="E1476">
        <v>10000</v>
      </c>
      <c r="F1476">
        <v>94</v>
      </c>
      <c r="G1476">
        <v>0</v>
      </c>
      <c r="H1476">
        <v>0</v>
      </c>
      <c r="I1476">
        <v>0</v>
      </c>
      <c r="J1476">
        <v>94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60</v>
      </c>
      <c r="R1476">
        <v>0</v>
      </c>
      <c r="S1476">
        <v>0</v>
      </c>
      <c r="T1476">
        <v>21</v>
      </c>
      <c r="U1476">
        <v>6</v>
      </c>
      <c r="V1476">
        <v>14</v>
      </c>
      <c r="W1476">
        <v>0</v>
      </c>
      <c r="X1476">
        <v>0</v>
      </c>
    </row>
    <row r="1477" spans="1:24" x14ac:dyDescent="0.2">
      <c r="A1477">
        <v>12001000</v>
      </c>
      <c r="B1477" t="s">
        <v>1476</v>
      </c>
      <c r="C1477">
        <v>1000</v>
      </c>
      <c r="D1477">
        <v>1000</v>
      </c>
      <c r="E1477">
        <v>10000</v>
      </c>
      <c r="F1477">
        <v>96</v>
      </c>
      <c r="G1477">
        <v>0</v>
      </c>
      <c r="H1477">
        <v>0</v>
      </c>
      <c r="I1477">
        <v>0</v>
      </c>
      <c r="J1477">
        <v>96</v>
      </c>
      <c r="K1477">
        <v>0</v>
      </c>
      <c r="L1477">
        <v>0</v>
      </c>
      <c r="M1477">
        <v>0</v>
      </c>
      <c r="N1477">
        <v>0</v>
      </c>
      <c r="O1477">
        <v>4</v>
      </c>
      <c r="P1477">
        <v>0</v>
      </c>
      <c r="Q1477">
        <v>60</v>
      </c>
      <c r="R1477">
        <v>60</v>
      </c>
      <c r="S1477">
        <v>60</v>
      </c>
      <c r="T1477">
        <v>21</v>
      </c>
      <c r="U1477">
        <v>6</v>
      </c>
      <c r="V1477">
        <v>14</v>
      </c>
      <c r="W1477">
        <v>0</v>
      </c>
      <c r="X1477">
        <v>0</v>
      </c>
    </row>
    <row r="1478" spans="1:24" x14ac:dyDescent="0.2">
      <c r="A1478">
        <v>12001100</v>
      </c>
      <c r="B1478" t="s">
        <v>1477</v>
      </c>
      <c r="C1478">
        <v>1100</v>
      </c>
      <c r="D1478">
        <v>1100</v>
      </c>
      <c r="E1478">
        <v>10000</v>
      </c>
      <c r="F1478">
        <v>90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60</v>
      </c>
      <c r="R1478">
        <v>0</v>
      </c>
      <c r="S1478">
        <v>0</v>
      </c>
      <c r="T1478">
        <v>21</v>
      </c>
      <c r="U1478">
        <v>6</v>
      </c>
      <c r="V1478">
        <v>14</v>
      </c>
      <c r="W1478">
        <v>0</v>
      </c>
      <c r="X1478">
        <v>0</v>
      </c>
    </row>
    <row r="1479" spans="1:24" x14ac:dyDescent="0.2">
      <c r="A1479">
        <v>12001200</v>
      </c>
      <c r="B1479" t="s">
        <v>1478</v>
      </c>
      <c r="C1479">
        <v>1200</v>
      </c>
      <c r="D1479">
        <v>1200</v>
      </c>
      <c r="E1479">
        <v>10000</v>
      </c>
      <c r="F1479">
        <v>90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60</v>
      </c>
      <c r="R1479">
        <v>0</v>
      </c>
      <c r="S1479">
        <v>0</v>
      </c>
      <c r="T1479">
        <v>21</v>
      </c>
      <c r="U1479">
        <v>6</v>
      </c>
      <c r="V1479">
        <v>14</v>
      </c>
      <c r="W1479">
        <v>0</v>
      </c>
      <c r="X1479">
        <v>0</v>
      </c>
    </row>
    <row r="1480" spans="1:24" x14ac:dyDescent="0.2">
      <c r="A1480">
        <v>12001300</v>
      </c>
      <c r="B1480" t="s">
        <v>1479</v>
      </c>
      <c r="C1480">
        <v>1300</v>
      </c>
      <c r="D1480">
        <v>1300</v>
      </c>
      <c r="E1480">
        <v>10000</v>
      </c>
      <c r="F1480">
        <v>99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60</v>
      </c>
      <c r="R1480">
        <v>0</v>
      </c>
      <c r="S1480">
        <v>0</v>
      </c>
      <c r="T1480">
        <v>21</v>
      </c>
      <c r="U1480">
        <v>6</v>
      </c>
      <c r="V1480">
        <v>14</v>
      </c>
      <c r="W1480">
        <v>0</v>
      </c>
      <c r="X1480">
        <v>0</v>
      </c>
    </row>
    <row r="1481" spans="1:24" x14ac:dyDescent="0.2">
      <c r="A1481">
        <v>12001400</v>
      </c>
      <c r="B1481" t="s">
        <v>1480</v>
      </c>
      <c r="C1481">
        <v>1400</v>
      </c>
      <c r="D1481">
        <v>1400</v>
      </c>
      <c r="E1481">
        <v>10014</v>
      </c>
      <c r="F1481">
        <v>96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60</v>
      </c>
      <c r="R1481">
        <v>0</v>
      </c>
      <c r="S1481">
        <v>60</v>
      </c>
      <c r="T1481">
        <v>21</v>
      </c>
      <c r="U1481">
        <v>6</v>
      </c>
      <c r="V1481">
        <v>14</v>
      </c>
      <c r="W1481">
        <v>0</v>
      </c>
      <c r="X1481">
        <v>0</v>
      </c>
    </row>
    <row r="1482" spans="1:24" x14ac:dyDescent="0.2">
      <c r="A1482">
        <v>12001500</v>
      </c>
      <c r="B1482" t="s">
        <v>1481</v>
      </c>
      <c r="C1482">
        <v>1500</v>
      </c>
      <c r="D1482">
        <v>1500</v>
      </c>
      <c r="E1482">
        <v>10015</v>
      </c>
      <c r="F1482">
        <v>90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60</v>
      </c>
      <c r="R1482">
        <v>0</v>
      </c>
      <c r="S1482">
        <v>0</v>
      </c>
      <c r="T1482">
        <v>21</v>
      </c>
      <c r="U1482">
        <v>6</v>
      </c>
      <c r="V1482">
        <v>14</v>
      </c>
      <c r="W1482">
        <v>0</v>
      </c>
      <c r="X1482">
        <v>0</v>
      </c>
    </row>
    <row r="1483" spans="1:24" x14ac:dyDescent="0.2">
      <c r="A1483">
        <v>12040000</v>
      </c>
      <c r="B1483" t="s">
        <v>1482</v>
      </c>
      <c r="C1483">
        <v>2200</v>
      </c>
      <c r="D1483">
        <v>2200</v>
      </c>
      <c r="E1483">
        <v>10000</v>
      </c>
      <c r="F1483">
        <v>67</v>
      </c>
      <c r="G1483">
        <v>0</v>
      </c>
      <c r="H1483">
        <v>70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35</v>
      </c>
      <c r="R1483">
        <v>60</v>
      </c>
      <c r="S1483">
        <v>60</v>
      </c>
      <c r="T1483">
        <v>12</v>
      </c>
      <c r="U1483">
        <v>9</v>
      </c>
      <c r="V1483">
        <v>17</v>
      </c>
      <c r="W1483">
        <v>12</v>
      </c>
      <c r="X1483">
        <v>12</v>
      </c>
    </row>
    <row r="1484" spans="1:24" x14ac:dyDescent="0.2">
      <c r="A1484">
        <v>12050000</v>
      </c>
      <c r="B1484" t="s">
        <v>1483</v>
      </c>
      <c r="C1484">
        <v>0</v>
      </c>
      <c r="D1484">
        <v>0</v>
      </c>
      <c r="E1484">
        <v>10000</v>
      </c>
      <c r="F1484">
        <v>95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45</v>
      </c>
      <c r="R1484">
        <v>0</v>
      </c>
      <c r="S1484">
        <v>0</v>
      </c>
      <c r="T1484">
        <v>15</v>
      </c>
      <c r="U1484">
        <v>6</v>
      </c>
      <c r="V1484">
        <v>19</v>
      </c>
      <c r="W1484">
        <v>0</v>
      </c>
      <c r="X1484">
        <v>0</v>
      </c>
    </row>
    <row r="1485" spans="1:24" x14ac:dyDescent="0.2">
      <c r="A1485">
        <v>12050100</v>
      </c>
      <c r="B1485" t="s">
        <v>1484</v>
      </c>
      <c r="C1485">
        <v>200</v>
      </c>
      <c r="D1485">
        <v>100</v>
      </c>
      <c r="E1485">
        <v>10000</v>
      </c>
      <c r="F1485">
        <v>95</v>
      </c>
      <c r="G1485">
        <v>0</v>
      </c>
      <c r="H1485">
        <v>0</v>
      </c>
      <c r="I1485">
        <v>0</v>
      </c>
      <c r="J1485">
        <v>0</v>
      </c>
      <c r="K1485">
        <v>1</v>
      </c>
      <c r="L1485">
        <v>0</v>
      </c>
      <c r="M1485">
        <v>0</v>
      </c>
      <c r="N1485">
        <v>0</v>
      </c>
      <c r="O1485">
        <v>0</v>
      </c>
      <c r="P1485">
        <v>29</v>
      </c>
      <c r="Q1485">
        <v>0</v>
      </c>
      <c r="R1485">
        <v>0</v>
      </c>
      <c r="S1485">
        <v>0</v>
      </c>
      <c r="T1485">
        <v>15</v>
      </c>
      <c r="U1485">
        <v>6</v>
      </c>
      <c r="V1485">
        <v>19</v>
      </c>
      <c r="W1485">
        <v>0</v>
      </c>
      <c r="X1485">
        <v>0</v>
      </c>
    </row>
    <row r="1486" spans="1:24" x14ac:dyDescent="0.2">
      <c r="A1486">
        <v>12050200</v>
      </c>
      <c r="B1486" t="s">
        <v>1485</v>
      </c>
      <c r="C1486">
        <v>100</v>
      </c>
      <c r="D1486">
        <v>5000</v>
      </c>
      <c r="E1486">
        <v>10000</v>
      </c>
      <c r="F1486">
        <v>95</v>
      </c>
      <c r="G1486">
        <v>0</v>
      </c>
      <c r="H1486">
        <v>0</v>
      </c>
      <c r="I1486">
        <v>0</v>
      </c>
      <c r="J1486">
        <v>0</v>
      </c>
      <c r="K1486">
        <v>2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42</v>
      </c>
      <c r="R1486">
        <v>0</v>
      </c>
      <c r="S1486">
        <v>0</v>
      </c>
      <c r="T1486">
        <v>15</v>
      </c>
      <c r="U1486">
        <v>6</v>
      </c>
      <c r="V1486">
        <v>19</v>
      </c>
      <c r="W1486">
        <v>0</v>
      </c>
      <c r="X1486">
        <v>0</v>
      </c>
    </row>
    <row r="1487" spans="1:24" x14ac:dyDescent="0.2">
      <c r="A1487">
        <v>12050300</v>
      </c>
      <c r="B1487" t="s">
        <v>1486</v>
      </c>
      <c r="C1487">
        <v>300</v>
      </c>
      <c r="D1487">
        <v>300</v>
      </c>
      <c r="E1487">
        <v>10000</v>
      </c>
      <c r="F1487">
        <v>95</v>
      </c>
      <c r="G1487">
        <v>0</v>
      </c>
      <c r="H1487">
        <v>0</v>
      </c>
      <c r="I1487">
        <v>0</v>
      </c>
      <c r="J1487">
        <v>0</v>
      </c>
      <c r="K1487">
        <v>8</v>
      </c>
      <c r="L1487">
        <v>0</v>
      </c>
      <c r="M1487">
        <v>0</v>
      </c>
      <c r="N1487">
        <v>0</v>
      </c>
      <c r="O1487">
        <v>0</v>
      </c>
      <c r="P1487">
        <v>30</v>
      </c>
      <c r="Q1487">
        <v>30</v>
      </c>
      <c r="R1487">
        <v>0</v>
      </c>
      <c r="S1487">
        <v>0</v>
      </c>
      <c r="T1487">
        <v>15</v>
      </c>
      <c r="U1487">
        <v>6</v>
      </c>
      <c r="V1487">
        <v>19</v>
      </c>
      <c r="W1487">
        <v>0</v>
      </c>
      <c r="X1487">
        <v>0</v>
      </c>
    </row>
    <row r="1488" spans="1:24" x14ac:dyDescent="0.2">
      <c r="A1488">
        <v>12050400</v>
      </c>
      <c r="B1488" t="s">
        <v>1487</v>
      </c>
      <c r="C1488">
        <v>500</v>
      </c>
      <c r="D1488">
        <v>500</v>
      </c>
      <c r="E1488">
        <v>10000</v>
      </c>
      <c r="F1488">
        <v>101</v>
      </c>
      <c r="G1488">
        <v>101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45</v>
      </c>
      <c r="R1488">
        <v>45</v>
      </c>
      <c r="S1488">
        <v>0</v>
      </c>
      <c r="T1488">
        <v>15</v>
      </c>
      <c r="U1488">
        <v>6</v>
      </c>
      <c r="V1488">
        <v>19</v>
      </c>
      <c r="W1488">
        <v>0</v>
      </c>
      <c r="X1488">
        <v>0</v>
      </c>
    </row>
    <row r="1489" spans="1:24" x14ac:dyDescent="0.2">
      <c r="A1489">
        <v>12050500</v>
      </c>
      <c r="B1489" t="s">
        <v>1488</v>
      </c>
      <c r="C1489">
        <v>400</v>
      </c>
      <c r="D1489">
        <v>400</v>
      </c>
      <c r="E1489">
        <v>10000</v>
      </c>
      <c r="F1489">
        <v>101</v>
      </c>
      <c r="G1489">
        <v>101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45</v>
      </c>
      <c r="R1489">
        <v>45</v>
      </c>
      <c r="S1489">
        <v>0</v>
      </c>
      <c r="T1489">
        <v>15</v>
      </c>
      <c r="U1489">
        <v>6</v>
      </c>
      <c r="V1489">
        <v>19</v>
      </c>
      <c r="W1489">
        <v>0</v>
      </c>
      <c r="X1489">
        <v>0</v>
      </c>
    </row>
    <row r="1490" spans="1:24" x14ac:dyDescent="0.2">
      <c r="A1490">
        <v>12050600</v>
      </c>
      <c r="B1490" t="s">
        <v>1489</v>
      </c>
      <c r="C1490">
        <v>600</v>
      </c>
      <c r="D1490">
        <v>600</v>
      </c>
      <c r="E1490">
        <v>10000</v>
      </c>
      <c r="F1490">
        <v>90</v>
      </c>
      <c r="G1490">
        <v>0</v>
      </c>
      <c r="H1490">
        <v>90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45</v>
      </c>
      <c r="R1490">
        <v>0</v>
      </c>
      <c r="S1490">
        <v>0</v>
      </c>
      <c r="T1490">
        <v>15</v>
      </c>
      <c r="U1490">
        <v>6</v>
      </c>
      <c r="V1490">
        <v>19</v>
      </c>
      <c r="W1490">
        <v>0</v>
      </c>
      <c r="X1490">
        <v>0</v>
      </c>
    </row>
    <row r="1491" spans="1:24" x14ac:dyDescent="0.2">
      <c r="A1491">
        <v>12050700</v>
      </c>
      <c r="B1491" t="s">
        <v>1490</v>
      </c>
      <c r="C1491">
        <v>700</v>
      </c>
      <c r="D1491">
        <v>700</v>
      </c>
      <c r="E1491">
        <v>10000</v>
      </c>
      <c r="F1491">
        <v>101</v>
      </c>
      <c r="G1491">
        <v>0</v>
      </c>
      <c r="H1491">
        <v>101</v>
      </c>
      <c r="I1491">
        <v>0</v>
      </c>
      <c r="J1491">
        <v>0</v>
      </c>
      <c r="K1491">
        <v>0</v>
      </c>
      <c r="L1491">
        <v>0</v>
      </c>
      <c r="M1491">
        <v>4</v>
      </c>
      <c r="N1491">
        <v>0</v>
      </c>
      <c r="O1491">
        <v>0</v>
      </c>
      <c r="P1491">
        <v>0</v>
      </c>
      <c r="Q1491">
        <v>45</v>
      </c>
      <c r="R1491">
        <v>45</v>
      </c>
      <c r="S1491">
        <v>45</v>
      </c>
      <c r="T1491">
        <v>15</v>
      </c>
      <c r="U1491">
        <v>6</v>
      </c>
      <c r="V1491">
        <v>19</v>
      </c>
      <c r="W1491">
        <v>0</v>
      </c>
      <c r="X1491">
        <v>0</v>
      </c>
    </row>
    <row r="1492" spans="1:24" x14ac:dyDescent="0.2">
      <c r="A1492">
        <v>12050800</v>
      </c>
      <c r="B1492" t="s">
        <v>1491</v>
      </c>
      <c r="C1492">
        <v>800</v>
      </c>
      <c r="D1492">
        <v>800</v>
      </c>
      <c r="E1492">
        <v>10000</v>
      </c>
      <c r="F1492">
        <v>101</v>
      </c>
      <c r="G1492">
        <v>0</v>
      </c>
      <c r="H1492">
        <v>0</v>
      </c>
      <c r="I1492">
        <v>101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45</v>
      </c>
      <c r="R1492">
        <v>0</v>
      </c>
      <c r="S1492">
        <v>45</v>
      </c>
      <c r="T1492">
        <v>15</v>
      </c>
      <c r="U1492">
        <v>6</v>
      </c>
      <c r="V1492">
        <v>19</v>
      </c>
      <c r="W1492">
        <v>0</v>
      </c>
      <c r="X1492">
        <v>0</v>
      </c>
    </row>
    <row r="1493" spans="1:24" x14ac:dyDescent="0.2">
      <c r="A1493">
        <v>12050900</v>
      </c>
      <c r="B1493" t="s">
        <v>1492</v>
      </c>
      <c r="C1493">
        <v>900</v>
      </c>
      <c r="D1493">
        <v>900</v>
      </c>
      <c r="E1493">
        <v>10000</v>
      </c>
      <c r="F1493">
        <v>90</v>
      </c>
      <c r="G1493">
        <v>0</v>
      </c>
      <c r="H1493">
        <v>0</v>
      </c>
      <c r="I1493">
        <v>0</v>
      </c>
      <c r="J1493">
        <v>90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45</v>
      </c>
      <c r="R1493">
        <v>0</v>
      </c>
      <c r="S1493">
        <v>0</v>
      </c>
      <c r="T1493">
        <v>15</v>
      </c>
      <c r="U1493">
        <v>6</v>
      </c>
      <c r="V1493">
        <v>19</v>
      </c>
      <c r="W1493">
        <v>0</v>
      </c>
      <c r="X1493">
        <v>0</v>
      </c>
    </row>
    <row r="1494" spans="1:24" x14ac:dyDescent="0.2">
      <c r="A1494">
        <v>12051000</v>
      </c>
      <c r="B1494" t="s">
        <v>1493</v>
      </c>
      <c r="C1494">
        <v>1000</v>
      </c>
      <c r="D1494">
        <v>1000</v>
      </c>
      <c r="E1494">
        <v>10000</v>
      </c>
      <c r="F1494">
        <v>101</v>
      </c>
      <c r="G1494">
        <v>0</v>
      </c>
      <c r="H1494">
        <v>0</v>
      </c>
      <c r="I1494">
        <v>0</v>
      </c>
      <c r="J1494">
        <v>101</v>
      </c>
      <c r="K1494">
        <v>0</v>
      </c>
      <c r="L1494">
        <v>0</v>
      </c>
      <c r="M1494">
        <v>0</v>
      </c>
      <c r="N1494">
        <v>0</v>
      </c>
      <c r="O1494">
        <v>4</v>
      </c>
      <c r="P1494">
        <v>0</v>
      </c>
      <c r="Q1494">
        <v>45</v>
      </c>
      <c r="R1494">
        <v>45</v>
      </c>
      <c r="S1494">
        <v>45</v>
      </c>
      <c r="T1494">
        <v>15</v>
      </c>
      <c r="U1494">
        <v>6</v>
      </c>
      <c r="V1494">
        <v>19</v>
      </c>
      <c r="W1494">
        <v>0</v>
      </c>
      <c r="X1494">
        <v>0</v>
      </c>
    </row>
    <row r="1495" spans="1:24" x14ac:dyDescent="0.2">
      <c r="A1495">
        <v>12051100</v>
      </c>
      <c r="B1495" t="s">
        <v>1494</v>
      </c>
      <c r="C1495">
        <v>1100</v>
      </c>
      <c r="D1495">
        <v>1100</v>
      </c>
      <c r="E1495">
        <v>10000</v>
      </c>
      <c r="F1495">
        <v>95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45</v>
      </c>
      <c r="R1495">
        <v>0</v>
      </c>
      <c r="S1495">
        <v>0</v>
      </c>
      <c r="T1495">
        <v>15</v>
      </c>
      <c r="U1495">
        <v>6</v>
      </c>
      <c r="V1495">
        <v>19</v>
      </c>
      <c r="W1495">
        <v>0</v>
      </c>
      <c r="X1495">
        <v>0</v>
      </c>
    </row>
    <row r="1496" spans="1:24" x14ac:dyDescent="0.2">
      <c r="A1496">
        <v>12051200</v>
      </c>
      <c r="B1496" t="s">
        <v>1495</v>
      </c>
      <c r="C1496">
        <v>1200</v>
      </c>
      <c r="D1496">
        <v>1200</v>
      </c>
      <c r="E1496">
        <v>10000</v>
      </c>
      <c r="F1496">
        <v>95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45</v>
      </c>
      <c r="R1496">
        <v>0</v>
      </c>
      <c r="S1496">
        <v>0</v>
      </c>
      <c r="T1496">
        <v>15</v>
      </c>
      <c r="U1496">
        <v>6</v>
      </c>
      <c r="V1496">
        <v>19</v>
      </c>
      <c r="W1496">
        <v>0</v>
      </c>
      <c r="X1496">
        <v>0</v>
      </c>
    </row>
    <row r="1497" spans="1:24" x14ac:dyDescent="0.2">
      <c r="A1497">
        <v>12051300</v>
      </c>
      <c r="B1497" t="s">
        <v>1496</v>
      </c>
      <c r="C1497">
        <v>1300</v>
      </c>
      <c r="D1497">
        <v>1300</v>
      </c>
      <c r="E1497">
        <v>10000</v>
      </c>
      <c r="F1497">
        <v>95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45</v>
      </c>
      <c r="R1497">
        <v>0</v>
      </c>
      <c r="S1497">
        <v>0</v>
      </c>
      <c r="T1497">
        <v>15</v>
      </c>
      <c r="U1497">
        <v>6</v>
      </c>
      <c r="V1497">
        <v>19</v>
      </c>
      <c r="W1497">
        <v>0</v>
      </c>
      <c r="X1497">
        <v>0</v>
      </c>
    </row>
    <row r="1498" spans="1:24" x14ac:dyDescent="0.2">
      <c r="A1498">
        <v>12051400</v>
      </c>
      <c r="B1498" t="s">
        <v>1497</v>
      </c>
      <c r="C1498">
        <v>1400</v>
      </c>
      <c r="D1498">
        <v>1400</v>
      </c>
      <c r="E1498">
        <v>10014</v>
      </c>
      <c r="F1498">
        <v>101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45</v>
      </c>
      <c r="R1498">
        <v>0</v>
      </c>
      <c r="S1498">
        <v>45</v>
      </c>
      <c r="T1498">
        <v>15</v>
      </c>
      <c r="U1498">
        <v>6</v>
      </c>
      <c r="V1498">
        <v>19</v>
      </c>
      <c r="W1498">
        <v>0</v>
      </c>
      <c r="X1498">
        <v>0</v>
      </c>
    </row>
    <row r="1499" spans="1:24" x14ac:dyDescent="0.2">
      <c r="A1499">
        <v>12051500</v>
      </c>
      <c r="B1499" t="s">
        <v>1498</v>
      </c>
      <c r="C1499">
        <v>1500</v>
      </c>
      <c r="D1499">
        <v>1500</v>
      </c>
      <c r="E1499">
        <v>10015</v>
      </c>
      <c r="F1499">
        <v>95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45</v>
      </c>
      <c r="R1499">
        <v>0</v>
      </c>
      <c r="S1499">
        <v>0</v>
      </c>
      <c r="T1499">
        <v>15</v>
      </c>
      <c r="U1499">
        <v>6</v>
      </c>
      <c r="V1499">
        <v>19</v>
      </c>
      <c r="W1499">
        <v>0</v>
      </c>
      <c r="X1499">
        <v>0</v>
      </c>
    </row>
    <row r="1500" spans="1:24" x14ac:dyDescent="0.2">
      <c r="A1500">
        <v>12060000</v>
      </c>
      <c r="B1500" t="s">
        <v>1499</v>
      </c>
      <c r="C1500">
        <v>0</v>
      </c>
      <c r="D1500">
        <v>0</v>
      </c>
      <c r="E1500">
        <v>10000</v>
      </c>
      <c r="F1500">
        <v>102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45</v>
      </c>
      <c r="R1500">
        <v>0</v>
      </c>
      <c r="S1500">
        <v>0</v>
      </c>
      <c r="T1500">
        <v>15</v>
      </c>
      <c r="U1500">
        <v>9</v>
      </c>
      <c r="V1500">
        <v>20</v>
      </c>
      <c r="W1500">
        <v>0</v>
      </c>
      <c r="X1500">
        <v>0</v>
      </c>
    </row>
    <row r="1501" spans="1:24" x14ac:dyDescent="0.2">
      <c r="A1501">
        <v>12070000</v>
      </c>
      <c r="B1501" t="s">
        <v>1500</v>
      </c>
      <c r="C1501">
        <v>2000</v>
      </c>
      <c r="D1501">
        <v>2500</v>
      </c>
      <c r="E1501">
        <v>12000</v>
      </c>
      <c r="F1501">
        <v>72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55</v>
      </c>
      <c r="Q1501">
        <v>10</v>
      </c>
      <c r="R1501">
        <v>0</v>
      </c>
      <c r="S1501">
        <v>85</v>
      </c>
      <c r="T1501">
        <v>14</v>
      </c>
      <c r="U1501">
        <v>10</v>
      </c>
      <c r="V1501">
        <v>12</v>
      </c>
      <c r="W1501">
        <v>0</v>
      </c>
      <c r="X1501">
        <v>17</v>
      </c>
    </row>
    <row r="1502" spans="1:24" x14ac:dyDescent="0.2">
      <c r="A1502">
        <v>13050000</v>
      </c>
      <c r="B1502" t="s">
        <v>1501</v>
      </c>
      <c r="C1502">
        <v>0</v>
      </c>
      <c r="D1502">
        <v>2000</v>
      </c>
      <c r="E1502">
        <v>10000</v>
      </c>
      <c r="F1502">
        <v>65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16</v>
      </c>
      <c r="M1502">
        <v>16</v>
      </c>
      <c r="N1502">
        <v>16</v>
      </c>
      <c r="O1502">
        <v>16</v>
      </c>
      <c r="P1502">
        <v>20</v>
      </c>
      <c r="Q1502">
        <v>0</v>
      </c>
      <c r="R1502">
        <v>0</v>
      </c>
      <c r="S1502">
        <v>100</v>
      </c>
      <c r="T1502">
        <v>0</v>
      </c>
      <c r="U1502">
        <v>4</v>
      </c>
      <c r="V1502">
        <v>0</v>
      </c>
      <c r="W1502">
        <v>0</v>
      </c>
      <c r="X1502">
        <v>10</v>
      </c>
    </row>
    <row r="1503" spans="1:24" x14ac:dyDescent="0.2">
      <c r="A1503">
        <v>13060000</v>
      </c>
      <c r="B1503" t="s">
        <v>1502</v>
      </c>
      <c r="C1503">
        <v>0</v>
      </c>
      <c r="D1503">
        <v>2000</v>
      </c>
      <c r="E1503">
        <v>10000</v>
      </c>
      <c r="F1503">
        <v>75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16</v>
      </c>
      <c r="M1503">
        <v>16</v>
      </c>
      <c r="N1503">
        <v>16</v>
      </c>
      <c r="O1503">
        <v>16</v>
      </c>
      <c r="P1503">
        <v>20</v>
      </c>
      <c r="Q1503">
        <v>0</v>
      </c>
      <c r="R1503">
        <v>100</v>
      </c>
      <c r="S1503">
        <v>0</v>
      </c>
      <c r="T1503">
        <v>0</v>
      </c>
      <c r="U1503">
        <v>6</v>
      </c>
      <c r="V1503">
        <v>0</v>
      </c>
      <c r="W1503">
        <v>10</v>
      </c>
      <c r="X1503">
        <v>0</v>
      </c>
    </row>
    <row r="1504" spans="1:24" x14ac:dyDescent="0.2">
      <c r="A1504">
        <v>13070000</v>
      </c>
      <c r="B1504" t="s">
        <v>1503</v>
      </c>
      <c r="C1504">
        <v>0</v>
      </c>
      <c r="D1504">
        <v>2000</v>
      </c>
      <c r="E1504">
        <v>10000</v>
      </c>
      <c r="F1504">
        <v>76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16</v>
      </c>
      <c r="M1504">
        <v>16</v>
      </c>
      <c r="N1504">
        <v>16</v>
      </c>
      <c r="O1504">
        <v>16</v>
      </c>
      <c r="P1504">
        <v>20</v>
      </c>
      <c r="Q1504">
        <v>0</v>
      </c>
      <c r="R1504">
        <v>94</v>
      </c>
      <c r="S1504">
        <v>0</v>
      </c>
      <c r="T1504">
        <v>0</v>
      </c>
      <c r="U1504">
        <v>6</v>
      </c>
      <c r="V1504">
        <v>0</v>
      </c>
      <c r="W1504">
        <v>12</v>
      </c>
      <c r="X1504">
        <v>0</v>
      </c>
    </row>
    <row r="1505" spans="1:24" x14ac:dyDescent="0.2">
      <c r="A1505">
        <v>13080000</v>
      </c>
      <c r="B1505" t="s">
        <v>1504</v>
      </c>
      <c r="C1505">
        <v>0</v>
      </c>
      <c r="D1505">
        <v>2000</v>
      </c>
      <c r="E1505">
        <v>10000</v>
      </c>
      <c r="F1505">
        <v>76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16</v>
      </c>
      <c r="M1505">
        <v>16</v>
      </c>
      <c r="N1505">
        <v>16</v>
      </c>
      <c r="O1505">
        <v>16</v>
      </c>
      <c r="P1505">
        <v>21</v>
      </c>
      <c r="Q1505">
        <v>0</v>
      </c>
      <c r="R1505">
        <v>86</v>
      </c>
      <c r="S1505">
        <v>0</v>
      </c>
      <c r="T1505">
        <v>0</v>
      </c>
      <c r="U1505">
        <v>7</v>
      </c>
      <c r="V1505">
        <v>0</v>
      </c>
      <c r="W1505">
        <v>18</v>
      </c>
      <c r="X1505">
        <v>0</v>
      </c>
    </row>
    <row r="1506" spans="1:24" x14ac:dyDescent="0.2">
      <c r="A1506">
        <v>13100000</v>
      </c>
      <c r="B1506" t="s">
        <v>1505</v>
      </c>
      <c r="C1506">
        <v>2200</v>
      </c>
      <c r="D1506">
        <v>2400</v>
      </c>
      <c r="E1506">
        <v>10131000</v>
      </c>
      <c r="F1506">
        <v>79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12</v>
      </c>
      <c r="M1506">
        <v>16</v>
      </c>
      <c r="N1506">
        <v>16</v>
      </c>
      <c r="O1506">
        <v>12</v>
      </c>
      <c r="P1506">
        <v>21</v>
      </c>
      <c r="Q1506">
        <v>0</v>
      </c>
      <c r="R1506">
        <v>0</v>
      </c>
      <c r="S1506">
        <v>0</v>
      </c>
      <c r="T1506">
        <v>102</v>
      </c>
      <c r="U1506">
        <v>9</v>
      </c>
      <c r="V1506">
        <v>0</v>
      </c>
      <c r="W1506">
        <v>18</v>
      </c>
      <c r="X1506">
        <v>0</v>
      </c>
    </row>
    <row r="1507" spans="1:24" x14ac:dyDescent="0.2">
      <c r="A1507">
        <v>13110000</v>
      </c>
      <c r="B1507" t="s">
        <v>1506</v>
      </c>
      <c r="C1507">
        <v>2200</v>
      </c>
      <c r="D1507">
        <v>2400</v>
      </c>
      <c r="E1507">
        <v>10131100</v>
      </c>
      <c r="F1507">
        <v>78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12</v>
      </c>
      <c r="M1507">
        <v>16</v>
      </c>
      <c r="N1507">
        <v>16</v>
      </c>
      <c r="O1507">
        <v>12</v>
      </c>
      <c r="P1507">
        <v>21</v>
      </c>
      <c r="Q1507">
        <v>0</v>
      </c>
      <c r="R1507">
        <v>0</v>
      </c>
      <c r="S1507">
        <v>112</v>
      </c>
      <c r="T1507">
        <v>0</v>
      </c>
      <c r="U1507">
        <v>8</v>
      </c>
      <c r="V1507">
        <v>0</v>
      </c>
      <c r="W1507">
        <v>12</v>
      </c>
      <c r="X1507">
        <v>12</v>
      </c>
    </row>
    <row r="1508" spans="1:24" x14ac:dyDescent="0.2">
      <c r="A1508">
        <v>13120000</v>
      </c>
      <c r="B1508" t="s">
        <v>1507</v>
      </c>
      <c r="C1508">
        <v>2200</v>
      </c>
      <c r="D1508">
        <v>2600</v>
      </c>
      <c r="E1508">
        <v>10131200</v>
      </c>
      <c r="F1508">
        <v>64</v>
      </c>
      <c r="G1508">
        <v>67</v>
      </c>
      <c r="H1508">
        <v>0</v>
      </c>
      <c r="I1508">
        <v>0</v>
      </c>
      <c r="J1508">
        <v>0</v>
      </c>
      <c r="K1508">
        <v>0</v>
      </c>
      <c r="L1508">
        <v>16</v>
      </c>
      <c r="M1508">
        <v>16</v>
      </c>
      <c r="N1508">
        <v>16</v>
      </c>
      <c r="O1508">
        <v>16</v>
      </c>
      <c r="P1508">
        <v>15</v>
      </c>
      <c r="Q1508">
        <v>37</v>
      </c>
      <c r="R1508">
        <v>0</v>
      </c>
      <c r="S1508">
        <v>96</v>
      </c>
      <c r="T1508">
        <v>0</v>
      </c>
      <c r="U1508">
        <v>10</v>
      </c>
      <c r="V1508">
        <v>10</v>
      </c>
      <c r="W1508">
        <v>18</v>
      </c>
      <c r="X1508">
        <v>14</v>
      </c>
    </row>
    <row r="1509" spans="1:24" x14ac:dyDescent="0.2">
      <c r="A1509">
        <v>13140000</v>
      </c>
      <c r="B1509" t="s">
        <v>1508</v>
      </c>
      <c r="C1509">
        <v>0</v>
      </c>
      <c r="D1509">
        <v>2000</v>
      </c>
      <c r="E1509">
        <v>10000</v>
      </c>
      <c r="F1509">
        <v>68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16</v>
      </c>
      <c r="M1509">
        <v>16</v>
      </c>
      <c r="N1509">
        <v>6</v>
      </c>
      <c r="O1509">
        <v>6</v>
      </c>
      <c r="P1509">
        <v>21</v>
      </c>
      <c r="Q1509">
        <v>0</v>
      </c>
      <c r="R1509">
        <v>0</v>
      </c>
      <c r="S1509">
        <v>117</v>
      </c>
      <c r="T1509">
        <v>0</v>
      </c>
      <c r="U1509">
        <v>3</v>
      </c>
      <c r="V1509">
        <v>0</v>
      </c>
      <c r="W1509">
        <v>0</v>
      </c>
      <c r="X1509">
        <v>30</v>
      </c>
    </row>
    <row r="1510" spans="1:24" x14ac:dyDescent="0.2">
      <c r="A1510">
        <v>13160000</v>
      </c>
      <c r="B1510" t="s">
        <v>1509</v>
      </c>
      <c r="C1510">
        <v>2000</v>
      </c>
      <c r="D1510">
        <v>2300</v>
      </c>
      <c r="E1510">
        <v>10000</v>
      </c>
      <c r="F1510">
        <v>77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16</v>
      </c>
      <c r="M1510">
        <v>16</v>
      </c>
      <c r="N1510">
        <v>16</v>
      </c>
      <c r="O1510">
        <v>16</v>
      </c>
      <c r="P1510">
        <v>20</v>
      </c>
      <c r="Q1510">
        <v>0</v>
      </c>
      <c r="R1510">
        <v>85</v>
      </c>
      <c r="S1510">
        <v>0</v>
      </c>
      <c r="T1510">
        <v>0</v>
      </c>
      <c r="U1510">
        <v>7</v>
      </c>
      <c r="V1510">
        <v>0</v>
      </c>
      <c r="W1510">
        <v>24</v>
      </c>
      <c r="X1510">
        <v>0</v>
      </c>
    </row>
    <row r="1511" spans="1:24" x14ac:dyDescent="0.2">
      <c r="A1511">
        <v>13170000</v>
      </c>
      <c r="B1511" t="s">
        <v>1510</v>
      </c>
      <c r="C1511">
        <v>0</v>
      </c>
      <c r="D1511">
        <v>2000</v>
      </c>
      <c r="E1511">
        <v>10000</v>
      </c>
      <c r="F1511">
        <v>79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5</v>
      </c>
      <c r="M1511">
        <v>16</v>
      </c>
      <c r="N1511">
        <v>16</v>
      </c>
      <c r="O1511">
        <v>5</v>
      </c>
      <c r="P1511">
        <v>21</v>
      </c>
      <c r="Q1511">
        <v>0</v>
      </c>
      <c r="R1511">
        <v>96</v>
      </c>
      <c r="S1511">
        <v>0</v>
      </c>
      <c r="T1511">
        <v>0</v>
      </c>
      <c r="U1511">
        <v>8</v>
      </c>
      <c r="V1511">
        <v>0</v>
      </c>
      <c r="W1511">
        <v>16</v>
      </c>
      <c r="X1511">
        <v>0</v>
      </c>
    </row>
    <row r="1512" spans="1:24" x14ac:dyDescent="0.2">
      <c r="A1512">
        <v>13180000</v>
      </c>
      <c r="B1512" t="s">
        <v>1511</v>
      </c>
      <c r="C1512">
        <v>0</v>
      </c>
      <c r="D1512">
        <v>2000</v>
      </c>
      <c r="E1512">
        <v>10000</v>
      </c>
      <c r="F1512">
        <v>75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6</v>
      </c>
      <c r="M1512">
        <v>16</v>
      </c>
      <c r="N1512">
        <v>16</v>
      </c>
      <c r="O1512">
        <v>6</v>
      </c>
      <c r="P1512">
        <v>20</v>
      </c>
      <c r="Q1512">
        <v>0</v>
      </c>
      <c r="R1512">
        <v>110</v>
      </c>
      <c r="S1512">
        <v>0</v>
      </c>
      <c r="T1512">
        <v>0</v>
      </c>
      <c r="U1512">
        <v>6</v>
      </c>
      <c r="V1512">
        <v>0</v>
      </c>
      <c r="W1512">
        <v>14</v>
      </c>
      <c r="X1512">
        <v>0</v>
      </c>
    </row>
    <row r="1513" spans="1:24" x14ac:dyDescent="0.2">
      <c r="A1513">
        <v>13190000</v>
      </c>
      <c r="B1513" t="s">
        <v>1512</v>
      </c>
      <c r="C1513">
        <v>0</v>
      </c>
      <c r="D1513">
        <v>2000</v>
      </c>
      <c r="E1513">
        <v>10000</v>
      </c>
      <c r="F1513">
        <v>72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16</v>
      </c>
      <c r="M1513">
        <v>16</v>
      </c>
      <c r="N1513">
        <v>16</v>
      </c>
      <c r="O1513">
        <v>16</v>
      </c>
      <c r="P1513">
        <v>20</v>
      </c>
      <c r="Q1513">
        <v>0</v>
      </c>
      <c r="R1513">
        <v>67</v>
      </c>
      <c r="S1513">
        <v>0</v>
      </c>
      <c r="T1513">
        <v>0</v>
      </c>
      <c r="U1513">
        <v>7</v>
      </c>
      <c r="V1513">
        <v>0</v>
      </c>
      <c r="W1513">
        <v>18</v>
      </c>
      <c r="X1513">
        <v>0</v>
      </c>
    </row>
    <row r="1514" spans="1:24" x14ac:dyDescent="0.2">
      <c r="A1514">
        <v>13200000</v>
      </c>
      <c r="B1514" t="s">
        <v>1513</v>
      </c>
      <c r="C1514">
        <v>2200</v>
      </c>
      <c r="D1514">
        <v>2400</v>
      </c>
      <c r="E1514">
        <v>10000</v>
      </c>
      <c r="F1514">
        <v>105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16</v>
      </c>
      <c r="M1514">
        <v>16</v>
      </c>
      <c r="N1514">
        <v>16</v>
      </c>
      <c r="O1514">
        <v>15</v>
      </c>
      <c r="P1514">
        <v>31</v>
      </c>
      <c r="Q1514">
        <v>30</v>
      </c>
      <c r="R1514">
        <v>84</v>
      </c>
      <c r="S1514">
        <v>51</v>
      </c>
      <c r="T1514">
        <v>0</v>
      </c>
      <c r="U1514">
        <v>12</v>
      </c>
      <c r="V1514">
        <v>0</v>
      </c>
      <c r="W1514">
        <v>14</v>
      </c>
      <c r="X1514">
        <v>10</v>
      </c>
    </row>
    <row r="1515" spans="1:24" x14ac:dyDescent="0.2">
      <c r="A1515">
        <v>13210000</v>
      </c>
      <c r="B1515" t="s">
        <v>1514</v>
      </c>
      <c r="C1515">
        <v>0</v>
      </c>
      <c r="D1515">
        <v>2000</v>
      </c>
      <c r="E1515">
        <v>10000</v>
      </c>
      <c r="F1515">
        <v>66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16</v>
      </c>
      <c r="M1515">
        <v>16</v>
      </c>
      <c r="N1515">
        <v>16</v>
      </c>
      <c r="O1515">
        <v>16</v>
      </c>
      <c r="P1515">
        <v>21</v>
      </c>
      <c r="Q1515">
        <v>0</v>
      </c>
      <c r="R1515">
        <v>0</v>
      </c>
      <c r="S1515">
        <v>105</v>
      </c>
      <c r="T1515">
        <v>0</v>
      </c>
      <c r="U1515">
        <v>3</v>
      </c>
      <c r="V1515">
        <v>0</v>
      </c>
      <c r="W1515">
        <v>0</v>
      </c>
      <c r="X1515">
        <v>14</v>
      </c>
    </row>
    <row r="1516" spans="1:24" x14ac:dyDescent="0.2">
      <c r="A1516">
        <v>13220000</v>
      </c>
      <c r="B1516" t="s">
        <v>1515</v>
      </c>
      <c r="C1516">
        <v>0</v>
      </c>
      <c r="D1516">
        <v>2000</v>
      </c>
      <c r="E1516">
        <v>10000</v>
      </c>
      <c r="F1516">
        <v>65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16</v>
      </c>
      <c r="M1516">
        <v>16</v>
      </c>
      <c r="N1516">
        <v>5</v>
      </c>
      <c r="O1516">
        <v>5</v>
      </c>
      <c r="P1516">
        <v>20</v>
      </c>
      <c r="Q1516">
        <v>0</v>
      </c>
      <c r="R1516">
        <v>0</v>
      </c>
      <c r="S1516">
        <v>99</v>
      </c>
      <c r="T1516">
        <v>0</v>
      </c>
      <c r="U1516">
        <v>3</v>
      </c>
      <c r="V1516">
        <v>0</v>
      </c>
      <c r="W1516">
        <v>0</v>
      </c>
      <c r="X1516">
        <v>10</v>
      </c>
    </row>
    <row r="1517" spans="1:24" x14ac:dyDescent="0.2">
      <c r="A1517">
        <v>13230000</v>
      </c>
      <c r="B1517" t="s">
        <v>1516</v>
      </c>
      <c r="C1517">
        <v>0</v>
      </c>
      <c r="D1517">
        <v>2000</v>
      </c>
      <c r="E1517">
        <v>10000</v>
      </c>
      <c r="F1517">
        <v>65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16</v>
      </c>
      <c r="M1517">
        <v>16</v>
      </c>
      <c r="N1517">
        <v>16</v>
      </c>
      <c r="O1517">
        <v>16</v>
      </c>
      <c r="P1517">
        <v>20</v>
      </c>
      <c r="Q1517">
        <v>0</v>
      </c>
      <c r="R1517">
        <v>0</v>
      </c>
      <c r="S1517">
        <v>78</v>
      </c>
      <c r="T1517">
        <v>0</v>
      </c>
      <c r="U1517">
        <v>3</v>
      </c>
      <c r="V1517">
        <v>0</v>
      </c>
      <c r="W1517">
        <v>0</v>
      </c>
      <c r="X1517">
        <v>18</v>
      </c>
    </row>
    <row r="1518" spans="1:24" x14ac:dyDescent="0.2">
      <c r="A1518">
        <v>13240000</v>
      </c>
      <c r="B1518" t="s">
        <v>1517</v>
      </c>
      <c r="C1518">
        <v>2200</v>
      </c>
      <c r="D1518">
        <v>2400</v>
      </c>
      <c r="E1518">
        <v>10010020</v>
      </c>
      <c r="F1518">
        <v>65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16</v>
      </c>
      <c r="M1518">
        <v>16</v>
      </c>
      <c r="N1518">
        <v>16</v>
      </c>
      <c r="O1518">
        <v>15</v>
      </c>
      <c r="P1518">
        <v>20</v>
      </c>
      <c r="Q1518">
        <v>0</v>
      </c>
      <c r="R1518">
        <v>80</v>
      </c>
      <c r="S1518">
        <v>89</v>
      </c>
      <c r="T1518">
        <v>0</v>
      </c>
      <c r="U1518">
        <v>3</v>
      </c>
      <c r="V1518">
        <v>0</v>
      </c>
      <c r="W1518">
        <v>12</v>
      </c>
      <c r="X1518">
        <v>12</v>
      </c>
    </row>
    <row r="1519" spans="1:24" x14ac:dyDescent="0.2">
      <c r="A1519">
        <v>13250000</v>
      </c>
      <c r="B1519" t="s">
        <v>1518</v>
      </c>
      <c r="C1519">
        <v>2200</v>
      </c>
      <c r="D1519">
        <v>2400</v>
      </c>
      <c r="E1519">
        <v>10010030</v>
      </c>
      <c r="F1519">
        <v>64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15</v>
      </c>
      <c r="M1519">
        <v>16</v>
      </c>
      <c r="N1519">
        <v>15</v>
      </c>
      <c r="O1519">
        <v>15</v>
      </c>
      <c r="P1519">
        <v>20</v>
      </c>
      <c r="Q1519">
        <v>0</v>
      </c>
      <c r="R1519">
        <v>49</v>
      </c>
      <c r="S1519">
        <v>49</v>
      </c>
      <c r="T1519">
        <v>0</v>
      </c>
      <c r="U1519">
        <v>3</v>
      </c>
      <c r="V1519">
        <v>0</v>
      </c>
      <c r="W1519">
        <v>18</v>
      </c>
      <c r="X1519">
        <v>18</v>
      </c>
    </row>
    <row r="1520" spans="1:24" x14ac:dyDescent="0.2">
      <c r="A1520">
        <v>13260000</v>
      </c>
      <c r="B1520" t="s">
        <v>1519</v>
      </c>
      <c r="C1520">
        <v>0</v>
      </c>
      <c r="D1520">
        <v>2000</v>
      </c>
      <c r="E1520">
        <v>10000</v>
      </c>
      <c r="F1520">
        <v>67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16</v>
      </c>
      <c r="M1520">
        <v>16</v>
      </c>
      <c r="N1520">
        <v>16</v>
      </c>
      <c r="O1520">
        <v>16</v>
      </c>
      <c r="P1520">
        <v>21</v>
      </c>
      <c r="Q1520">
        <v>0</v>
      </c>
      <c r="R1520">
        <v>0</v>
      </c>
      <c r="S1520">
        <v>82</v>
      </c>
      <c r="T1520">
        <v>0</v>
      </c>
      <c r="U1520">
        <v>4</v>
      </c>
      <c r="V1520">
        <v>0</v>
      </c>
      <c r="W1520">
        <v>0</v>
      </c>
      <c r="X1520">
        <v>14</v>
      </c>
    </row>
    <row r="1521" spans="1:24" x14ac:dyDescent="0.2">
      <c r="A1521">
        <v>13270000</v>
      </c>
      <c r="B1521" t="s">
        <v>1520</v>
      </c>
      <c r="C1521">
        <v>0</v>
      </c>
      <c r="D1521">
        <v>2000</v>
      </c>
      <c r="E1521">
        <v>10000</v>
      </c>
      <c r="F1521">
        <v>66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16</v>
      </c>
      <c r="M1521">
        <v>16</v>
      </c>
      <c r="N1521">
        <v>5</v>
      </c>
      <c r="O1521">
        <v>5</v>
      </c>
      <c r="P1521">
        <v>21</v>
      </c>
      <c r="Q1521">
        <v>0</v>
      </c>
      <c r="R1521">
        <v>0</v>
      </c>
      <c r="S1521">
        <v>96</v>
      </c>
      <c r="T1521">
        <v>0</v>
      </c>
      <c r="U1521">
        <v>4</v>
      </c>
      <c r="V1521">
        <v>0</v>
      </c>
      <c r="W1521">
        <v>0</v>
      </c>
      <c r="X1521">
        <v>14</v>
      </c>
    </row>
    <row r="1522" spans="1:24" x14ac:dyDescent="0.2">
      <c r="A1522">
        <v>13280000</v>
      </c>
      <c r="B1522" t="s">
        <v>1521</v>
      </c>
      <c r="C1522">
        <v>2200</v>
      </c>
      <c r="D1522">
        <v>2400</v>
      </c>
      <c r="E1522">
        <v>10010010</v>
      </c>
      <c r="F1522">
        <v>65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16</v>
      </c>
      <c r="M1522">
        <v>16</v>
      </c>
      <c r="N1522">
        <v>16</v>
      </c>
      <c r="O1522">
        <v>15</v>
      </c>
      <c r="P1522">
        <v>20</v>
      </c>
      <c r="Q1522">
        <v>0</v>
      </c>
      <c r="R1522">
        <v>80</v>
      </c>
      <c r="S1522">
        <v>85</v>
      </c>
      <c r="T1522">
        <v>0</v>
      </c>
      <c r="U1522">
        <v>4</v>
      </c>
      <c r="V1522">
        <v>0</v>
      </c>
      <c r="W1522">
        <v>0</v>
      </c>
      <c r="X1522">
        <v>24</v>
      </c>
    </row>
    <row r="1523" spans="1:24" x14ac:dyDescent="0.2">
      <c r="A1523">
        <v>13290000</v>
      </c>
      <c r="B1523" t="s">
        <v>1522</v>
      </c>
      <c r="C1523">
        <v>0</v>
      </c>
      <c r="D1523">
        <v>2000</v>
      </c>
      <c r="E1523">
        <v>10000</v>
      </c>
      <c r="F1523">
        <v>67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16</v>
      </c>
      <c r="M1523">
        <v>16</v>
      </c>
      <c r="N1523">
        <v>6</v>
      </c>
      <c r="O1523">
        <v>6</v>
      </c>
      <c r="P1523">
        <v>21</v>
      </c>
      <c r="Q1523">
        <v>0</v>
      </c>
      <c r="R1523">
        <v>0</v>
      </c>
      <c r="S1523">
        <v>113</v>
      </c>
      <c r="T1523">
        <v>0</v>
      </c>
      <c r="U1523">
        <v>4</v>
      </c>
      <c r="V1523">
        <v>0</v>
      </c>
      <c r="W1523">
        <v>0</v>
      </c>
      <c r="X1523">
        <v>16</v>
      </c>
    </row>
    <row r="1524" spans="1:24" x14ac:dyDescent="0.2">
      <c r="A1524">
        <v>13300000</v>
      </c>
      <c r="B1524" t="s">
        <v>1523</v>
      </c>
      <c r="C1524">
        <v>2200</v>
      </c>
      <c r="D1524">
        <v>2400</v>
      </c>
      <c r="E1524">
        <v>10000</v>
      </c>
      <c r="F1524">
        <v>64</v>
      </c>
      <c r="G1524">
        <v>0</v>
      </c>
      <c r="H1524">
        <v>69</v>
      </c>
      <c r="I1524">
        <v>0</v>
      </c>
      <c r="J1524">
        <v>0</v>
      </c>
      <c r="K1524">
        <v>0</v>
      </c>
      <c r="L1524">
        <v>16</v>
      </c>
      <c r="M1524">
        <v>0</v>
      </c>
      <c r="N1524">
        <v>16</v>
      </c>
      <c r="O1524">
        <v>16</v>
      </c>
      <c r="P1524">
        <v>20</v>
      </c>
      <c r="Q1524">
        <v>0</v>
      </c>
      <c r="R1524">
        <v>30</v>
      </c>
      <c r="S1524">
        <v>50</v>
      </c>
      <c r="T1524">
        <v>0</v>
      </c>
      <c r="U1524">
        <v>4</v>
      </c>
      <c r="V1524">
        <v>0</v>
      </c>
      <c r="W1524">
        <v>16</v>
      </c>
      <c r="X1524">
        <v>20</v>
      </c>
    </row>
    <row r="1525" spans="1:24" x14ac:dyDescent="0.2">
      <c r="A1525">
        <v>13400000</v>
      </c>
      <c r="B1525" t="s">
        <v>1524</v>
      </c>
      <c r="C1525">
        <v>0</v>
      </c>
      <c r="D1525">
        <v>2800</v>
      </c>
      <c r="E1525">
        <v>10000</v>
      </c>
      <c r="F1525">
        <v>0</v>
      </c>
      <c r="G1525">
        <v>0</v>
      </c>
      <c r="H1525">
        <v>100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51</v>
      </c>
      <c r="S1525">
        <v>51</v>
      </c>
      <c r="T1525">
        <v>0</v>
      </c>
      <c r="U1525">
        <v>0</v>
      </c>
      <c r="V1525">
        <v>0</v>
      </c>
      <c r="W1525">
        <v>0</v>
      </c>
      <c r="X1525">
        <v>0</v>
      </c>
    </row>
    <row r="1526" spans="1:24" x14ac:dyDescent="0.2">
      <c r="A1526">
        <v>13410000</v>
      </c>
      <c r="B1526" t="s">
        <v>1525</v>
      </c>
      <c r="C1526">
        <v>0</v>
      </c>
      <c r="D1526">
        <v>2800</v>
      </c>
      <c r="E1526">
        <v>10000</v>
      </c>
      <c r="F1526">
        <v>0</v>
      </c>
      <c r="G1526">
        <v>0</v>
      </c>
      <c r="H1526">
        <v>110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45</v>
      </c>
      <c r="S1526">
        <v>45</v>
      </c>
      <c r="T1526">
        <v>0</v>
      </c>
      <c r="U1526">
        <v>15</v>
      </c>
      <c r="V1526">
        <v>0</v>
      </c>
      <c r="W1526">
        <v>13</v>
      </c>
      <c r="X1526">
        <v>13</v>
      </c>
    </row>
    <row r="1527" spans="1:24" x14ac:dyDescent="0.2">
      <c r="A1527">
        <v>13420000</v>
      </c>
      <c r="B1527" t="s">
        <v>1526</v>
      </c>
      <c r="C1527">
        <v>0</v>
      </c>
      <c r="D1527">
        <v>2000</v>
      </c>
      <c r="E1527">
        <v>10000</v>
      </c>
      <c r="F1527">
        <v>108</v>
      </c>
      <c r="G1527">
        <v>0</v>
      </c>
      <c r="H1527">
        <v>0</v>
      </c>
      <c r="I1527">
        <v>0</v>
      </c>
      <c r="J1527">
        <v>26</v>
      </c>
      <c r="K1527">
        <v>0</v>
      </c>
      <c r="L1527">
        <v>16</v>
      </c>
      <c r="M1527">
        <v>16</v>
      </c>
      <c r="N1527">
        <v>16</v>
      </c>
      <c r="O1527">
        <v>15</v>
      </c>
      <c r="P1527">
        <v>31</v>
      </c>
      <c r="Q1527">
        <v>30</v>
      </c>
      <c r="R1527">
        <v>98</v>
      </c>
      <c r="S1527">
        <v>13</v>
      </c>
      <c r="T1527">
        <v>0</v>
      </c>
      <c r="U1527">
        <v>6</v>
      </c>
      <c r="V1527">
        <v>0</v>
      </c>
      <c r="W1527">
        <v>12</v>
      </c>
      <c r="X1527">
        <v>0</v>
      </c>
    </row>
    <row r="1528" spans="1:24" x14ac:dyDescent="0.2">
      <c r="A1528">
        <v>13430000</v>
      </c>
      <c r="B1528" t="s">
        <v>1527</v>
      </c>
      <c r="C1528">
        <v>2200</v>
      </c>
      <c r="D1528">
        <v>2400</v>
      </c>
      <c r="E1528">
        <v>10000</v>
      </c>
      <c r="F1528">
        <v>65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16</v>
      </c>
      <c r="M1528">
        <v>16</v>
      </c>
      <c r="N1528">
        <v>16</v>
      </c>
      <c r="O1528">
        <v>16</v>
      </c>
      <c r="P1528">
        <v>20</v>
      </c>
      <c r="Q1528">
        <v>0</v>
      </c>
      <c r="R1528">
        <v>0</v>
      </c>
      <c r="S1528">
        <v>80</v>
      </c>
      <c r="T1528">
        <v>0</v>
      </c>
      <c r="U1528">
        <v>4</v>
      </c>
      <c r="V1528">
        <v>0</v>
      </c>
      <c r="W1528">
        <v>0</v>
      </c>
      <c r="X1528">
        <v>18</v>
      </c>
    </row>
    <row r="1529" spans="1:24" x14ac:dyDescent="0.2">
      <c r="A1529">
        <v>13440000</v>
      </c>
      <c r="B1529" t="s">
        <v>1528</v>
      </c>
      <c r="C1529">
        <v>2200</v>
      </c>
      <c r="D1529">
        <v>2400</v>
      </c>
      <c r="E1529">
        <v>10000</v>
      </c>
      <c r="F1529">
        <v>95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16</v>
      </c>
      <c r="M1529">
        <v>16</v>
      </c>
      <c r="N1529">
        <v>16</v>
      </c>
      <c r="O1529">
        <v>16</v>
      </c>
      <c r="P1529">
        <v>20</v>
      </c>
      <c r="Q1529">
        <v>0</v>
      </c>
      <c r="R1529">
        <v>103</v>
      </c>
      <c r="S1529">
        <v>0</v>
      </c>
      <c r="T1529">
        <v>0</v>
      </c>
      <c r="U1529">
        <v>12</v>
      </c>
      <c r="V1529">
        <v>0</v>
      </c>
      <c r="W1529">
        <v>14</v>
      </c>
      <c r="X1529">
        <v>0</v>
      </c>
    </row>
    <row r="1530" spans="1:24" x14ac:dyDescent="0.2">
      <c r="A1530">
        <v>13600000</v>
      </c>
      <c r="B1530" t="s">
        <v>1529</v>
      </c>
      <c r="C1530">
        <v>2200</v>
      </c>
      <c r="D1530">
        <v>2200</v>
      </c>
      <c r="E1530">
        <v>10000</v>
      </c>
      <c r="F1530">
        <v>110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35</v>
      </c>
      <c r="Q1530">
        <v>50</v>
      </c>
      <c r="R1530">
        <v>0</v>
      </c>
      <c r="S1530">
        <v>0</v>
      </c>
      <c r="T1530">
        <v>24</v>
      </c>
      <c r="U1530">
        <v>20</v>
      </c>
      <c r="V1530">
        <v>20</v>
      </c>
      <c r="W1530">
        <v>0</v>
      </c>
      <c r="X1530">
        <v>0</v>
      </c>
    </row>
    <row r="1531" spans="1:24" x14ac:dyDescent="0.2">
      <c r="A1531">
        <v>14010000</v>
      </c>
      <c r="B1531" t="s">
        <v>1530</v>
      </c>
      <c r="C1531">
        <v>0</v>
      </c>
      <c r="D1531">
        <v>0</v>
      </c>
      <c r="E1531">
        <v>10000</v>
      </c>
      <c r="F1531">
        <v>77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10</v>
      </c>
      <c r="Q1531">
        <v>36</v>
      </c>
      <c r="R1531">
        <v>0</v>
      </c>
      <c r="S1531">
        <v>0</v>
      </c>
      <c r="T1531">
        <v>14</v>
      </c>
      <c r="U1531">
        <v>7</v>
      </c>
      <c r="V1531">
        <v>12</v>
      </c>
      <c r="W1531">
        <v>0</v>
      </c>
      <c r="X1531">
        <v>0</v>
      </c>
    </row>
    <row r="1532" spans="1:24" x14ac:dyDescent="0.2">
      <c r="A1532">
        <v>14020000</v>
      </c>
      <c r="B1532" t="s">
        <v>1531</v>
      </c>
      <c r="C1532">
        <v>0</v>
      </c>
      <c r="D1532">
        <v>0</v>
      </c>
      <c r="E1532">
        <v>10000</v>
      </c>
      <c r="F1532">
        <v>73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36</v>
      </c>
      <c r="Q1532">
        <v>30</v>
      </c>
      <c r="R1532">
        <v>0</v>
      </c>
      <c r="S1532">
        <v>0</v>
      </c>
      <c r="T1532">
        <v>18</v>
      </c>
      <c r="U1532">
        <v>12</v>
      </c>
      <c r="V1532">
        <v>12</v>
      </c>
      <c r="W1532">
        <v>0</v>
      </c>
      <c r="X1532">
        <v>0</v>
      </c>
    </row>
    <row r="1533" spans="1:24" x14ac:dyDescent="0.2">
      <c r="A1533">
        <v>14040000</v>
      </c>
      <c r="B1533" t="s">
        <v>1532</v>
      </c>
      <c r="C1533">
        <v>0</v>
      </c>
      <c r="D1533">
        <v>3100</v>
      </c>
      <c r="E1533">
        <v>10000</v>
      </c>
      <c r="F1533">
        <v>64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10</v>
      </c>
      <c r="V1533">
        <v>8</v>
      </c>
      <c r="W1533">
        <v>0</v>
      </c>
      <c r="X1533">
        <v>0</v>
      </c>
    </row>
    <row r="1534" spans="1:24" x14ac:dyDescent="0.2">
      <c r="A1534">
        <v>14050000</v>
      </c>
      <c r="B1534" t="s">
        <v>1533</v>
      </c>
      <c r="C1534">
        <v>0</v>
      </c>
      <c r="D1534">
        <v>3100</v>
      </c>
      <c r="E1534">
        <v>10000</v>
      </c>
      <c r="F1534">
        <v>78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18</v>
      </c>
      <c r="V1534">
        <v>8</v>
      </c>
      <c r="W1534">
        <v>0</v>
      </c>
      <c r="X1534">
        <v>0</v>
      </c>
    </row>
    <row r="1535" spans="1:24" x14ac:dyDescent="0.2">
      <c r="A1535">
        <v>14060000</v>
      </c>
      <c r="B1535" t="s">
        <v>1534</v>
      </c>
      <c r="C1535">
        <v>0</v>
      </c>
      <c r="D1535">
        <v>0</v>
      </c>
      <c r="E1535">
        <v>10000</v>
      </c>
      <c r="F1535">
        <v>82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10</v>
      </c>
      <c r="Q1535">
        <v>35</v>
      </c>
      <c r="R1535">
        <v>0</v>
      </c>
      <c r="S1535">
        <v>0</v>
      </c>
      <c r="T1535">
        <v>14</v>
      </c>
      <c r="U1535">
        <v>9</v>
      </c>
      <c r="V1535">
        <v>14</v>
      </c>
      <c r="W1535">
        <v>0</v>
      </c>
      <c r="X1535">
        <v>0</v>
      </c>
    </row>
    <row r="1536" spans="1:24" x14ac:dyDescent="0.2">
      <c r="A1536">
        <v>14070000</v>
      </c>
      <c r="B1536" t="s">
        <v>1535</v>
      </c>
      <c r="C1536">
        <v>2000</v>
      </c>
      <c r="D1536">
        <v>2100</v>
      </c>
      <c r="E1536">
        <v>10000</v>
      </c>
      <c r="F1536">
        <v>100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31</v>
      </c>
      <c r="Q1536">
        <v>15</v>
      </c>
      <c r="R1536">
        <v>0</v>
      </c>
      <c r="S1536">
        <v>0</v>
      </c>
      <c r="T1536">
        <v>12</v>
      </c>
      <c r="U1536">
        <v>19</v>
      </c>
      <c r="V1536">
        <v>15</v>
      </c>
      <c r="W1536">
        <v>0</v>
      </c>
      <c r="X1536">
        <v>0</v>
      </c>
    </row>
    <row r="1537" spans="1:24" x14ac:dyDescent="0.2">
      <c r="A1537">
        <v>14090000</v>
      </c>
      <c r="B1537" t="s">
        <v>1536</v>
      </c>
      <c r="C1537">
        <v>0</v>
      </c>
      <c r="D1537">
        <v>3200</v>
      </c>
      <c r="E1537">
        <v>10000</v>
      </c>
      <c r="F1537">
        <v>64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16</v>
      </c>
      <c r="V1537">
        <v>14</v>
      </c>
      <c r="W1537">
        <v>0</v>
      </c>
      <c r="X1537">
        <v>0</v>
      </c>
    </row>
    <row r="1538" spans="1:24" x14ac:dyDescent="0.2">
      <c r="A1538">
        <v>14100000</v>
      </c>
      <c r="B1538" t="s">
        <v>1537</v>
      </c>
      <c r="C1538">
        <v>0</v>
      </c>
      <c r="D1538">
        <v>3100</v>
      </c>
      <c r="E1538">
        <v>10000</v>
      </c>
      <c r="F1538">
        <v>40</v>
      </c>
      <c r="G1538">
        <v>0</v>
      </c>
      <c r="H1538">
        <v>0</v>
      </c>
      <c r="I1538">
        <v>40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12</v>
      </c>
      <c r="V1538">
        <v>8</v>
      </c>
      <c r="W1538">
        <v>0</v>
      </c>
      <c r="X1538">
        <v>0</v>
      </c>
    </row>
    <row r="1539" spans="1:24" x14ac:dyDescent="0.2">
      <c r="A1539">
        <v>14110000</v>
      </c>
      <c r="B1539" t="s">
        <v>1538</v>
      </c>
      <c r="C1539">
        <v>0</v>
      </c>
      <c r="D1539">
        <v>3100</v>
      </c>
      <c r="E1539">
        <v>10000</v>
      </c>
      <c r="F1539">
        <v>72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14</v>
      </c>
      <c r="V1539">
        <v>8</v>
      </c>
      <c r="W1539">
        <v>0</v>
      </c>
      <c r="X1539">
        <v>0</v>
      </c>
    </row>
    <row r="1540" spans="1:24" x14ac:dyDescent="0.2">
      <c r="A1540">
        <v>14120000</v>
      </c>
      <c r="B1540" t="s">
        <v>1539</v>
      </c>
      <c r="C1540">
        <v>2200</v>
      </c>
      <c r="D1540">
        <v>4600</v>
      </c>
      <c r="E1540">
        <v>10000</v>
      </c>
      <c r="F1540">
        <v>72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5</v>
      </c>
      <c r="Q1540">
        <v>50</v>
      </c>
      <c r="R1540">
        <v>0</v>
      </c>
      <c r="S1540">
        <v>0</v>
      </c>
      <c r="T1540">
        <v>18</v>
      </c>
      <c r="U1540">
        <v>8</v>
      </c>
      <c r="V1540">
        <v>20</v>
      </c>
      <c r="W1540">
        <v>0</v>
      </c>
      <c r="X1540">
        <v>0</v>
      </c>
    </row>
    <row r="1541" spans="1:24" x14ac:dyDescent="0.2">
      <c r="A1541">
        <v>14130000</v>
      </c>
      <c r="B1541" t="s">
        <v>1540</v>
      </c>
      <c r="C1541">
        <v>2000</v>
      </c>
      <c r="D1541">
        <v>2100</v>
      </c>
      <c r="E1541">
        <v>13000</v>
      </c>
      <c r="F1541">
        <v>33</v>
      </c>
      <c r="G1541">
        <v>40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10</v>
      </c>
      <c r="R1541">
        <v>60</v>
      </c>
      <c r="S1541">
        <v>0</v>
      </c>
      <c r="T1541">
        <v>3</v>
      </c>
      <c r="U1541">
        <v>7</v>
      </c>
      <c r="V1541">
        <v>16</v>
      </c>
      <c r="W1541">
        <v>10</v>
      </c>
      <c r="X1541">
        <v>0</v>
      </c>
    </row>
    <row r="1542" spans="1:24" x14ac:dyDescent="0.2">
      <c r="A1542">
        <v>14140000</v>
      </c>
      <c r="B1542" t="s">
        <v>1541</v>
      </c>
      <c r="C1542">
        <v>2200</v>
      </c>
      <c r="D1542">
        <v>2200</v>
      </c>
      <c r="E1542">
        <v>10000</v>
      </c>
      <c r="F1542">
        <v>97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15</v>
      </c>
      <c r="Q1542">
        <v>61</v>
      </c>
      <c r="R1542">
        <v>0</v>
      </c>
      <c r="S1542">
        <v>0</v>
      </c>
      <c r="T1542">
        <v>24</v>
      </c>
      <c r="U1542">
        <v>18</v>
      </c>
      <c r="V1542">
        <v>24</v>
      </c>
      <c r="W1542">
        <v>0</v>
      </c>
      <c r="X1542">
        <v>0</v>
      </c>
    </row>
    <row r="1543" spans="1:24" x14ac:dyDescent="0.2">
      <c r="A1543">
        <v>14150000</v>
      </c>
      <c r="B1543" t="s">
        <v>1542</v>
      </c>
      <c r="C1543">
        <v>0</v>
      </c>
      <c r="D1543">
        <v>0</v>
      </c>
      <c r="E1543">
        <v>10000</v>
      </c>
      <c r="F1543">
        <v>67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16</v>
      </c>
      <c r="Q1543">
        <v>64</v>
      </c>
      <c r="R1543">
        <v>0</v>
      </c>
      <c r="S1543">
        <v>0</v>
      </c>
      <c r="T1543">
        <v>26</v>
      </c>
      <c r="U1543">
        <v>9</v>
      </c>
      <c r="V1543">
        <v>18</v>
      </c>
      <c r="W1543">
        <v>0</v>
      </c>
      <c r="X1543">
        <v>0</v>
      </c>
    </row>
    <row r="1544" spans="1:24" x14ac:dyDescent="0.2">
      <c r="A1544">
        <v>14170000</v>
      </c>
      <c r="B1544" t="s">
        <v>1543</v>
      </c>
      <c r="C1544">
        <v>0</v>
      </c>
      <c r="D1544">
        <v>3100</v>
      </c>
      <c r="E1544">
        <v>10000</v>
      </c>
      <c r="F1544">
        <v>70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18</v>
      </c>
      <c r="V1544">
        <v>16</v>
      </c>
      <c r="W1544">
        <v>0</v>
      </c>
      <c r="X1544">
        <v>0</v>
      </c>
    </row>
    <row r="1545" spans="1:24" x14ac:dyDescent="0.2">
      <c r="A1545">
        <v>14180000</v>
      </c>
      <c r="B1545" t="s">
        <v>1544</v>
      </c>
      <c r="C1545">
        <v>2200</v>
      </c>
      <c r="D1545">
        <v>2200</v>
      </c>
      <c r="E1545">
        <v>10000</v>
      </c>
      <c r="F1545">
        <v>121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75</v>
      </c>
      <c r="Q1545">
        <v>10</v>
      </c>
      <c r="R1545">
        <v>0</v>
      </c>
      <c r="S1545">
        <v>0</v>
      </c>
      <c r="T1545">
        <v>18</v>
      </c>
      <c r="U1545">
        <v>28</v>
      </c>
      <c r="V1545">
        <v>12</v>
      </c>
      <c r="W1545">
        <v>0</v>
      </c>
      <c r="X1545">
        <v>0</v>
      </c>
    </row>
    <row r="1546" spans="1:24" x14ac:dyDescent="0.2">
      <c r="A1546">
        <v>14190000</v>
      </c>
      <c r="B1546" t="s">
        <v>1545</v>
      </c>
      <c r="C1546">
        <v>2000</v>
      </c>
      <c r="D1546">
        <v>3300</v>
      </c>
      <c r="E1546">
        <v>10000</v>
      </c>
      <c r="F1546">
        <v>76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16</v>
      </c>
      <c r="V1546">
        <v>20</v>
      </c>
      <c r="W1546">
        <v>0</v>
      </c>
      <c r="X1546">
        <v>0</v>
      </c>
    </row>
    <row r="1547" spans="1:24" x14ac:dyDescent="0.2">
      <c r="A1547">
        <v>16000000</v>
      </c>
      <c r="B1547" t="s">
        <v>1546</v>
      </c>
      <c r="C1547">
        <v>0</v>
      </c>
      <c r="D1547">
        <v>0</v>
      </c>
      <c r="E1547">
        <v>10000</v>
      </c>
      <c r="F1547">
        <v>99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15</v>
      </c>
      <c r="Q1547">
        <v>58</v>
      </c>
      <c r="R1547">
        <v>0</v>
      </c>
      <c r="S1547">
        <v>0</v>
      </c>
      <c r="T1547">
        <v>21</v>
      </c>
      <c r="U1547">
        <v>10</v>
      </c>
      <c r="V1547">
        <v>16</v>
      </c>
      <c r="W1547">
        <v>0</v>
      </c>
      <c r="X1547">
        <v>0</v>
      </c>
    </row>
    <row r="1548" spans="1:24" x14ac:dyDescent="0.2">
      <c r="A1548">
        <v>16000100</v>
      </c>
      <c r="B1548" t="s">
        <v>1547</v>
      </c>
      <c r="C1548">
        <v>200</v>
      </c>
      <c r="D1548">
        <v>100</v>
      </c>
      <c r="E1548">
        <v>10000</v>
      </c>
      <c r="F1548">
        <v>99</v>
      </c>
      <c r="G1548">
        <v>0</v>
      </c>
      <c r="H1548">
        <v>0</v>
      </c>
      <c r="I1548">
        <v>0</v>
      </c>
      <c r="J1548">
        <v>0</v>
      </c>
      <c r="K1548">
        <v>1</v>
      </c>
      <c r="L1548">
        <v>0</v>
      </c>
      <c r="M1548">
        <v>0</v>
      </c>
      <c r="N1548">
        <v>0</v>
      </c>
      <c r="O1548">
        <v>0</v>
      </c>
      <c r="P1548">
        <v>40</v>
      </c>
      <c r="Q1548">
        <v>0</v>
      </c>
      <c r="R1548">
        <v>0</v>
      </c>
      <c r="S1548">
        <v>0</v>
      </c>
      <c r="T1548">
        <v>21</v>
      </c>
      <c r="U1548">
        <v>10</v>
      </c>
      <c r="V1548">
        <v>16</v>
      </c>
      <c r="W1548">
        <v>0</v>
      </c>
      <c r="X1548">
        <v>0</v>
      </c>
    </row>
    <row r="1549" spans="1:24" x14ac:dyDescent="0.2">
      <c r="A1549">
        <v>16000200</v>
      </c>
      <c r="B1549" t="s">
        <v>1548</v>
      </c>
      <c r="C1549">
        <v>100</v>
      </c>
      <c r="D1549">
        <v>5000</v>
      </c>
      <c r="E1549">
        <v>10000</v>
      </c>
      <c r="F1549">
        <v>99</v>
      </c>
      <c r="G1549">
        <v>0</v>
      </c>
      <c r="H1549">
        <v>0</v>
      </c>
      <c r="I1549">
        <v>0</v>
      </c>
      <c r="J1549">
        <v>0</v>
      </c>
      <c r="K1549">
        <v>2</v>
      </c>
      <c r="L1549">
        <v>0</v>
      </c>
      <c r="M1549">
        <v>0</v>
      </c>
      <c r="N1549">
        <v>0</v>
      </c>
      <c r="O1549">
        <v>0</v>
      </c>
      <c r="P1549">
        <v>7</v>
      </c>
      <c r="Q1549">
        <v>58</v>
      </c>
      <c r="R1549">
        <v>0</v>
      </c>
      <c r="S1549">
        <v>0</v>
      </c>
      <c r="T1549">
        <v>21</v>
      </c>
      <c r="U1549">
        <v>10</v>
      </c>
      <c r="V1549">
        <v>16</v>
      </c>
      <c r="W1549">
        <v>0</v>
      </c>
      <c r="X1549">
        <v>0</v>
      </c>
    </row>
    <row r="1550" spans="1:24" x14ac:dyDescent="0.2">
      <c r="A1550">
        <v>16000300</v>
      </c>
      <c r="B1550" t="s">
        <v>1549</v>
      </c>
      <c r="C1550">
        <v>300</v>
      </c>
      <c r="D1550">
        <v>300</v>
      </c>
      <c r="E1550">
        <v>10000</v>
      </c>
      <c r="F1550">
        <v>99</v>
      </c>
      <c r="G1550">
        <v>0</v>
      </c>
      <c r="H1550">
        <v>0</v>
      </c>
      <c r="I1550">
        <v>0</v>
      </c>
      <c r="J1550">
        <v>0</v>
      </c>
      <c r="K1550">
        <v>8</v>
      </c>
      <c r="L1550">
        <v>0</v>
      </c>
      <c r="M1550">
        <v>0</v>
      </c>
      <c r="N1550">
        <v>0</v>
      </c>
      <c r="O1550">
        <v>0</v>
      </c>
      <c r="P1550">
        <v>46</v>
      </c>
      <c r="Q1550">
        <v>46</v>
      </c>
      <c r="R1550">
        <v>0</v>
      </c>
      <c r="S1550">
        <v>0</v>
      </c>
      <c r="T1550">
        <v>21</v>
      </c>
      <c r="U1550">
        <v>10</v>
      </c>
      <c r="V1550">
        <v>16</v>
      </c>
      <c r="W1550">
        <v>0</v>
      </c>
      <c r="X1550">
        <v>0</v>
      </c>
    </row>
    <row r="1551" spans="1:24" x14ac:dyDescent="0.2">
      <c r="A1551">
        <v>16000400</v>
      </c>
      <c r="B1551" t="s">
        <v>1550</v>
      </c>
      <c r="C1551">
        <v>500</v>
      </c>
      <c r="D1551">
        <v>500</v>
      </c>
      <c r="E1551">
        <v>10000</v>
      </c>
      <c r="F1551">
        <v>99</v>
      </c>
      <c r="G1551">
        <v>99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15</v>
      </c>
      <c r="Q1551">
        <v>58</v>
      </c>
      <c r="R1551">
        <v>73</v>
      </c>
      <c r="S1551">
        <v>0</v>
      </c>
      <c r="T1551">
        <v>21</v>
      </c>
      <c r="U1551">
        <v>10</v>
      </c>
      <c r="V1551">
        <v>16</v>
      </c>
      <c r="W1551">
        <v>0</v>
      </c>
      <c r="X1551">
        <v>0</v>
      </c>
    </row>
    <row r="1552" spans="1:24" x14ac:dyDescent="0.2">
      <c r="A1552">
        <v>16000500</v>
      </c>
      <c r="B1552" t="s">
        <v>1551</v>
      </c>
      <c r="C1552">
        <v>400</v>
      </c>
      <c r="D1552">
        <v>400</v>
      </c>
      <c r="E1552">
        <v>10000</v>
      </c>
      <c r="F1552">
        <v>99</v>
      </c>
      <c r="G1552">
        <v>99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15</v>
      </c>
      <c r="Q1552">
        <v>58</v>
      </c>
      <c r="R1552">
        <v>73</v>
      </c>
      <c r="S1552">
        <v>0</v>
      </c>
      <c r="T1552">
        <v>21</v>
      </c>
      <c r="U1552">
        <v>10</v>
      </c>
      <c r="V1552">
        <v>16</v>
      </c>
      <c r="W1552">
        <v>0</v>
      </c>
      <c r="X1552">
        <v>0</v>
      </c>
    </row>
    <row r="1553" spans="1:24" x14ac:dyDescent="0.2">
      <c r="A1553">
        <v>16000600</v>
      </c>
      <c r="B1553" t="s">
        <v>1552</v>
      </c>
      <c r="C1553">
        <v>600</v>
      </c>
      <c r="D1553">
        <v>600</v>
      </c>
      <c r="E1553">
        <v>10000</v>
      </c>
      <c r="F1553">
        <v>99</v>
      </c>
      <c r="G1553">
        <v>0</v>
      </c>
      <c r="H1553">
        <v>99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15</v>
      </c>
      <c r="Q1553">
        <v>58</v>
      </c>
      <c r="R1553">
        <v>0</v>
      </c>
      <c r="S1553">
        <v>0</v>
      </c>
      <c r="T1553">
        <v>21</v>
      </c>
      <c r="U1553">
        <v>10</v>
      </c>
      <c r="V1553">
        <v>16</v>
      </c>
      <c r="W1553">
        <v>0</v>
      </c>
      <c r="X1553">
        <v>0</v>
      </c>
    </row>
    <row r="1554" spans="1:24" x14ac:dyDescent="0.2">
      <c r="A1554">
        <v>16000700</v>
      </c>
      <c r="B1554" t="s">
        <v>1553</v>
      </c>
      <c r="C1554">
        <v>700</v>
      </c>
      <c r="D1554">
        <v>700</v>
      </c>
      <c r="E1554">
        <v>10000</v>
      </c>
      <c r="F1554">
        <v>99</v>
      </c>
      <c r="G1554">
        <v>0</v>
      </c>
      <c r="H1554">
        <v>99</v>
      </c>
      <c r="I1554">
        <v>0</v>
      </c>
      <c r="J1554">
        <v>0</v>
      </c>
      <c r="K1554">
        <v>0</v>
      </c>
      <c r="L1554">
        <v>0</v>
      </c>
      <c r="M1554">
        <v>4</v>
      </c>
      <c r="N1554">
        <v>0</v>
      </c>
      <c r="O1554">
        <v>0</v>
      </c>
      <c r="P1554">
        <v>15</v>
      </c>
      <c r="Q1554">
        <v>58</v>
      </c>
      <c r="R1554">
        <v>73</v>
      </c>
      <c r="S1554">
        <v>73</v>
      </c>
      <c r="T1554">
        <v>21</v>
      </c>
      <c r="U1554">
        <v>10</v>
      </c>
      <c r="V1554">
        <v>16</v>
      </c>
      <c r="W1554">
        <v>0</v>
      </c>
      <c r="X1554">
        <v>0</v>
      </c>
    </row>
    <row r="1555" spans="1:24" x14ac:dyDescent="0.2">
      <c r="A1555">
        <v>16000800</v>
      </c>
      <c r="B1555" t="s">
        <v>1554</v>
      </c>
      <c r="C1555">
        <v>800</v>
      </c>
      <c r="D1555">
        <v>800</v>
      </c>
      <c r="E1555">
        <v>10000</v>
      </c>
      <c r="F1555">
        <v>99</v>
      </c>
      <c r="G1555">
        <v>0</v>
      </c>
      <c r="H1555">
        <v>0</v>
      </c>
      <c r="I1555">
        <v>99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15</v>
      </c>
      <c r="Q1555">
        <v>58</v>
      </c>
      <c r="R1555">
        <v>0</v>
      </c>
      <c r="S1555">
        <v>73</v>
      </c>
      <c r="T1555">
        <v>21</v>
      </c>
      <c r="U1555">
        <v>10</v>
      </c>
      <c r="V1555">
        <v>16</v>
      </c>
      <c r="W1555">
        <v>0</v>
      </c>
      <c r="X1555">
        <v>0</v>
      </c>
    </row>
    <row r="1556" spans="1:24" x14ac:dyDescent="0.2">
      <c r="A1556">
        <v>16000900</v>
      </c>
      <c r="B1556" t="s">
        <v>1555</v>
      </c>
      <c r="C1556">
        <v>900</v>
      </c>
      <c r="D1556">
        <v>900</v>
      </c>
      <c r="E1556">
        <v>10000</v>
      </c>
      <c r="F1556">
        <v>99</v>
      </c>
      <c r="G1556">
        <v>0</v>
      </c>
      <c r="H1556">
        <v>0</v>
      </c>
      <c r="I1556">
        <v>0</v>
      </c>
      <c r="J1556">
        <v>99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15</v>
      </c>
      <c r="Q1556">
        <v>58</v>
      </c>
      <c r="R1556">
        <v>0</v>
      </c>
      <c r="S1556">
        <v>0</v>
      </c>
      <c r="T1556">
        <v>21</v>
      </c>
      <c r="U1556">
        <v>10</v>
      </c>
      <c r="V1556">
        <v>16</v>
      </c>
      <c r="W1556">
        <v>0</v>
      </c>
      <c r="X1556">
        <v>0</v>
      </c>
    </row>
    <row r="1557" spans="1:24" x14ac:dyDescent="0.2">
      <c r="A1557">
        <v>16001000</v>
      </c>
      <c r="B1557" t="s">
        <v>1556</v>
      </c>
      <c r="C1557">
        <v>1000</v>
      </c>
      <c r="D1557">
        <v>1000</v>
      </c>
      <c r="E1557">
        <v>10000</v>
      </c>
      <c r="F1557">
        <v>99</v>
      </c>
      <c r="G1557">
        <v>0</v>
      </c>
      <c r="H1557">
        <v>0</v>
      </c>
      <c r="I1557">
        <v>0</v>
      </c>
      <c r="J1557">
        <v>99</v>
      </c>
      <c r="K1557">
        <v>0</v>
      </c>
      <c r="L1557">
        <v>0</v>
      </c>
      <c r="M1557">
        <v>0</v>
      </c>
      <c r="N1557">
        <v>0</v>
      </c>
      <c r="O1557">
        <v>4</v>
      </c>
      <c r="P1557">
        <v>15</v>
      </c>
      <c r="Q1557">
        <v>58</v>
      </c>
      <c r="R1557">
        <v>73</v>
      </c>
      <c r="S1557">
        <v>73</v>
      </c>
      <c r="T1557">
        <v>21</v>
      </c>
      <c r="U1557">
        <v>10</v>
      </c>
      <c r="V1557">
        <v>16</v>
      </c>
      <c r="W1557">
        <v>0</v>
      </c>
      <c r="X1557">
        <v>0</v>
      </c>
    </row>
    <row r="1558" spans="1:24" x14ac:dyDescent="0.2">
      <c r="A1558">
        <v>16001100</v>
      </c>
      <c r="B1558" t="s">
        <v>1557</v>
      </c>
      <c r="C1558">
        <v>1100</v>
      </c>
      <c r="D1558">
        <v>1100</v>
      </c>
      <c r="E1558">
        <v>10000</v>
      </c>
      <c r="F1558">
        <v>99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15</v>
      </c>
      <c r="Q1558">
        <v>58</v>
      </c>
      <c r="R1558">
        <v>0</v>
      </c>
      <c r="S1558">
        <v>0</v>
      </c>
      <c r="T1558">
        <v>21</v>
      </c>
      <c r="U1558">
        <v>10</v>
      </c>
      <c r="V1558">
        <v>16</v>
      </c>
      <c r="W1558">
        <v>0</v>
      </c>
      <c r="X1558">
        <v>0</v>
      </c>
    </row>
    <row r="1559" spans="1:24" x14ac:dyDescent="0.2">
      <c r="A1559">
        <v>16001200</v>
      </c>
      <c r="B1559" t="s">
        <v>1558</v>
      </c>
      <c r="C1559">
        <v>1200</v>
      </c>
      <c r="D1559">
        <v>1200</v>
      </c>
      <c r="E1559">
        <v>10000</v>
      </c>
      <c r="F1559">
        <v>99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15</v>
      </c>
      <c r="Q1559">
        <v>58</v>
      </c>
      <c r="R1559">
        <v>0</v>
      </c>
      <c r="S1559">
        <v>0</v>
      </c>
      <c r="T1559">
        <v>21</v>
      </c>
      <c r="U1559">
        <v>10</v>
      </c>
      <c r="V1559">
        <v>16</v>
      </c>
      <c r="W1559">
        <v>0</v>
      </c>
      <c r="X1559">
        <v>0</v>
      </c>
    </row>
    <row r="1560" spans="1:24" x14ac:dyDescent="0.2">
      <c r="A1560">
        <v>16001300</v>
      </c>
      <c r="B1560" t="s">
        <v>1559</v>
      </c>
      <c r="C1560">
        <v>1300</v>
      </c>
      <c r="D1560">
        <v>1300</v>
      </c>
      <c r="E1560">
        <v>10000</v>
      </c>
      <c r="F1560">
        <v>104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15</v>
      </c>
      <c r="Q1560">
        <v>58</v>
      </c>
      <c r="R1560">
        <v>0</v>
      </c>
      <c r="S1560">
        <v>0</v>
      </c>
      <c r="T1560">
        <v>21</v>
      </c>
      <c r="U1560">
        <v>10</v>
      </c>
      <c r="V1560">
        <v>16</v>
      </c>
      <c r="W1560">
        <v>0</v>
      </c>
      <c r="X1560">
        <v>0</v>
      </c>
    </row>
    <row r="1561" spans="1:24" x14ac:dyDescent="0.2">
      <c r="A1561">
        <v>16001400</v>
      </c>
      <c r="B1561" t="s">
        <v>1560</v>
      </c>
      <c r="C1561">
        <v>1400</v>
      </c>
      <c r="D1561">
        <v>1400</v>
      </c>
      <c r="E1561">
        <v>10014</v>
      </c>
      <c r="F1561">
        <v>99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15</v>
      </c>
      <c r="Q1561">
        <v>58</v>
      </c>
      <c r="R1561">
        <v>0</v>
      </c>
      <c r="S1561">
        <v>73</v>
      </c>
      <c r="T1561">
        <v>21</v>
      </c>
      <c r="U1561">
        <v>10</v>
      </c>
      <c r="V1561">
        <v>16</v>
      </c>
      <c r="W1561">
        <v>0</v>
      </c>
      <c r="X1561">
        <v>0</v>
      </c>
    </row>
    <row r="1562" spans="1:24" x14ac:dyDescent="0.2">
      <c r="A1562">
        <v>16001500</v>
      </c>
      <c r="B1562" t="s">
        <v>1561</v>
      </c>
      <c r="C1562">
        <v>1500</v>
      </c>
      <c r="D1562">
        <v>1500</v>
      </c>
      <c r="E1562">
        <v>10015</v>
      </c>
      <c r="F1562">
        <v>99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15</v>
      </c>
      <c r="Q1562">
        <v>58</v>
      </c>
      <c r="R1562">
        <v>0</v>
      </c>
      <c r="S1562">
        <v>0</v>
      </c>
      <c r="T1562">
        <v>21</v>
      </c>
      <c r="U1562">
        <v>10</v>
      </c>
      <c r="V1562">
        <v>16</v>
      </c>
      <c r="W1562">
        <v>0</v>
      </c>
      <c r="X1562">
        <v>0</v>
      </c>
    </row>
    <row r="1563" spans="1:24" x14ac:dyDescent="0.2">
      <c r="A1563">
        <v>16020000</v>
      </c>
      <c r="B1563" t="s">
        <v>1562</v>
      </c>
      <c r="C1563">
        <v>0</v>
      </c>
      <c r="D1563">
        <v>0</v>
      </c>
      <c r="E1563">
        <v>10000</v>
      </c>
      <c r="F1563">
        <v>93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31</v>
      </c>
      <c r="Q1563">
        <v>45</v>
      </c>
      <c r="R1563">
        <v>0</v>
      </c>
      <c r="S1563">
        <v>0</v>
      </c>
      <c r="T1563">
        <v>23</v>
      </c>
      <c r="U1563">
        <v>10</v>
      </c>
      <c r="V1563">
        <v>18</v>
      </c>
      <c r="W1563">
        <v>0</v>
      </c>
      <c r="X1563">
        <v>0</v>
      </c>
    </row>
    <row r="1564" spans="1:24" x14ac:dyDescent="0.2">
      <c r="A1564">
        <v>16020100</v>
      </c>
      <c r="B1564" t="s">
        <v>1563</v>
      </c>
      <c r="C1564">
        <v>200</v>
      </c>
      <c r="D1564">
        <v>100</v>
      </c>
      <c r="E1564">
        <v>10000</v>
      </c>
      <c r="F1564">
        <v>93</v>
      </c>
      <c r="G1564">
        <v>0</v>
      </c>
      <c r="H1564">
        <v>0</v>
      </c>
      <c r="I1564">
        <v>0</v>
      </c>
      <c r="J1564">
        <v>0</v>
      </c>
      <c r="K1564">
        <v>1</v>
      </c>
      <c r="L1564">
        <v>0</v>
      </c>
      <c r="M1564">
        <v>0</v>
      </c>
      <c r="N1564">
        <v>0</v>
      </c>
      <c r="O1564">
        <v>0</v>
      </c>
      <c r="P1564">
        <v>41</v>
      </c>
      <c r="Q1564">
        <v>0</v>
      </c>
      <c r="R1564">
        <v>0</v>
      </c>
      <c r="S1564">
        <v>0</v>
      </c>
      <c r="T1564">
        <v>23</v>
      </c>
      <c r="U1564">
        <v>10</v>
      </c>
      <c r="V1564">
        <v>18</v>
      </c>
      <c r="W1564">
        <v>0</v>
      </c>
      <c r="X1564">
        <v>0</v>
      </c>
    </row>
    <row r="1565" spans="1:24" x14ac:dyDescent="0.2">
      <c r="A1565">
        <v>16020200</v>
      </c>
      <c r="B1565" t="s">
        <v>1564</v>
      </c>
      <c r="C1565">
        <v>100</v>
      </c>
      <c r="D1565">
        <v>5000</v>
      </c>
      <c r="E1565">
        <v>10000</v>
      </c>
      <c r="F1565">
        <v>93</v>
      </c>
      <c r="G1565">
        <v>0</v>
      </c>
      <c r="H1565">
        <v>0</v>
      </c>
      <c r="I1565">
        <v>0</v>
      </c>
      <c r="J1565">
        <v>0</v>
      </c>
      <c r="K1565">
        <v>2</v>
      </c>
      <c r="L1565">
        <v>0</v>
      </c>
      <c r="M1565">
        <v>0</v>
      </c>
      <c r="N1565">
        <v>0</v>
      </c>
      <c r="O1565">
        <v>0</v>
      </c>
      <c r="P1565">
        <v>15</v>
      </c>
      <c r="Q1565">
        <v>54</v>
      </c>
      <c r="R1565">
        <v>0</v>
      </c>
      <c r="S1565">
        <v>0</v>
      </c>
      <c r="T1565">
        <v>23</v>
      </c>
      <c r="U1565">
        <v>10</v>
      </c>
      <c r="V1565">
        <v>18</v>
      </c>
      <c r="W1565">
        <v>0</v>
      </c>
      <c r="X1565">
        <v>0</v>
      </c>
    </row>
    <row r="1566" spans="1:24" x14ac:dyDescent="0.2">
      <c r="A1566">
        <v>16020300</v>
      </c>
      <c r="B1566" t="s">
        <v>1565</v>
      </c>
      <c r="C1566">
        <v>300</v>
      </c>
      <c r="D1566">
        <v>300</v>
      </c>
      <c r="E1566">
        <v>10000</v>
      </c>
      <c r="F1566">
        <v>93</v>
      </c>
      <c r="G1566">
        <v>0</v>
      </c>
      <c r="H1566">
        <v>0</v>
      </c>
      <c r="I1566">
        <v>0</v>
      </c>
      <c r="J1566">
        <v>0</v>
      </c>
      <c r="K1566">
        <v>8</v>
      </c>
      <c r="L1566">
        <v>0</v>
      </c>
      <c r="M1566">
        <v>0</v>
      </c>
      <c r="N1566">
        <v>0</v>
      </c>
      <c r="O1566">
        <v>0</v>
      </c>
      <c r="P1566">
        <v>43</v>
      </c>
      <c r="Q1566">
        <v>48</v>
      </c>
      <c r="R1566">
        <v>0</v>
      </c>
      <c r="S1566">
        <v>0</v>
      </c>
      <c r="T1566">
        <v>23</v>
      </c>
      <c r="U1566">
        <v>10</v>
      </c>
      <c r="V1566">
        <v>18</v>
      </c>
      <c r="W1566">
        <v>0</v>
      </c>
      <c r="X1566">
        <v>0</v>
      </c>
    </row>
    <row r="1567" spans="1:24" x14ac:dyDescent="0.2">
      <c r="A1567">
        <v>16020400</v>
      </c>
      <c r="B1567" t="s">
        <v>1566</v>
      </c>
      <c r="C1567">
        <v>500</v>
      </c>
      <c r="D1567">
        <v>500</v>
      </c>
      <c r="E1567">
        <v>10000</v>
      </c>
      <c r="F1567">
        <v>93</v>
      </c>
      <c r="G1567">
        <v>93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31</v>
      </c>
      <c r="Q1567">
        <v>45</v>
      </c>
      <c r="R1567">
        <v>76</v>
      </c>
      <c r="S1567">
        <v>0</v>
      </c>
      <c r="T1567">
        <v>23</v>
      </c>
      <c r="U1567">
        <v>10</v>
      </c>
      <c r="V1567">
        <v>18</v>
      </c>
      <c r="W1567">
        <v>0</v>
      </c>
      <c r="X1567">
        <v>0</v>
      </c>
    </row>
    <row r="1568" spans="1:24" x14ac:dyDescent="0.2">
      <c r="A1568">
        <v>16020500</v>
      </c>
      <c r="B1568" t="s">
        <v>1567</v>
      </c>
      <c r="C1568">
        <v>400</v>
      </c>
      <c r="D1568">
        <v>400</v>
      </c>
      <c r="E1568">
        <v>10000</v>
      </c>
      <c r="F1568">
        <v>93</v>
      </c>
      <c r="G1568">
        <v>93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31</v>
      </c>
      <c r="Q1568">
        <v>45</v>
      </c>
      <c r="R1568">
        <v>76</v>
      </c>
      <c r="S1568">
        <v>0</v>
      </c>
      <c r="T1568">
        <v>23</v>
      </c>
      <c r="U1568">
        <v>10</v>
      </c>
      <c r="V1568">
        <v>18</v>
      </c>
      <c r="W1568">
        <v>0</v>
      </c>
      <c r="X1568">
        <v>0</v>
      </c>
    </row>
    <row r="1569" spans="1:24" x14ac:dyDescent="0.2">
      <c r="A1569">
        <v>16020600</v>
      </c>
      <c r="B1569" t="s">
        <v>1568</v>
      </c>
      <c r="C1569">
        <v>600</v>
      </c>
      <c r="D1569">
        <v>600</v>
      </c>
      <c r="E1569">
        <v>10000</v>
      </c>
      <c r="F1569">
        <v>93</v>
      </c>
      <c r="G1569">
        <v>0</v>
      </c>
      <c r="H1569">
        <v>93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31</v>
      </c>
      <c r="Q1569">
        <v>45</v>
      </c>
      <c r="R1569">
        <v>0</v>
      </c>
      <c r="S1569">
        <v>0</v>
      </c>
      <c r="T1569">
        <v>23</v>
      </c>
      <c r="U1569">
        <v>10</v>
      </c>
      <c r="V1569">
        <v>18</v>
      </c>
      <c r="W1569">
        <v>0</v>
      </c>
      <c r="X1569">
        <v>0</v>
      </c>
    </row>
    <row r="1570" spans="1:24" x14ac:dyDescent="0.2">
      <c r="A1570">
        <v>16020700</v>
      </c>
      <c r="B1570" t="s">
        <v>1569</v>
      </c>
      <c r="C1570">
        <v>700</v>
      </c>
      <c r="D1570">
        <v>700</v>
      </c>
      <c r="E1570">
        <v>10000</v>
      </c>
      <c r="F1570">
        <v>93</v>
      </c>
      <c r="G1570">
        <v>0</v>
      </c>
      <c r="H1570">
        <v>93</v>
      </c>
      <c r="I1570">
        <v>0</v>
      </c>
      <c r="J1570">
        <v>0</v>
      </c>
      <c r="K1570">
        <v>0</v>
      </c>
      <c r="L1570">
        <v>0</v>
      </c>
      <c r="M1570">
        <v>4</v>
      </c>
      <c r="N1570">
        <v>0</v>
      </c>
      <c r="O1570">
        <v>0</v>
      </c>
      <c r="P1570">
        <v>31</v>
      </c>
      <c r="Q1570">
        <v>45</v>
      </c>
      <c r="R1570">
        <v>76</v>
      </c>
      <c r="S1570">
        <v>76</v>
      </c>
      <c r="T1570">
        <v>23</v>
      </c>
      <c r="U1570">
        <v>10</v>
      </c>
      <c r="V1570">
        <v>18</v>
      </c>
      <c r="W1570">
        <v>0</v>
      </c>
      <c r="X1570">
        <v>0</v>
      </c>
    </row>
    <row r="1571" spans="1:24" x14ac:dyDescent="0.2">
      <c r="A1571">
        <v>16020800</v>
      </c>
      <c r="B1571" t="s">
        <v>1570</v>
      </c>
      <c r="C1571">
        <v>800</v>
      </c>
      <c r="D1571">
        <v>800</v>
      </c>
      <c r="E1571">
        <v>10000</v>
      </c>
      <c r="F1571">
        <v>93</v>
      </c>
      <c r="G1571">
        <v>0</v>
      </c>
      <c r="H1571">
        <v>0</v>
      </c>
      <c r="I1571">
        <v>93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31</v>
      </c>
      <c r="Q1571">
        <v>45</v>
      </c>
      <c r="R1571">
        <v>0</v>
      </c>
      <c r="S1571">
        <v>76</v>
      </c>
      <c r="T1571">
        <v>23</v>
      </c>
      <c r="U1571">
        <v>10</v>
      </c>
      <c r="V1571">
        <v>18</v>
      </c>
      <c r="W1571">
        <v>0</v>
      </c>
      <c r="X1571">
        <v>0</v>
      </c>
    </row>
    <row r="1572" spans="1:24" x14ac:dyDescent="0.2">
      <c r="A1572">
        <v>16020900</v>
      </c>
      <c r="B1572" t="s">
        <v>1571</v>
      </c>
      <c r="C1572">
        <v>900</v>
      </c>
      <c r="D1572">
        <v>900</v>
      </c>
      <c r="E1572">
        <v>10000</v>
      </c>
      <c r="F1572">
        <v>93</v>
      </c>
      <c r="G1572">
        <v>0</v>
      </c>
      <c r="H1572">
        <v>0</v>
      </c>
      <c r="I1572">
        <v>0</v>
      </c>
      <c r="J1572">
        <v>93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31</v>
      </c>
      <c r="Q1572">
        <v>45</v>
      </c>
      <c r="R1572">
        <v>0</v>
      </c>
      <c r="S1572">
        <v>0</v>
      </c>
      <c r="T1572">
        <v>23</v>
      </c>
      <c r="U1572">
        <v>10</v>
      </c>
      <c r="V1572">
        <v>18</v>
      </c>
      <c r="W1572">
        <v>0</v>
      </c>
      <c r="X1572">
        <v>0</v>
      </c>
    </row>
    <row r="1573" spans="1:24" x14ac:dyDescent="0.2">
      <c r="A1573">
        <v>16021000</v>
      </c>
      <c r="B1573" t="s">
        <v>1572</v>
      </c>
      <c r="C1573">
        <v>1000</v>
      </c>
      <c r="D1573">
        <v>1000</v>
      </c>
      <c r="E1573">
        <v>10000</v>
      </c>
      <c r="F1573">
        <v>93</v>
      </c>
      <c r="G1573">
        <v>0</v>
      </c>
      <c r="H1573">
        <v>0</v>
      </c>
      <c r="I1573">
        <v>0</v>
      </c>
      <c r="J1573">
        <v>93</v>
      </c>
      <c r="K1573">
        <v>0</v>
      </c>
      <c r="L1573">
        <v>0</v>
      </c>
      <c r="M1573">
        <v>0</v>
      </c>
      <c r="N1573">
        <v>0</v>
      </c>
      <c r="O1573">
        <v>4</v>
      </c>
      <c r="P1573">
        <v>31</v>
      </c>
      <c r="Q1573">
        <v>45</v>
      </c>
      <c r="R1573">
        <v>76</v>
      </c>
      <c r="S1573">
        <v>76</v>
      </c>
      <c r="T1573">
        <v>23</v>
      </c>
      <c r="U1573">
        <v>10</v>
      </c>
      <c r="V1573">
        <v>18</v>
      </c>
      <c r="W1573">
        <v>0</v>
      </c>
      <c r="X1573">
        <v>0</v>
      </c>
    </row>
    <row r="1574" spans="1:24" x14ac:dyDescent="0.2">
      <c r="A1574">
        <v>16021100</v>
      </c>
      <c r="B1574" t="s">
        <v>1573</v>
      </c>
      <c r="C1574">
        <v>1100</v>
      </c>
      <c r="D1574">
        <v>1100</v>
      </c>
      <c r="E1574">
        <v>10000</v>
      </c>
      <c r="F1574">
        <v>93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31</v>
      </c>
      <c r="Q1574">
        <v>45</v>
      </c>
      <c r="R1574">
        <v>0</v>
      </c>
      <c r="S1574">
        <v>0</v>
      </c>
      <c r="T1574">
        <v>23</v>
      </c>
      <c r="U1574">
        <v>10</v>
      </c>
      <c r="V1574">
        <v>18</v>
      </c>
      <c r="W1574">
        <v>0</v>
      </c>
      <c r="X1574">
        <v>0</v>
      </c>
    </row>
    <row r="1575" spans="1:24" x14ac:dyDescent="0.2">
      <c r="A1575">
        <v>16021200</v>
      </c>
      <c r="B1575" t="s">
        <v>1574</v>
      </c>
      <c r="C1575">
        <v>1200</v>
      </c>
      <c r="D1575">
        <v>1200</v>
      </c>
      <c r="E1575">
        <v>10000</v>
      </c>
      <c r="F1575">
        <v>93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31</v>
      </c>
      <c r="Q1575">
        <v>45</v>
      </c>
      <c r="R1575">
        <v>0</v>
      </c>
      <c r="S1575">
        <v>0</v>
      </c>
      <c r="T1575">
        <v>23</v>
      </c>
      <c r="U1575">
        <v>10</v>
      </c>
      <c r="V1575">
        <v>18</v>
      </c>
      <c r="W1575">
        <v>0</v>
      </c>
      <c r="X1575">
        <v>0</v>
      </c>
    </row>
    <row r="1576" spans="1:24" x14ac:dyDescent="0.2">
      <c r="A1576">
        <v>16021300</v>
      </c>
      <c r="B1576" t="s">
        <v>1575</v>
      </c>
      <c r="C1576">
        <v>1300</v>
      </c>
      <c r="D1576">
        <v>1300</v>
      </c>
      <c r="E1576">
        <v>10000</v>
      </c>
      <c r="F1576">
        <v>98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31</v>
      </c>
      <c r="Q1576">
        <v>45</v>
      </c>
      <c r="R1576">
        <v>0</v>
      </c>
      <c r="S1576">
        <v>0</v>
      </c>
      <c r="T1576">
        <v>23</v>
      </c>
      <c r="U1576">
        <v>10</v>
      </c>
      <c r="V1576">
        <v>18</v>
      </c>
      <c r="W1576">
        <v>0</v>
      </c>
      <c r="X1576">
        <v>0</v>
      </c>
    </row>
    <row r="1577" spans="1:24" x14ac:dyDescent="0.2">
      <c r="A1577">
        <v>16021400</v>
      </c>
      <c r="B1577" t="s">
        <v>1576</v>
      </c>
      <c r="C1577">
        <v>1400</v>
      </c>
      <c r="D1577">
        <v>1400</v>
      </c>
      <c r="E1577">
        <v>10014</v>
      </c>
      <c r="F1577">
        <v>93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31</v>
      </c>
      <c r="Q1577">
        <v>45</v>
      </c>
      <c r="R1577">
        <v>0</v>
      </c>
      <c r="S1577">
        <v>76</v>
      </c>
      <c r="T1577">
        <v>23</v>
      </c>
      <c r="U1577">
        <v>10</v>
      </c>
      <c r="V1577">
        <v>18</v>
      </c>
      <c r="W1577">
        <v>0</v>
      </c>
      <c r="X1577">
        <v>0</v>
      </c>
    </row>
    <row r="1578" spans="1:24" x14ac:dyDescent="0.2">
      <c r="A1578">
        <v>16021500</v>
      </c>
      <c r="B1578" t="s">
        <v>1577</v>
      </c>
      <c r="C1578">
        <v>1500</v>
      </c>
      <c r="D1578">
        <v>1500</v>
      </c>
      <c r="E1578">
        <v>10015</v>
      </c>
      <c r="F1578">
        <v>93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31</v>
      </c>
      <c r="Q1578">
        <v>45</v>
      </c>
      <c r="R1578">
        <v>0</v>
      </c>
      <c r="S1578">
        <v>0</v>
      </c>
      <c r="T1578">
        <v>23</v>
      </c>
      <c r="U1578">
        <v>10</v>
      </c>
      <c r="V1578">
        <v>18</v>
      </c>
      <c r="W1578">
        <v>0</v>
      </c>
      <c r="X1578">
        <v>0</v>
      </c>
    </row>
    <row r="1579" spans="1:24" x14ac:dyDescent="0.2">
      <c r="A1579">
        <v>16030000</v>
      </c>
      <c r="B1579" t="s">
        <v>1578</v>
      </c>
      <c r="C1579">
        <v>0</v>
      </c>
      <c r="D1579">
        <v>0</v>
      </c>
      <c r="E1579">
        <v>10000</v>
      </c>
      <c r="F1579">
        <v>122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45</v>
      </c>
      <c r="Q1579">
        <v>25</v>
      </c>
      <c r="R1579">
        <v>0</v>
      </c>
      <c r="S1579">
        <v>0</v>
      </c>
      <c r="T1579">
        <v>17</v>
      </c>
      <c r="U1579">
        <v>20</v>
      </c>
      <c r="V1579">
        <v>12</v>
      </c>
      <c r="W1579">
        <v>0</v>
      </c>
      <c r="X1579">
        <v>0</v>
      </c>
    </row>
    <row r="1580" spans="1:24" x14ac:dyDescent="0.2">
      <c r="A1580">
        <v>16030100</v>
      </c>
      <c r="B1580" t="s">
        <v>1579</v>
      </c>
      <c r="C1580">
        <v>200</v>
      </c>
      <c r="D1580">
        <v>6200</v>
      </c>
      <c r="E1580">
        <v>10000</v>
      </c>
      <c r="F1580">
        <v>122</v>
      </c>
      <c r="G1580">
        <v>0</v>
      </c>
      <c r="H1580">
        <v>0</v>
      </c>
      <c r="I1580">
        <v>0</v>
      </c>
      <c r="J1580">
        <v>0</v>
      </c>
      <c r="K1580">
        <v>1</v>
      </c>
      <c r="L1580">
        <v>0</v>
      </c>
      <c r="M1580">
        <v>0</v>
      </c>
      <c r="N1580">
        <v>0</v>
      </c>
      <c r="O1580">
        <v>0</v>
      </c>
      <c r="P1580">
        <v>43</v>
      </c>
      <c r="Q1580">
        <v>0</v>
      </c>
      <c r="R1580">
        <v>0</v>
      </c>
      <c r="S1580">
        <v>0</v>
      </c>
      <c r="T1580">
        <v>17</v>
      </c>
      <c r="U1580">
        <v>20</v>
      </c>
      <c r="V1580">
        <v>12</v>
      </c>
      <c r="W1580">
        <v>0</v>
      </c>
      <c r="X1580">
        <v>0</v>
      </c>
    </row>
    <row r="1581" spans="1:24" x14ac:dyDescent="0.2">
      <c r="A1581">
        <v>16030200</v>
      </c>
      <c r="B1581" t="s">
        <v>1580</v>
      </c>
      <c r="C1581">
        <v>100</v>
      </c>
      <c r="D1581">
        <v>6300</v>
      </c>
      <c r="E1581">
        <v>10000</v>
      </c>
      <c r="F1581">
        <v>122</v>
      </c>
      <c r="G1581">
        <v>0</v>
      </c>
      <c r="H1581">
        <v>0</v>
      </c>
      <c r="I1581">
        <v>0</v>
      </c>
      <c r="J1581">
        <v>0</v>
      </c>
      <c r="K1581">
        <v>2</v>
      </c>
      <c r="L1581">
        <v>0</v>
      </c>
      <c r="M1581">
        <v>0</v>
      </c>
      <c r="N1581">
        <v>0</v>
      </c>
      <c r="O1581">
        <v>0</v>
      </c>
      <c r="P1581">
        <v>23</v>
      </c>
      <c r="Q1581">
        <v>40</v>
      </c>
      <c r="R1581">
        <v>0</v>
      </c>
      <c r="S1581">
        <v>0</v>
      </c>
      <c r="T1581">
        <v>17</v>
      </c>
      <c r="U1581">
        <v>20</v>
      </c>
      <c r="V1581">
        <v>12</v>
      </c>
      <c r="W1581">
        <v>0</v>
      </c>
      <c r="X1581">
        <v>0</v>
      </c>
    </row>
    <row r="1582" spans="1:24" x14ac:dyDescent="0.2">
      <c r="A1582">
        <v>16030300</v>
      </c>
      <c r="B1582" t="s">
        <v>1581</v>
      </c>
      <c r="C1582">
        <v>300</v>
      </c>
      <c r="D1582">
        <v>6100</v>
      </c>
      <c r="E1582">
        <v>10000</v>
      </c>
      <c r="F1582">
        <v>122</v>
      </c>
      <c r="G1582">
        <v>0</v>
      </c>
      <c r="H1582">
        <v>0</v>
      </c>
      <c r="I1582">
        <v>0</v>
      </c>
      <c r="J1582">
        <v>0</v>
      </c>
      <c r="K1582">
        <v>8</v>
      </c>
      <c r="L1582">
        <v>0</v>
      </c>
      <c r="M1582">
        <v>0</v>
      </c>
      <c r="N1582">
        <v>0</v>
      </c>
      <c r="O1582">
        <v>0</v>
      </c>
      <c r="P1582">
        <v>40</v>
      </c>
      <c r="Q1582">
        <v>40</v>
      </c>
      <c r="R1582">
        <v>0</v>
      </c>
      <c r="S1582">
        <v>0</v>
      </c>
      <c r="T1582">
        <v>17</v>
      </c>
      <c r="U1582">
        <v>20</v>
      </c>
      <c r="V1582">
        <v>12</v>
      </c>
      <c r="W1582">
        <v>0</v>
      </c>
      <c r="X1582">
        <v>0</v>
      </c>
    </row>
    <row r="1583" spans="1:24" x14ac:dyDescent="0.2">
      <c r="A1583">
        <v>16030400</v>
      </c>
      <c r="B1583" t="s">
        <v>1582</v>
      </c>
      <c r="C1583">
        <v>500</v>
      </c>
      <c r="D1583">
        <v>500</v>
      </c>
      <c r="E1583">
        <v>10000</v>
      </c>
      <c r="F1583">
        <v>115</v>
      </c>
      <c r="G1583">
        <v>115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45</v>
      </c>
      <c r="Q1583">
        <v>25</v>
      </c>
      <c r="R1583">
        <v>70</v>
      </c>
      <c r="S1583">
        <v>0</v>
      </c>
      <c r="T1583">
        <v>17</v>
      </c>
      <c r="U1583">
        <v>20</v>
      </c>
      <c r="V1583">
        <v>12</v>
      </c>
      <c r="W1583">
        <v>0</v>
      </c>
      <c r="X1583">
        <v>0</v>
      </c>
    </row>
    <row r="1584" spans="1:24" x14ac:dyDescent="0.2">
      <c r="A1584">
        <v>16030500</v>
      </c>
      <c r="B1584" t="s">
        <v>1583</v>
      </c>
      <c r="C1584">
        <v>400</v>
      </c>
      <c r="D1584">
        <v>400</v>
      </c>
      <c r="E1584">
        <v>10000</v>
      </c>
      <c r="F1584">
        <v>115</v>
      </c>
      <c r="G1584">
        <v>115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45</v>
      </c>
      <c r="Q1584">
        <v>25</v>
      </c>
      <c r="R1584">
        <v>70</v>
      </c>
      <c r="S1584">
        <v>0</v>
      </c>
      <c r="T1584">
        <v>17</v>
      </c>
      <c r="U1584">
        <v>20</v>
      </c>
      <c r="V1584">
        <v>12</v>
      </c>
      <c r="W1584">
        <v>0</v>
      </c>
      <c r="X1584">
        <v>0</v>
      </c>
    </row>
    <row r="1585" spans="1:24" x14ac:dyDescent="0.2">
      <c r="A1585">
        <v>16030600</v>
      </c>
      <c r="B1585" t="s">
        <v>1584</v>
      </c>
      <c r="C1585">
        <v>600</v>
      </c>
      <c r="D1585">
        <v>600</v>
      </c>
      <c r="E1585">
        <v>10000</v>
      </c>
      <c r="F1585">
        <v>114</v>
      </c>
      <c r="G1585">
        <v>0</v>
      </c>
      <c r="H1585">
        <v>114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45</v>
      </c>
      <c r="Q1585">
        <v>25</v>
      </c>
      <c r="R1585">
        <v>0</v>
      </c>
      <c r="S1585">
        <v>0</v>
      </c>
      <c r="T1585">
        <v>17</v>
      </c>
      <c r="U1585">
        <v>20</v>
      </c>
      <c r="V1585">
        <v>12</v>
      </c>
      <c r="W1585">
        <v>0</v>
      </c>
      <c r="X1585">
        <v>0</v>
      </c>
    </row>
    <row r="1586" spans="1:24" x14ac:dyDescent="0.2">
      <c r="A1586">
        <v>16030700</v>
      </c>
      <c r="B1586" t="s">
        <v>1585</v>
      </c>
      <c r="C1586">
        <v>700</v>
      </c>
      <c r="D1586">
        <v>700</v>
      </c>
      <c r="E1586">
        <v>10000</v>
      </c>
      <c r="F1586">
        <v>115</v>
      </c>
      <c r="G1586">
        <v>0</v>
      </c>
      <c r="H1586">
        <v>115</v>
      </c>
      <c r="I1586">
        <v>0</v>
      </c>
      <c r="J1586">
        <v>0</v>
      </c>
      <c r="K1586">
        <v>0</v>
      </c>
      <c r="L1586">
        <v>0</v>
      </c>
      <c r="M1586">
        <v>4</v>
      </c>
      <c r="N1586">
        <v>0</v>
      </c>
      <c r="O1586">
        <v>0</v>
      </c>
      <c r="P1586">
        <v>45</v>
      </c>
      <c r="Q1586">
        <v>25</v>
      </c>
      <c r="R1586">
        <v>70</v>
      </c>
      <c r="S1586">
        <v>70</v>
      </c>
      <c r="T1586">
        <v>17</v>
      </c>
      <c r="U1586">
        <v>20</v>
      </c>
      <c r="V1586">
        <v>12</v>
      </c>
      <c r="W1586">
        <v>0</v>
      </c>
      <c r="X1586">
        <v>0</v>
      </c>
    </row>
    <row r="1587" spans="1:24" x14ac:dyDescent="0.2">
      <c r="A1587">
        <v>16030800</v>
      </c>
      <c r="B1587" t="s">
        <v>1586</v>
      </c>
      <c r="C1587">
        <v>800</v>
      </c>
      <c r="D1587">
        <v>800</v>
      </c>
      <c r="E1587">
        <v>10000</v>
      </c>
      <c r="F1587">
        <v>115</v>
      </c>
      <c r="G1587">
        <v>0</v>
      </c>
      <c r="H1587">
        <v>0</v>
      </c>
      <c r="I1587">
        <v>115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45</v>
      </c>
      <c r="Q1587">
        <v>25</v>
      </c>
      <c r="R1587">
        <v>0</v>
      </c>
      <c r="S1587">
        <v>70</v>
      </c>
      <c r="T1587">
        <v>17</v>
      </c>
      <c r="U1587">
        <v>20</v>
      </c>
      <c r="V1587">
        <v>12</v>
      </c>
      <c r="W1587">
        <v>0</v>
      </c>
      <c r="X1587">
        <v>0</v>
      </c>
    </row>
    <row r="1588" spans="1:24" x14ac:dyDescent="0.2">
      <c r="A1588">
        <v>16030900</v>
      </c>
      <c r="B1588" t="s">
        <v>1587</v>
      </c>
      <c r="C1588">
        <v>900</v>
      </c>
      <c r="D1588">
        <v>900</v>
      </c>
      <c r="E1588">
        <v>10000</v>
      </c>
      <c r="F1588">
        <v>114</v>
      </c>
      <c r="G1588">
        <v>0</v>
      </c>
      <c r="H1588">
        <v>0</v>
      </c>
      <c r="I1588">
        <v>0</v>
      </c>
      <c r="J1588">
        <v>114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45</v>
      </c>
      <c r="Q1588">
        <v>25</v>
      </c>
      <c r="R1588">
        <v>0</v>
      </c>
      <c r="S1588">
        <v>0</v>
      </c>
      <c r="T1588">
        <v>17</v>
      </c>
      <c r="U1588">
        <v>20</v>
      </c>
      <c r="V1588">
        <v>12</v>
      </c>
      <c r="W1588">
        <v>0</v>
      </c>
      <c r="X1588">
        <v>0</v>
      </c>
    </row>
    <row r="1589" spans="1:24" x14ac:dyDescent="0.2">
      <c r="A1589">
        <v>16031000</v>
      </c>
      <c r="B1589" t="s">
        <v>1588</v>
      </c>
      <c r="C1589">
        <v>1000</v>
      </c>
      <c r="D1589">
        <v>1000</v>
      </c>
      <c r="E1589">
        <v>10000</v>
      </c>
      <c r="F1589">
        <v>115</v>
      </c>
      <c r="G1589">
        <v>0</v>
      </c>
      <c r="H1589">
        <v>0</v>
      </c>
      <c r="I1589">
        <v>0</v>
      </c>
      <c r="J1589">
        <v>115</v>
      </c>
      <c r="K1589">
        <v>0</v>
      </c>
      <c r="L1589">
        <v>0</v>
      </c>
      <c r="M1589">
        <v>0</v>
      </c>
      <c r="N1589">
        <v>0</v>
      </c>
      <c r="O1589">
        <v>4</v>
      </c>
      <c r="P1589">
        <v>45</v>
      </c>
      <c r="Q1589">
        <v>25</v>
      </c>
      <c r="R1589">
        <v>70</v>
      </c>
      <c r="S1589">
        <v>70</v>
      </c>
      <c r="T1589">
        <v>17</v>
      </c>
      <c r="U1589">
        <v>20</v>
      </c>
      <c r="V1589">
        <v>12</v>
      </c>
      <c r="W1589">
        <v>0</v>
      </c>
      <c r="X1589">
        <v>0</v>
      </c>
    </row>
    <row r="1590" spans="1:24" x14ac:dyDescent="0.2">
      <c r="A1590">
        <v>16031100</v>
      </c>
      <c r="B1590" t="s">
        <v>1589</v>
      </c>
      <c r="C1590">
        <v>1100</v>
      </c>
      <c r="D1590">
        <v>1100</v>
      </c>
      <c r="E1590">
        <v>10000</v>
      </c>
      <c r="F1590">
        <v>122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45</v>
      </c>
      <c r="Q1590">
        <v>25</v>
      </c>
      <c r="R1590">
        <v>0</v>
      </c>
      <c r="S1590">
        <v>0</v>
      </c>
      <c r="T1590">
        <v>17</v>
      </c>
      <c r="U1590">
        <v>20</v>
      </c>
      <c r="V1590">
        <v>12</v>
      </c>
      <c r="W1590">
        <v>0</v>
      </c>
      <c r="X1590">
        <v>0</v>
      </c>
    </row>
    <row r="1591" spans="1:24" x14ac:dyDescent="0.2">
      <c r="A1591">
        <v>16031200</v>
      </c>
      <c r="B1591" t="s">
        <v>1590</v>
      </c>
      <c r="C1591">
        <v>1200</v>
      </c>
      <c r="D1591">
        <v>1200</v>
      </c>
      <c r="E1591">
        <v>10000</v>
      </c>
      <c r="F1591">
        <v>122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45</v>
      </c>
      <c r="Q1591">
        <v>25</v>
      </c>
      <c r="R1591">
        <v>0</v>
      </c>
      <c r="S1591">
        <v>0</v>
      </c>
      <c r="T1591">
        <v>17</v>
      </c>
      <c r="U1591">
        <v>20</v>
      </c>
      <c r="V1591">
        <v>12</v>
      </c>
      <c r="W1591">
        <v>0</v>
      </c>
      <c r="X1591">
        <v>0</v>
      </c>
    </row>
    <row r="1592" spans="1:24" x14ac:dyDescent="0.2">
      <c r="A1592">
        <v>16031300</v>
      </c>
      <c r="B1592" t="s">
        <v>1591</v>
      </c>
      <c r="C1592">
        <v>1300</v>
      </c>
      <c r="D1592">
        <v>1300</v>
      </c>
      <c r="E1592">
        <v>10000</v>
      </c>
      <c r="F1592">
        <v>121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45</v>
      </c>
      <c r="Q1592">
        <v>25</v>
      </c>
      <c r="R1592">
        <v>0</v>
      </c>
      <c r="S1592">
        <v>0</v>
      </c>
      <c r="T1592">
        <v>17</v>
      </c>
      <c r="U1592">
        <v>20</v>
      </c>
      <c r="V1592">
        <v>12</v>
      </c>
      <c r="W1592">
        <v>0</v>
      </c>
      <c r="X1592">
        <v>0</v>
      </c>
    </row>
    <row r="1593" spans="1:24" x14ac:dyDescent="0.2">
      <c r="A1593">
        <v>16031400</v>
      </c>
      <c r="B1593" t="s">
        <v>1592</v>
      </c>
      <c r="C1593">
        <v>1400</v>
      </c>
      <c r="D1593">
        <v>1400</v>
      </c>
      <c r="E1593">
        <v>10014</v>
      </c>
      <c r="F1593">
        <v>115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45</v>
      </c>
      <c r="Q1593">
        <v>25</v>
      </c>
      <c r="R1593">
        <v>0</v>
      </c>
      <c r="S1593">
        <v>70</v>
      </c>
      <c r="T1593">
        <v>17</v>
      </c>
      <c r="U1593">
        <v>20</v>
      </c>
      <c r="V1593">
        <v>12</v>
      </c>
      <c r="W1593">
        <v>0</v>
      </c>
      <c r="X1593">
        <v>0</v>
      </c>
    </row>
    <row r="1594" spans="1:24" x14ac:dyDescent="0.2">
      <c r="A1594">
        <v>16031500</v>
      </c>
      <c r="B1594" t="s">
        <v>1593</v>
      </c>
      <c r="C1594">
        <v>1500</v>
      </c>
      <c r="D1594">
        <v>1500</v>
      </c>
      <c r="E1594">
        <v>10015</v>
      </c>
      <c r="F1594">
        <v>122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45</v>
      </c>
      <c r="Q1594">
        <v>25</v>
      </c>
      <c r="R1594">
        <v>0</v>
      </c>
      <c r="S1594">
        <v>0</v>
      </c>
      <c r="T1594">
        <v>17</v>
      </c>
      <c r="U1594">
        <v>20</v>
      </c>
      <c r="V1594">
        <v>12</v>
      </c>
      <c r="W1594">
        <v>0</v>
      </c>
      <c r="X1594">
        <v>0</v>
      </c>
    </row>
    <row r="1595" spans="1:24" x14ac:dyDescent="0.2">
      <c r="A1595">
        <v>16040000</v>
      </c>
      <c r="B1595" t="s">
        <v>1594</v>
      </c>
      <c r="C1595">
        <v>2000</v>
      </c>
      <c r="D1595">
        <v>2100</v>
      </c>
      <c r="E1595">
        <v>10160420</v>
      </c>
      <c r="F1595">
        <v>72</v>
      </c>
      <c r="G1595">
        <v>57</v>
      </c>
      <c r="H1595">
        <v>57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26</v>
      </c>
      <c r="Q1595">
        <v>35</v>
      </c>
      <c r="R1595">
        <v>36</v>
      </c>
      <c r="S1595">
        <v>36</v>
      </c>
      <c r="T1595">
        <v>19</v>
      </c>
      <c r="U1595">
        <v>12</v>
      </c>
      <c r="V1595">
        <v>20</v>
      </c>
      <c r="W1595">
        <v>9</v>
      </c>
      <c r="X1595">
        <v>9</v>
      </c>
    </row>
    <row r="1596" spans="1:24" x14ac:dyDescent="0.2">
      <c r="A1596">
        <v>16050000</v>
      </c>
      <c r="B1596" t="s">
        <v>1595</v>
      </c>
      <c r="C1596">
        <v>0</v>
      </c>
      <c r="D1596">
        <v>0</v>
      </c>
      <c r="E1596">
        <v>10000</v>
      </c>
      <c r="F1596">
        <v>167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44</v>
      </c>
      <c r="Q1596">
        <v>16</v>
      </c>
      <c r="R1596">
        <v>0</v>
      </c>
      <c r="S1596">
        <v>0</v>
      </c>
      <c r="T1596">
        <v>18</v>
      </c>
      <c r="U1596">
        <v>24</v>
      </c>
      <c r="V1596">
        <v>10</v>
      </c>
      <c r="W1596">
        <v>0</v>
      </c>
      <c r="X1596">
        <v>0</v>
      </c>
    </row>
    <row r="1597" spans="1:24" x14ac:dyDescent="0.2">
      <c r="A1597">
        <v>16050100</v>
      </c>
      <c r="B1597" t="s">
        <v>1596</v>
      </c>
      <c r="C1597">
        <v>200</v>
      </c>
      <c r="D1597">
        <v>100</v>
      </c>
      <c r="E1597">
        <v>10000</v>
      </c>
      <c r="F1597">
        <v>167</v>
      </c>
      <c r="G1597">
        <v>0</v>
      </c>
      <c r="H1597">
        <v>0</v>
      </c>
      <c r="I1597">
        <v>0</v>
      </c>
      <c r="J1597">
        <v>0</v>
      </c>
      <c r="K1597">
        <v>1</v>
      </c>
      <c r="L1597">
        <v>0</v>
      </c>
      <c r="M1597">
        <v>0</v>
      </c>
      <c r="N1597">
        <v>0</v>
      </c>
      <c r="O1597">
        <v>0</v>
      </c>
      <c r="P1597">
        <v>41</v>
      </c>
      <c r="Q1597">
        <v>0</v>
      </c>
      <c r="R1597">
        <v>0</v>
      </c>
      <c r="S1597">
        <v>0</v>
      </c>
      <c r="T1597">
        <v>18</v>
      </c>
      <c r="U1597">
        <v>24</v>
      </c>
      <c r="V1597">
        <v>10</v>
      </c>
      <c r="W1597">
        <v>0</v>
      </c>
      <c r="X1597">
        <v>0</v>
      </c>
    </row>
    <row r="1598" spans="1:24" x14ac:dyDescent="0.2">
      <c r="A1598">
        <v>16050200</v>
      </c>
      <c r="B1598" t="s">
        <v>1597</v>
      </c>
      <c r="C1598">
        <v>100</v>
      </c>
      <c r="D1598">
        <v>200</v>
      </c>
      <c r="E1598">
        <v>10000</v>
      </c>
      <c r="F1598">
        <v>167</v>
      </c>
      <c r="G1598">
        <v>0</v>
      </c>
      <c r="H1598">
        <v>0</v>
      </c>
      <c r="I1598">
        <v>0</v>
      </c>
      <c r="J1598">
        <v>0</v>
      </c>
      <c r="K1598">
        <v>2</v>
      </c>
      <c r="L1598">
        <v>0</v>
      </c>
      <c r="M1598">
        <v>0</v>
      </c>
      <c r="N1598">
        <v>0</v>
      </c>
      <c r="O1598">
        <v>0</v>
      </c>
      <c r="P1598">
        <v>29</v>
      </c>
      <c r="Q1598">
        <v>31</v>
      </c>
      <c r="R1598">
        <v>0</v>
      </c>
      <c r="S1598">
        <v>0</v>
      </c>
      <c r="T1598">
        <v>18</v>
      </c>
      <c r="U1598">
        <v>24</v>
      </c>
      <c r="V1598">
        <v>10</v>
      </c>
      <c r="W1598">
        <v>0</v>
      </c>
      <c r="X1598">
        <v>0</v>
      </c>
    </row>
    <row r="1599" spans="1:24" x14ac:dyDescent="0.2">
      <c r="A1599">
        <v>16050300</v>
      </c>
      <c r="B1599" t="s">
        <v>1598</v>
      </c>
      <c r="C1599">
        <v>300</v>
      </c>
      <c r="D1599">
        <v>6100</v>
      </c>
      <c r="E1599">
        <v>10000</v>
      </c>
      <c r="F1599">
        <v>167</v>
      </c>
      <c r="G1599">
        <v>0</v>
      </c>
      <c r="H1599">
        <v>0</v>
      </c>
      <c r="I1599">
        <v>0</v>
      </c>
      <c r="J1599">
        <v>0</v>
      </c>
      <c r="K1599">
        <v>8</v>
      </c>
      <c r="L1599">
        <v>0</v>
      </c>
      <c r="M1599">
        <v>0</v>
      </c>
      <c r="N1599">
        <v>0</v>
      </c>
      <c r="O1599">
        <v>0</v>
      </c>
      <c r="P1599">
        <v>40</v>
      </c>
      <c r="Q1599">
        <v>35</v>
      </c>
      <c r="R1599">
        <v>0</v>
      </c>
      <c r="S1599">
        <v>0</v>
      </c>
      <c r="T1599">
        <v>18</v>
      </c>
      <c r="U1599">
        <v>24</v>
      </c>
      <c r="V1599">
        <v>10</v>
      </c>
      <c r="W1599">
        <v>0</v>
      </c>
      <c r="X1599">
        <v>0</v>
      </c>
    </row>
    <row r="1600" spans="1:24" x14ac:dyDescent="0.2">
      <c r="A1600">
        <v>16050400</v>
      </c>
      <c r="B1600" t="s">
        <v>1599</v>
      </c>
      <c r="C1600">
        <v>500</v>
      </c>
      <c r="D1600">
        <v>500</v>
      </c>
      <c r="E1600">
        <v>10000</v>
      </c>
      <c r="F1600">
        <v>157</v>
      </c>
      <c r="G1600">
        <v>157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44</v>
      </c>
      <c r="Q1600">
        <v>16</v>
      </c>
      <c r="R1600">
        <v>60</v>
      </c>
      <c r="S1600">
        <v>0</v>
      </c>
      <c r="T1600">
        <v>18</v>
      </c>
      <c r="U1600">
        <v>24</v>
      </c>
      <c r="V1600">
        <v>10</v>
      </c>
      <c r="W1600">
        <v>0</v>
      </c>
      <c r="X1600">
        <v>0</v>
      </c>
    </row>
    <row r="1601" spans="1:24" x14ac:dyDescent="0.2">
      <c r="A1601">
        <v>16050500</v>
      </c>
      <c r="B1601" t="s">
        <v>1600</v>
      </c>
      <c r="C1601">
        <v>400</v>
      </c>
      <c r="D1601">
        <v>400</v>
      </c>
      <c r="E1601">
        <v>10000</v>
      </c>
      <c r="F1601">
        <v>157</v>
      </c>
      <c r="G1601">
        <v>157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44</v>
      </c>
      <c r="Q1601">
        <v>16</v>
      </c>
      <c r="R1601">
        <v>60</v>
      </c>
      <c r="S1601">
        <v>0</v>
      </c>
      <c r="T1601">
        <v>18</v>
      </c>
      <c r="U1601">
        <v>24</v>
      </c>
      <c r="V1601">
        <v>10</v>
      </c>
      <c r="W1601">
        <v>0</v>
      </c>
      <c r="X1601">
        <v>0</v>
      </c>
    </row>
    <row r="1602" spans="1:24" x14ac:dyDescent="0.2">
      <c r="A1602">
        <v>16050600</v>
      </c>
      <c r="B1602" t="s">
        <v>1601</v>
      </c>
      <c r="C1602">
        <v>600</v>
      </c>
      <c r="D1602">
        <v>600</v>
      </c>
      <c r="E1602">
        <v>10000</v>
      </c>
      <c r="F1602">
        <v>147</v>
      </c>
      <c r="G1602">
        <v>0</v>
      </c>
      <c r="H1602">
        <v>147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44</v>
      </c>
      <c r="Q1602">
        <v>16</v>
      </c>
      <c r="R1602">
        <v>0</v>
      </c>
      <c r="S1602">
        <v>0</v>
      </c>
      <c r="T1602">
        <v>18</v>
      </c>
      <c r="U1602">
        <v>24</v>
      </c>
      <c r="V1602">
        <v>10</v>
      </c>
      <c r="W1602">
        <v>0</v>
      </c>
      <c r="X1602">
        <v>0</v>
      </c>
    </row>
    <row r="1603" spans="1:24" x14ac:dyDescent="0.2">
      <c r="A1603">
        <v>16050700</v>
      </c>
      <c r="B1603" t="s">
        <v>1602</v>
      </c>
      <c r="C1603">
        <v>700</v>
      </c>
      <c r="D1603">
        <v>700</v>
      </c>
      <c r="E1603">
        <v>10000</v>
      </c>
      <c r="F1603">
        <v>157</v>
      </c>
      <c r="G1603">
        <v>0</v>
      </c>
      <c r="H1603">
        <v>157</v>
      </c>
      <c r="I1603">
        <v>0</v>
      </c>
      <c r="J1603">
        <v>0</v>
      </c>
      <c r="K1603">
        <v>0</v>
      </c>
      <c r="L1603">
        <v>0</v>
      </c>
      <c r="M1603">
        <v>4</v>
      </c>
      <c r="N1603">
        <v>0</v>
      </c>
      <c r="O1603">
        <v>0</v>
      </c>
      <c r="P1603">
        <v>44</v>
      </c>
      <c r="Q1603">
        <v>16</v>
      </c>
      <c r="R1603">
        <v>60</v>
      </c>
      <c r="S1603">
        <v>60</v>
      </c>
      <c r="T1603">
        <v>18</v>
      </c>
      <c r="U1603">
        <v>24</v>
      </c>
      <c r="V1603">
        <v>10</v>
      </c>
      <c r="W1603">
        <v>0</v>
      </c>
      <c r="X1603">
        <v>0</v>
      </c>
    </row>
    <row r="1604" spans="1:24" x14ac:dyDescent="0.2">
      <c r="A1604">
        <v>16050800</v>
      </c>
      <c r="B1604" t="s">
        <v>1603</v>
      </c>
      <c r="C1604">
        <v>800</v>
      </c>
      <c r="D1604">
        <v>800</v>
      </c>
      <c r="E1604">
        <v>10000</v>
      </c>
      <c r="F1604">
        <v>157</v>
      </c>
      <c r="G1604">
        <v>0</v>
      </c>
      <c r="H1604">
        <v>0</v>
      </c>
      <c r="I1604">
        <v>157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44</v>
      </c>
      <c r="Q1604">
        <v>16</v>
      </c>
      <c r="R1604">
        <v>0</v>
      </c>
      <c r="S1604">
        <v>60</v>
      </c>
      <c r="T1604">
        <v>18</v>
      </c>
      <c r="U1604">
        <v>24</v>
      </c>
      <c r="V1604">
        <v>10</v>
      </c>
      <c r="W1604">
        <v>0</v>
      </c>
      <c r="X1604">
        <v>0</v>
      </c>
    </row>
    <row r="1605" spans="1:24" x14ac:dyDescent="0.2">
      <c r="A1605">
        <v>16050900</v>
      </c>
      <c r="B1605" t="s">
        <v>1604</v>
      </c>
      <c r="C1605">
        <v>900</v>
      </c>
      <c r="D1605">
        <v>900</v>
      </c>
      <c r="E1605">
        <v>10000</v>
      </c>
      <c r="F1605">
        <v>147</v>
      </c>
      <c r="G1605">
        <v>0</v>
      </c>
      <c r="H1605">
        <v>0</v>
      </c>
      <c r="I1605">
        <v>0</v>
      </c>
      <c r="J1605">
        <v>147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44</v>
      </c>
      <c r="Q1605">
        <v>16</v>
      </c>
      <c r="R1605">
        <v>0</v>
      </c>
      <c r="S1605">
        <v>0</v>
      </c>
      <c r="T1605">
        <v>18</v>
      </c>
      <c r="U1605">
        <v>24</v>
      </c>
      <c r="V1605">
        <v>10</v>
      </c>
      <c r="W1605">
        <v>0</v>
      </c>
      <c r="X1605">
        <v>0</v>
      </c>
    </row>
    <row r="1606" spans="1:24" x14ac:dyDescent="0.2">
      <c r="A1606">
        <v>16051000</v>
      </c>
      <c r="B1606" t="s">
        <v>1605</v>
      </c>
      <c r="C1606">
        <v>1000</v>
      </c>
      <c r="D1606">
        <v>1000</v>
      </c>
      <c r="E1606">
        <v>10000</v>
      </c>
      <c r="F1606">
        <v>157</v>
      </c>
      <c r="G1606">
        <v>0</v>
      </c>
      <c r="H1606">
        <v>0</v>
      </c>
      <c r="I1606">
        <v>0</v>
      </c>
      <c r="J1606">
        <v>157</v>
      </c>
      <c r="K1606">
        <v>0</v>
      </c>
      <c r="L1606">
        <v>0</v>
      </c>
      <c r="M1606">
        <v>0</v>
      </c>
      <c r="N1606">
        <v>0</v>
      </c>
      <c r="O1606">
        <v>4</v>
      </c>
      <c r="P1606">
        <v>44</v>
      </c>
      <c r="Q1606">
        <v>16</v>
      </c>
      <c r="R1606">
        <v>60</v>
      </c>
      <c r="S1606">
        <v>60</v>
      </c>
      <c r="T1606">
        <v>18</v>
      </c>
      <c r="U1606">
        <v>24</v>
      </c>
      <c r="V1606">
        <v>10</v>
      </c>
      <c r="W1606">
        <v>0</v>
      </c>
      <c r="X1606">
        <v>0</v>
      </c>
    </row>
    <row r="1607" spans="1:24" x14ac:dyDescent="0.2">
      <c r="A1607">
        <v>16051100</v>
      </c>
      <c r="B1607" t="s">
        <v>1606</v>
      </c>
      <c r="C1607">
        <v>1100</v>
      </c>
      <c r="D1607">
        <v>1100</v>
      </c>
      <c r="E1607">
        <v>10000</v>
      </c>
      <c r="F1607">
        <v>167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44</v>
      </c>
      <c r="Q1607">
        <v>16</v>
      </c>
      <c r="R1607">
        <v>0</v>
      </c>
      <c r="S1607">
        <v>0</v>
      </c>
      <c r="T1607">
        <v>18</v>
      </c>
      <c r="U1607">
        <v>24</v>
      </c>
      <c r="V1607">
        <v>10</v>
      </c>
      <c r="W1607">
        <v>0</v>
      </c>
      <c r="X1607">
        <v>0</v>
      </c>
    </row>
    <row r="1608" spans="1:24" x14ac:dyDescent="0.2">
      <c r="A1608">
        <v>16051200</v>
      </c>
      <c r="B1608" t="s">
        <v>1607</v>
      </c>
      <c r="C1608">
        <v>1200</v>
      </c>
      <c r="D1608">
        <v>1200</v>
      </c>
      <c r="E1608">
        <v>10000</v>
      </c>
      <c r="F1608">
        <v>167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44</v>
      </c>
      <c r="Q1608">
        <v>16</v>
      </c>
      <c r="R1608">
        <v>0</v>
      </c>
      <c r="S1608">
        <v>0</v>
      </c>
      <c r="T1608">
        <v>18</v>
      </c>
      <c r="U1608">
        <v>24</v>
      </c>
      <c r="V1608">
        <v>10</v>
      </c>
      <c r="W1608">
        <v>0</v>
      </c>
      <c r="X1608">
        <v>0</v>
      </c>
    </row>
    <row r="1609" spans="1:24" x14ac:dyDescent="0.2">
      <c r="A1609">
        <v>16051300</v>
      </c>
      <c r="B1609" t="s">
        <v>1608</v>
      </c>
      <c r="C1609">
        <v>1300</v>
      </c>
      <c r="D1609">
        <v>1300</v>
      </c>
      <c r="E1609">
        <v>10000</v>
      </c>
      <c r="F1609">
        <v>169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44</v>
      </c>
      <c r="Q1609">
        <v>16</v>
      </c>
      <c r="R1609">
        <v>0</v>
      </c>
      <c r="S1609">
        <v>0</v>
      </c>
      <c r="T1609">
        <v>18</v>
      </c>
      <c r="U1609">
        <v>24</v>
      </c>
      <c r="V1609">
        <v>10</v>
      </c>
      <c r="W1609">
        <v>0</v>
      </c>
      <c r="X1609">
        <v>0</v>
      </c>
    </row>
    <row r="1610" spans="1:24" x14ac:dyDescent="0.2">
      <c r="A1610">
        <v>16051400</v>
      </c>
      <c r="B1610" t="s">
        <v>1609</v>
      </c>
      <c r="C1610">
        <v>1400</v>
      </c>
      <c r="D1610">
        <v>1400</v>
      </c>
      <c r="E1610">
        <v>10014</v>
      </c>
      <c r="F1610">
        <v>157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44</v>
      </c>
      <c r="Q1610">
        <v>16</v>
      </c>
      <c r="R1610">
        <v>0</v>
      </c>
      <c r="S1610">
        <v>60</v>
      </c>
      <c r="T1610">
        <v>18</v>
      </c>
      <c r="U1610">
        <v>24</v>
      </c>
      <c r="V1610">
        <v>10</v>
      </c>
      <c r="W1610">
        <v>0</v>
      </c>
      <c r="X1610">
        <v>0</v>
      </c>
    </row>
    <row r="1611" spans="1:24" x14ac:dyDescent="0.2">
      <c r="A1611">
        <v>16051500</v>
      </c>
      <c r="B1611" t="s">
        <v>1610</v>
      </c>
      <c r="C1611">
        <v>1500</v>
      </c>
      <c r="D1611">
        <v>1500</v>
      </c>
      <c r="E1611">
        <v>10015</v>
      </c>
      <c r="F1611">
        <v>167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44</v>
      </c>
      <c r="Q1611">
        <v>16</v>
      </c>
      <c r="R1611">
        <v>0</v>
      </c>
      <c r="S1611">
        <v>0</v>
      </c>
      <c r="T1611">
        <v>18</v>
      </c>
      <c r="U1611">
        <v>24</v>
      </c>
      <c r="V1611">
        <v>10</v>
      </c>
      <c r="W1611">
        <v>0</v>
      </c>
      <c r="X1611">
        <v>0</v>
      </c>
    </row>
    <row r="1612" spans="1:24" x14ac:dyDescent="0.2">
      <c r="A1612">
        <v>16060000</v>
      </c>
      <c r="B1612" t="s">
        <v>1611</v>
      </c>
      <c r="C1612">
        <v>0</v>
      </c>
      <c r="D1612">
        <v>0</v>
      </c>
      <c r="E1612">
        <v>10000</v>
      </c>
      <c r="F1612">
        <v>70</v>
      </c>
      <c r="G1612">
        <v>0</v>
      </c>
      <c r="H1612">
        <v>0</v>
      </c>
      <c r="I1612">
        <v>0</v>
      </c>
      <c r="J1612">
        <v>0</v>
      </c>
      <c r="K1612">
        <v>9</v>
      </c>
      <c r="L1612">
        <v>0</v>
      </c>
      <c r="M1612">
        <v>0</v>
      </c>
      <c r="N1612">
        <v>0</v>
      </c>
      <c r="O1612">
        <v>0</v>
      </c>
      <c r="P1612">
        <v>35</v>
      </c>
      <c r="Q1612">
        <v>35</v>
      </c>
      <c r="R1612">
        <v>0</v>
      </c>
      <c r="S1612">
        <v>0</v>
      </c>
      <c r="T1612">
        <v>21</v>
      </c>
      <c r="U1612">
        <v>10</v>
      </c>
      <c r="V1612">
        <v>18</v>
      </c>
      <c r="W1612">
        <v>0</v>
      </c>
      <c r="X1612">
        <v>0</v>
      </c>
    </row>
    <row r="1613" spans="1:24" x14ac:dyDescent="0.2">
      <c r="A1613">
        <v>16060100</v>
      </c>
      <c r="B1613" t="s">
        <v>1612</v>
      </c>
      <c r="C1613">
        <v>200</v>
      </c>
      <c r="D1613">
        <v>100</v>
      </c>
      <c r="E1613">
        <v>10000</v>
      </c>
      <c r="F1613">
        <v>70</v>
      </c>
      <c r="G1613">
        <v>0</v>
      </c>
      <c r="H1613">
        <v>0</v>
      </c>
      <c r="I1613">
        <v>0</v>
      </c>
      <c r="J1613">
        <v>0</v>
      </c>
      <c r="K1613">
        <v>9</v>
      </c>
      <c r="L1613">
        <v>0</v>
      </c>
      <c r="M1613">
        <v>0</v>
      </c>
      <c r="N1613">
        <v>0</v>
      </c>
      <c r="O1613">
        <v>0</v>
      </c>
      <c r="P1613">
        <v>35</v>
      </c>
      <c r="Q1613">
        <v>0</v>
      </c>
      <c r="R1613">
        <v>0</v>
      </c>
      <c r="S1613">
        <v>0</v>
      </c>
      <c r="T1613">
        <v>21</v>
      </c>
      <c r="U1613">
        <v>10</v>
      </c>
      <c r="V1613">
        <v>18</v>
      </c>
      <c r="W1613">
        <v>0</v>
      </c>
      <c r="X1613">
        <v>0</v>
      </c>
    </row>
    <row r="1614" spans="1:24" x14ac:dyDescent="0.2">
      <c r="A1614">
        <v>16060200</v>
      </c>
      <c r="B1614" t="s">
        <v>1613</v>
      </c>
      <c r="C1614">
        <v>100</v>
      </c>
      <c r="D1614">
        <v>5000</v>
      </c>
      <c r="E1614">
        <v>10000</v>
      </c>
      <c r="F1614">
        <v>70</v>
      </c>
      <c r="G1614">
        <v>0</v>
      </c>
      <c r="H1614">
        <v>0</v>
      </c>
      <c r="I1614">
        <v>0</v>
      </c>
      <c r="J1614">
        <v>0</v>
      </c>
      <c r="K1614">
        <v>9</v>
      </c>
      <c r="L1614">
        <v>0</v>
      </c>
      <c r="M1614">
        <v>0</v>
      </c>
      <c r="N1614">
        <v>0</v>
      </c>
      <c r="O1614">
        <v>0</v>
      </c>
      <c r="P1614">
        <v>17</v>
      </c>
      <c r="Q1614">
        <v>49</v>
      </c>
      <c r="R1614">
        <v>0</v>
      </c>
      <c r="S1614">
        <v>0</v>
      </c>
      <c r="T1614">
        <v>21</v>
      </c>
      <c r="U1614">
        <v>10</v>
      </c>
      <c r="V1614">
        <v>18</v>
      </c>
      <c r="W1614">
        <v>0</v>
      </c>
      <c r="X1614">
        <v>0</v>
      </c>
    </row>
    <row r="1615" spans="1:24" x14ac:dyDescent="0.2">
      <c r="A1615">
        <v>16060300</v>
      </c>
      <c r="B1615" t="s">
        <v>1614</v>
      </c>
      <c r="C1615">
        <v>300</v>
      </c>
      <c r="D1615">
        <v>300</v>
      </c>
      <c r="E1615">
        <v>10000</v>
      </c>
      <c r="F1615">
        <v>70</v>
      </c>
      <c r="G1615">
        <v>0</v>
      </c>
      <c r="H1615">
        <v>0</v>
      </c>
      <c r="I1615">
        <v>0</v>
      </c>
      <c r="J1615">
        <v>0</v>
      </c>
      <c r="K1615">
        <v>8</v>
      </c>
      <c r="L1615">
        <v>0</v>
      </c>
      <c r="M1615">
        <v>0</v>
      </c>
      <c r="N1615">
        <v>0</v>
      </c>
      <c r="O1615">
        <v>0</v>
      </c>
      <c r="P1615">
        <v>40</v>
      </c>
      <c r="Q1615">
        <v>45</v>
      </c>
      <c r="R1615">
        <v>0</v>
      </c>
      <c r="S1615">
        <v>0</v>
      </c>
      <c r="T1615">
        <v>21</v>
      </c>
      <c r="U1615">
        <v>10</v>
      </c>
      <c r="V1615">
        <v>18</v>
      </c>
      <c r="W1615">
        <v>0</v>
      </c>
      <c r="X1615">
        <v>0</v>
      </c>
    </row>
    <row r="1616" spans="1:24" x14ac:dyDescent="0.2">
      <c r="A1616">
        <v>16060400</v>
      </c>
      <c r="B1616" t="s">
        <v>1615</v>
      </c>
      <c r="C1616">
        <v>500</v>
      </c>
      <c r="D1616">
        <v>500</v>
      </c>
      <c r="E1616">
        <v>10000</v>
      </c>
      <c r="F1616">
        <v>82</v>
      </c>
      <c r="G1616">
        <v>82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35</v>
      </c>
      <c r="Q1616">
        <v>35</v>
      </c>
      <c r="R1616">
        <v>70</v>
      </c>
      <c r="S1616">
        <v>0</v>
      </c>
      <c r="T1616">
        <v>21</v>
      </c>
      <c r="U1616">
        <v>10</v>
      </c>
      <c r="V1616">
        <v>18</v>
      </c>
      <c r="W1616">
        <v>0</v>
      </c>
      <c r="X1616">
        <v>0</v>
      </c>
    </row>
    <row r="1617" spans="1:24" x14ac:dyDescent="0.2">
      <c r="A1617">
        <v>16060500</v>
      </c>
      <c r="B1617" t="s">
        <v>1616</v>
      </c>
      <c r="C1617">
        <v>400</v>
      </c>
      <c r="D1617">
        <v>400</v>
      </c>
      <c r="E1617">
        <v>10000</v>
      </c>
      <c r="F1617">
        <v>82</v>
      </c>
      <c r="G1617">
        <v>82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35</v>
      </c>
      <c r="Q1617">
        <v>35</v>
      </c>
      <c r="R1617">
        <v>70</v>
      </c>
      <c r="S1617">
        <v>0</v>
      </c>
      <c r="T1617">
        <v>21</v>
      </c>
      <c r="U1617">
        <v>10</v>
      </c>
      <c r="V1617">
        <v>18</v>
      </c>
      <c r="W1617">
        <v>0</v>
      </c>
      <c r="X1617">
        <v>0</v>
      </c>
    </row>
    <row r="1618" spans="1:24" x14ac:dyDescent="0.2">
      <c r="A1618">
        <v>16060600</v>
      </c>
      <c r="B1618" t="s">
        <v>1617</v>
      </c>
      <c r="C1618">
        <v>600</v>
      </c>
      <c r="D1618">
        <v>600</v>
      </c>
      <c r="E1618">
        <v>10000</v>
      </c>
      <c r="F1618">
        <v>80</v>
      </c>
      <c r="G1618">
        <v>0</v>
      </c>
      <c r="H1618">
        <v>80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35</v>
      </c>
      <c r="Q1618">
        <v>35</v>
      </c>
      <c r="R1618">
        <v>0</v>
      </c>
      <c r="S1618">
        <v>0</v>
      </c>
      <c r="T1618">
        <v>21</v>
      </c>
      <c r="U1618">
        <v>10</v>
      </c>
      <c r="V1618">
        <v>18</v>
      </c>
      <c r="W1618">
        <v>0</v>
      </c>
      <c r="X1618">
        <v>0</v>
      </c>
    </row>
    <row r="1619" spans="1:24" x14ac:dyDescent="0.2">
      <c r="A1619">
        <v>16060700</v>
      </c>
      <c r="B1619" t="s">
        <v>1618</v>
      </c>
      <c r="C1619">
        <v>700</v>
      </c>
      <c r="D1619">
        <v>700</v>
      </c>
      <c r="E1619">
        <v>10000</v>
      </c>
      <c r="F1619">
        <v>82</v>
      </c>
      <c r="G1619">
        <v>0</v>
      </c>
      <c r="H1619">
        <v>82</v>
      </c>
      <c r="I1619">
        <v>0</v>
      </c>
      <c r="J1619">
        <v>0</v>
      </c>
      <c r="K1619">
        <v>0</v>
      </c>
      <c r="L1619">
        <v>0</v>
      </c>
      <c r="M1619">
        <v>4</v>
      </c>
      <c r="N1619">
        <v>0</v>
      </c>
      <c r="O1619">
        <v>0</v>
      </c>
      <c r="P1619">
        <v>35</v>
      </c>
      <c r="Q1619">
        <v>35</v>
      </c>
      <c r="R1619">
        <v>70</v>
      </c>
      <c r="S1619">
        <v>70</v>
      </c>
      <c r="T1619">
        <v>21</v>
      </c>
      <c r="U1619">
        <v>10</v>
      </c>
      <c r="V1619">
        <v>18</v>
      </c>
      <c r="W1619">
        <v>0</v>
      </c>
      <c r="X1619">
        <v>0</v>
      </c>
    </row>
    <row r="1620" spans="1:24" x14ac:dyDescent="0.2">
      <c r="A1620">
        <v>16060800</v>
      </c>
      <c r="B1620" t="s">
        <v>1619</v>
      </c>
      <c r="C1620">
        <v>800</v>
      </c>
      <c r="D1620">
        <v>800</v>
      </c>
      <c r="E1620">
        <v>10000</v>
      </c>
      <c r="F1620">
        <v>82</v>
      </c>
      <c r="G1620">
        <v>0</v>
      </c>
      <c r="H1620">
        <v>0</v>
      </c>
      <c r="I1620">
        <v>82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35</v>
      </c>
      <c r="Q1620">
        <v>35</v>
      </c>
      <c r="R1620">
        <v>0</v>
      </c>
      <c r="S1620">
        <v>70</v>
      </c>
      <c r="T1620">
        <v>21</v>
      </c>
      <c r="U1620">
        <v>10</v>
      </c>
      <c r="V1620">
        <v>18</v>
      </c>
      <c r="W1620">
        <v>0</v>
      </c>
      <c r="X1620">
        <v>0</v>
      </c>
    </row>
    <row r="1621" spans="1:24" x14ac:dyDescent="0.2">
      <c r="A1621">
        <v>16060900</v>
      </c>
      <c r="B1621" t="s">
        <v>1620</v>
      </c>
      <c r="C1621">
        <v>900</v>
      </c>
      <c r="D1621">
        <v>900</v>
      </c>
      <c r="E1621">
        <v>10000</v>
      </c>
      <c r="F1621">
        <v>80</v>
      </c>
      <c r="G1621">
        <v>0</v>
      </c>
      <c r="H1621">
        <v>0</v>
      </c>
      <c r="I1621">
        <v>0</v>
      </c>
      <c r="J1621">
        <v>80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35</v>
      </c>
      <c r="Q1621">
        <v>35</v>
      </c>
      <c r="R1621">
        <v>0</v>
      </c>
      <c r="S1621">
        <v>0</v>
      </c>
      <c r="T1621">
        <v>21</v>
      </c>
      <c r="U1621">
        <v>10</v>
      </c>
      <c r="V1621">
        <v>18</v>
      </c>
      <c r="W1621">
        <v>0</v>
      </c>
      <c r="X1621">
        <v>0</v>
      </c>
    </row>
    <row r="1622" spans="1:24" x14ac:dyDescent="0.2">
      <c r="A1622">
        <v>16061000</v>
      </c>
      <c r="B1622" t="s">
        <v>1621</v>
      </c>
      <c r="C1622">
        <v>1000</v>
      </c>
      <c r="D1622">
        <v>1000</v>
      </c>
      <c r="E1622">
        <v>10000</v>
      </c>
      <c r="F1622">
        <v>82</v>
      </c>
      <c r="G1622">
        <v>0</v>
      </c>
      <c r="H1622">
        <v>0</v>
      </c>
      <c r="I1622">
        <v>0</v>
      </c>
      <c r="J1622">
        <v>82</v>
      </c>
      <c r="K1622">
        <v>0</v>
      </c>
      <c r="L1622">
        <v>0</v>
      </c>
      <c r="M1622">
        <v>0</v>
      </c>
      <c r="N1622">
        <v>0</v>
      </c>
      <c r="O1622">
        <v>4</v>
      </c>
      <c r="P1622">
        <v>35</v>
      </c>
      <c r="Q1622">
        <v>35</v>
      </c>
      <c r="R1622">
        <v>70</v>
      </c>
      <c r="S1622">
        <v>70</v>
      </c>
      <c r="T1622">
        <v>21</v>
      </c>
      <c r="U1622">
        <v>10</v>
      </c>
      <c r="V1622">
        <v>18</v>
      </c>
      <c r="W1622">
        <v>0</v>
      </c>
      <c r="X1622">
        <v>0</v>
      </c>
    </row>
    <row r="1623" spans="1:24" x14ac:dyDescent="0.2">
      <c r="A1623">
        <v>16061100</v>
      </c>
      <c r="B1623" t="s">
        <v>1622</v>
      </c>
      <c r="C1623">
        <v>1100</v>
      </c>
      <c r="D1623">
        <v>1100</v>
      </c>
      <c r="E1623">
        <v>10000</v>
      </c>
      <c r="F1623">
        <v>70</v>
      </c>
      <c r="G1623">
        <v>0</v>
      </c>
      <c r="H1623">
        <v>0</v>
      </c>
      <c r="I1623">
        <v>0</v>
      </c>
      <c r="J1623">
        <v>0</v>
      </c>
      <c r="K1623">
        <v>9</v>
      </c>
      <c r="L1623">
        <v>0</v>
      </c>
      <c r="M1623">
        <v>0</v>
      </c>
      <c r="N1623">
        <v>0</v>
      </c>
      <c r="O1623">
        <v>0</v>
      </c>
      <c r="P1623">
        <v>35</v>
      </c>
      <c r="Q1623">
        <v>35</v>
      </c>
      <c r="R1623">
        <v>0</v>
      </c>
      <c r="S1623">
        <v>0</v>
      </c>
      <c r="T1623">
        <v>21</v>
      </c>
      <c r="U1623">
        <v>10</v>
      </c>
      <c r="V1623">
        <v>18</v>
      </c>
      <c r="W1623">
        <v>0</v>
      </c>
      <c r="X1623">
        <v>0</v>
      </c>
    </row>
    <row r="1624" spans="1:24" x14ac:dyDescent="0.2">
      <c r="A1624">
        <v>16061200</v>
      </c>
      <c r="B1624" t="s">
        <v>1623</v>
      </c>
      <c r="C1624">
        <v>1200</v>
      </c>
      <c r="D1624">
        <v>1200</v>
      </c>
      <c r="E1624">
        <v>10000</v>
      </c>
      <c r="F1624">
        <v>70</v>
      </c>
      <c r="G1624">
        <v>0</v>
      </c>
      <c r="H1624">
        <v>0</v>
      </c>
      <c r="I1624">
        <v>0</v>
      </c>
      <c r="J1624">
        <v>0</v>
      </c>
      <c r="K1624">
        <v>9</v>
      </c>
      <c r="L1624">
        <v>0</v>
      </c>
      <c r="M1624">
        <v>0</v>
      </c>
      <c r="N1624">
        <v>0</v>
      </c>
      <c r="O1624">
        <v>0</v>
      </c>
      <c r="P1624">
        <v>35</v>
      </c>
      <c r="Q1624">
        <v>35</v>
      </c>
      <c r="R1624">
        <v>0</v>
      </c>
      <c r="S1624">
        <v>0</v>
      </c>
      <c r="T1624">
        <v>21</v>
      </c>
      <c r="U1624">
        <v>10</v>
      </c>
      <c r="V1624">
        <v>18</v>
      </c>
      <c r="W1624">
        <v>0</v>
      </c>
      <c r="X1624">
        <v>0</v>
      </c>
    </row>
    <row r="1625" spans="1:24" x14ac:dyDescent="0.2">
      <c r="A1625">
        <v>16061300</v>
      </c>
      <c r="B1625" t="s">
        <v>1624</v>
      </c>
      <c r="C1625">
        <v>1300</v>
      </c>
      <c r="D1625">
        <v>1300</v>
      </c>
      <c r="E1625">
        <v>10000</v>
      </c>
      <c r="F1625">
        <v>80</v>
      </c>
      <c r="G1625">
        <v>0</v>
      </c>
      <c r="H1625">
        <v>0</v>
      </c>
      <c r="I1625">
        <v>0</v>
      </c>
      <c r="J1625">
        <v>0</v>
      </c>
      <c r="K1625">
        <v>9</v>
      </c>
      <c r="L1625">
        <v>0</v>
      </c>
      <c r="M1625">
        <v>0</v>
      </c>
      <c r="N1625">
        <v>0</v>
      </c>
      <c r="O1625">
        <v>0</v>
      </c>
      <c r="P1625">
        <v>35</v>
      </c>
      <c r="Q1625">
        <v>35</v>
      </c>
      <c r="R1625">
        <v>0</v>
      </c>
      <c r="S1625">
        <v>0</v>
      </c>
      <c r="T1625">
        <v>21</v>
      </c>
      <c r="U1625">
        <v>10</v>
      </c>
      <c r="V1625">
        <v>18</v>
      </c>
      <c r="W1625">
        <v>0</v>
      </c>
      <c r="X1625">
        <v>0</v>
      </c>
    </row>
    <row r="1626" spans="1:24" x14ac:dyDescent="0.2">
      <c r="A1626">
        <v>16061400</v>
      </c>
      <c r="B1626" t="s">
        <v>1625</v>
      </c>
      <c r="C1626">
        <v>1400</v>
      </c>
      <c r="D1626">
        <v>1400</v>
      </c>
      <c r="E1626">
        <v>10014</v>
      </c>
      <c r="F1626">
        <v>82</v>
      </c>
      <c r="G1626">
        <v>0</v>
      </c>
      <c r="H1626">
        <v>0</v>
      </c>
      <c r="I1626">
        <v>0</v>
      </c>
      <c r="J1626">
        <v>0</v>
      </c>
      <c r="K1626">
        <v>9</v>
      </c>
      <c r="L1626">
        <v>0</v>
      </c>
      <c r="M1626">
        <v>0</v>
      </c>
      <c r="N1626">
        <v>0</v>
      </c>
      <c r="O1626">
        <v>0</v>
      </c>
      <c r="P1626">
        <v>35</v>
      </c>
      <c r="Q1626">
        <v>35</v>
      </c>
      <c r="R1626">
        <v>0</v>
      </c>
      <c r="S1626">
        <v>70</v>
      </c>
      <c r="T1626">
        <v>21</v>
      </c>
      <c r="U1626">
        <v>10</v>
      </c>
      <c r="V1626">
        <v>18</v>
      </c>
      <c r="W1626">
        <v>0</v>
      </c>
      <c r="X1626">
        <v>0</v>
      </c>
    </row>
    <row r="1627" spans="1:24" x14ac:dyDescent="0.2">
      <c r="A1627">
        <v>16061500</v>
      </c>
      <c r="B1627" t="s">
        <v>1626</v>
      </c>
      <c r="C1627">
        <v>1500</v>
      </c>
      <c r="D1627">
        <v>1500</v>
      </c>
      <c r="E1627">
        <v>10015</v>
      </c>
      <c r="F1627">
        <v>70</v>
      </c>
      <c r="G1627">
        <v>0</v>
      </c>
      <c r="H1627">
        <v>0</v>
      </c>
      <c r="I1627">
        <v>0</v>
      </c>
      <c r="J1627">
        <v>0</v>
      </c>
      <c r="K1627">
        <v>9</v>
      </c>
      <c r="L1627">
        <v>0</v>
      </c>
      <c r="M1627">
        <v>0</v>
      </c>
      <c r="N1627">
        <v>0</v>
      </c>
      <c r="O1627">
        <v>0</v>
      </c>
      <c r="P1627">
        <v>35</v>
      </c>
      <c r="Q1627">
        <v>35</v>
      </c>
      <c r="R1627">
        <v>0</v>
      </c>
      <c r="S1627">
        <v>0</v>
      </c>
      <c r="T1627">
        <v>21</v>
      </c>
      <c r="U1627">
        <v>10</v>
      </c>
      <c r="V1627">
        <v>18</v>
      </c>
      <c r="W1627">
        <v>0</v>
      </c>
      <c r="X1627">
        <v>0</v>
      </c>
    </row>
    <row r="1628" spans="1:24" x14ac:dyDescent="0.2">
      <c r="A1628">
        <v>16070000</v>
      </c>
      <c r="B1628" t="s">
        <v>1627</v>
      </c>
      <c r="C1628">
        <v>0</v>
      </c>
      <c r="D1628">
        <v>0</v>
      </c>
      <c r="E1628">
        <v>10000</v>
      </c>
      <c r="F1628">
        <v>100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45</v>
      </c>
      <c r="Q1628">
        <v>40</v>
      </c>
      <c r="R1628">
        <v>0</v>
      </c>
      <c r="S1628">
        <v>0</v>
      </c>
      <c r="T1628">
        <v>25</v>
      </c>
      <c r="U1628">
        <v>12</v>
      </c>
      <c r="V1628">
        <v>18</v>
      </c>
      <c r="W1628">
        <v>0</v>
      </c>
      <c r="X1628">
        <v>0</v>
      </c>
    </row>
    <row r="1629" spans="1:24" x14ac:dyDescent="0.2">
      <c r="A1629">
        <v>16070100</v>
      </c>
      <c r="B1629" t="s">
        <v>1628</v>
      </c>
      <c r="C1629">
        <v>200</v>
      </c>
      <c r="D1629">
        <v>100</v>
      </c>
      <c r="E1629">
        <v>10000</v>
      </c>
      <c r="F1629">
        <v>100</v>
      </c>
      <c r="G1629">
        <v>0</v>
      </c>
      <c r="H1629">
        <v>0</v>
      </c>
      <c r="I1629">
        <v>0</v>
      </c>
      <c r="J1629">
        <v>0</v>
      </c>
      <c r="K1629">
        <v>1</v>
      </c>
      <c r="L1629">
        <v>0</v>
      </c>
      <c r="M1629">
        <v>0</v>
      </c>
      <c r="N1629">
        <v>0</v>
      </c>
      <c r="O1629">
        <v>0</v>
      </c>
      <c r="P1629">
        <v>45</v>
      </c>
      <c r="Q1629">
        <v>0</v>
      </c>
      <c r="R1629">
        <v>0</v>
      </c>
      <c r="S1629">
        <v>0</v>
      </c>
      <c r="T1629">
        <v>25</v>
      </c>
      <c r="U1629">
        <v>12</v>
      </c>
      <c r="V1629">
        <v>18</v>
      </c>
      <c r="W1629">
        <v>0</v>
      </c>
      <c r="X1629">
        <v>0</v>
      </c>
    </row>
    <row r="1630" spans="1:24" x14ac:dyDescent="0.2">
      <c r="A1630">
        <v>16070200</v>
      </c>
      <c r="B1630" t="s">
        <v>1629</v>
      </c>
      <c r="C1630">
        <v>100</v>
      </c>
      <c r="D1630">
        <v>200</v>
      </c>
      <c r="E1630">
        <v>10000</v>
      </c>
      <c r="F1630">
        <v>100</v>
      </c>
      <c r="G1630">
        <v>0</v>
      </c>
      <c r="H1630">
        <v>0</v>
      </c>
      <c r="I1630">
        <v>0</v>
      </c>
      <c r="J1630">
        <v>0</v>
      </c>
      <c r="K1630">
        <v>2</v>
      </c>
      <c r="L1630">
        <v>0</v>
      </c>
      <c r="M1630">
        <v>0</v>
      </c>
      <c r="N1630">
        <v>0</v>
      </c>
      <c r="O1630">
        <v>0</v>
      </c>
      <c r="P1630">
        <v>21</v>
      </c>
      <c r="Q1630">
        <v>45</v>
      </c>
      <c r="R1630">
        <v>0</v>
      </c>
      <c r="S1630">
        <v>0</v>
      </c>
      <c r="T1630">
        <v>25</v>
      </c>
      <c r="U1630">
        <v>12</v>
      </c>
      <c r="V1630">
        <v>18</v>
      </c>
      <c r="W1630">
        <v>0</v>
      </c>
      <c r="X1630">
        <v>0</v>
      </c>
    </row>
    <row r="1631" spans="1:24" x14ac:dyDescent="0.2">
      <c r="A1631">
        <v>16070300</v>
      </c>
      <c r="B1631" t="s">
        <v>1630</v>
      </c>
      <c r="C1631">
        <v>300</v>
      </c>
      <c r="D1631">
        <v>300</v>
      </c>
      <c r="E1631">
        <v>10000</v>
      </c>
      <c r="F1631">
        <v>100</v>
      </c>
      <c r="G1631">
        <v>0</v>
      </c>
      <c r="H1631">
        <v>0</v>
      </c>
      <c r="I1631">
        <v>0</v>
      </c>
      <c r="J1631">
        <v>0</v>
      </c>
      <c r="K1631">
        <v>8</v>
      </c>
      <c r="L1631">
        <v>0</v>
      </c>
      <c r="M1631">
        <v>0</v>
      </c>
      <c r="N1631">
        <v>0</v>
      </c>
      <c r="O1631">
        <v>0</v>
      </c>
      <c r="P1631">
        <v>52</v>
      </c>
      <c r="Q1631">
        <v>52</v>
      </c>
      <c r="R1631">
        <v>0</v>
      </c>
      <c r="S1631">
        <v>0</v>
      </c>
      <c r="T1631">
        <v>25</v>
      </c>
      <c r="U1631">
        <v>12</v>
      </c>
      <c r="V1631">
        <v>18</v>
      </c>
      <c r="W1631">
        <v>0</v>
      </c>
      <c r="X1631">
        <v>0</v>
      </c>
    </row>
    <row r="1632" spans="1:24" x14ac:dyDescent="0.2">
      <c r="A1632">
        <v>16070400</v>
      </c>
      <c r="B1632" t="s">
        <v>1631</v>
      </c>
      <c r="C1632">
        <v>500</v>
      </c>
      <c r="D1632">
        <v>500</v>
      </c>
      <c r="E1632">
        <v>10000</v>
      </c>
      <c r="F1632">
        <v>100</v>
      </c>
      <c r="G1632">
        <v>100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45</v>
      </c>
      <c r="Q1632">
        <v>40</v>
      </c>
      <c r="R1632">
        <v>85</v>
      </c>
      <c r="S1632">
        <v>0</v>
      </c>
      <c r="T1632">
        <v>25</v>
      </c>
      <c r="U1632">
        <v>12</v>
      </c>
      <c r="V1632">
        <v>18</v>
      </c>
      <c r="W1632">
        <v>0</v>
      </c>
      <c r="X1632">
        <v>0</v>
      </c>
    </row>
    <row r="1633" spans="1:24" x14ac:dyDescent="0.2">
      <c r="A1633">
        <v>16070500</v>
      </c>
      <c r="B1633" t="s">
        <v>1632</v>
      </c>
      <c r="C1633">
        <v>400</v>
      </c>
      <c r="D1633">
        <v>400</v>
      </c>
      <c r="E1633">
        <v>10000</v>
      </c>
      <c r="F1633">
        <v>100</v>
      </c>
      <c r="G1633">
        <v>100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45</v>
      </c>
      <c r="Q1633">
        <v>40</v>
      </c>
      <c r="R1633">
        <v>85</v>
      </c>
      <c r="S1633">
        <v>0</v>
      </c>
      <c r="T1633">
        <v>25</v>
      </c>
      <c r="U1633">
        <v>12</v>
      </c>
      <c r="V1633">
        <v>18</v>
      </c>
      <c r="W1633">
        <v>0</v>
      </c>
      <c r="X1633">
        <v>0</v>
      </c>
    </row>
    <row r="1634" spans="1:24" x14ac:dyDescent="0.2">
      <c r="A1634">
        <v>16070600</v>
      </c>
      <c r="B1634" t="s">
        <v>1633</v>
      </c>
      <c r="C1634">
        <v>600</v>
      </c>
      <c r="D1634">
        <v>600</v>
      </c>
      <c r="E1634">
        <v>10000</v>
      </c>
      <c r="F1634">
        <v>102</v>
      </c>
      <c r="G1634">
        <v>0</v>
      </c>
      <c r="H1634">
        <v>102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45</v>
      </c>
      <c r="Q1634">
        <v>40</v>
      </c>
      <c r="R1634">
        <v>0</v>
      </c>
      <c r="S1634">
        <v>0</v>
      </c>
      <c r="T1634">
        <v>25</v>
      </c>
      <c r="U1634">
        <v>12</v>
      </c>
      <c r="V1634">
        <v>18</v>
      </c>
      <c r="W1634">
        <v>0</v>
      </c>
      <c r="X1634">
        <v>0</v>
      </c>
    </row>
    <row r="1635" spans="1:24" x14ac:dyDescent="0.2">
      <c r="A1635">
        <v>16070700</v>
      </c>
      <c r="B1635" t="s">
        <v>1634</v>
      </c>
      <c r="C1635">
        <v>700</v>
      </c>
      <c r="D1635">
        <v>700</v>
      </c>
      <c r="E1635">
        <v>10000</v>
      </c>
      <c r="F1635">
        <v>100</v>
      </c>
      <c r="G1635">
        <v>0</v>
      </c>
      <c r="H1635">
        <v>100</v>
      </c>
      <c r="I1635">
        <v>0</v>
      </c>
      <c r="J1635">
        <v>0</v>
      </c>
      <c r="K1635">
        <v>0</v>
      </c>
      <c r="L1635">
        <v>0</v>
      </c>
      <c r="M1635">
        <v>4</v>
      </c>
      <c r="N1635">
        <v>0</v>
      </c>
      <c r="O1635">
        <v>0</v>
      </c>
      <c r="P1635">
        <v>45</v>
      </c>
      <c r="Q1635">
        <v>40</v>
      </c>
      <c r="R1635">
        <v>85</v>
      </c>
      <c r="S1635">
        <v>85</v>
      </c>
      <c r="T1635">
        <v>25</v>
      </c>
      <c r="U1635">
        <v>12</v>
      </c>
      <c r="V1635">
        <v>18</v>
      </c>
      <c r="W1635">
        <v>0</v>
      </c>
      <c r="X1635">
        <v>0</v>
      </c>
    </row>
    <row r="1636" spans="1:24" x14ac:dyDescent="0.2">
      <c r="A1636">
        <v>16070800</v>
      </c>
      <c r="B1636" t="s">
        <v>1635</v>
      </c>
      <c r="C1636">
        <v>800</v>
      </c>
      <c r="D1636">
        <v>800</v>
      </c>
      <c r="E1636">
        <v>10000</v>
      </c>
      <c r="F1636">
        <v>100</v>
      </c>
      <c r="G1636">
        <v>0</v>
      </c>
      <c r="H1636">
        <v>0</v>
      </c>
      <c r="I1636">
        <v>100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45</v>
      </c>
      <c r="Q1636">
        <v>40</v>
      </c>
      <c r="R1636">
        <v>0</v>
      </c>
      <c r="S1636">
        <v>85</v>
      </c>
      <c r="T1636">
        <v>25</v>
      </c>
      <c r="U1636">
        <v>12</v>
      </c>
      <c r="V1636">
        <v>18</v>
      </c>
      <c r="W1636">
        <v>0</v>
      </c>
      <c r="X1636">
        <v>0</v>
      </c>
    </row>
    <row r="1637" spans="1:24" x14ac:dyDescent="0.2">
      <c r="A1637">
        <v>16070900</v>
      </c>
      <c r="B1637" t="s">
        <v>1636</v>
      </c>
      <c r="C1637">
        <v>900</v>
      </c>
      <c r="D1637">
        <v>900</v>
      </c>
      <c r="E1637">
        <v>10000</v>
      </c>
      <c r="F1637">
        <v>102</v>
      </c>
      <c r="G1637">
        <v>0</v>
      </c>
      <c r="H1637">
        <v>0</v>
      </c>
      <c r="I1637">
        <v>0</v>
      </c>
      <c r="J1637">
        <v>102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45</v>
      </c>
      <c r="Q1637">
        <v>40</v>
      </c>
      <c r="R1637">
        <v>0</v>
      </c>
      <c r="S1637">
        <v>0</v>
      </c>
      <c r="T1637">
        <v>25</v>
      </c>
      <c r="U1637">
        <v>12</v>
      </c>
      <c r="V1637">
        <v>18</v>
      </c>
      <c r="W1637">
        <v>0</v>
      </c>
      <c r="X1637">
        <v>0</v>
      </c>
    </row>
    <row r="1638" spans="1:24" x14ac:dyDescent="0.2">
      <c r="A1638">
        <v>16071000</v>
      </c>
      <c r="B1638" t="s">
        <v>1637</v>
      </c>
      <c r="C1638">
        <v>1000</v>
      </c>
      <c r="D1638">
        <v>1000</v>
      </c>
      <c r="E1638">
        <v>10000</v>
      </c>
      <c r="F1638">
        <v>100</v>
      </c>
      <c r="G1638">
        <v>0</v>
      </c>
      <c r="H1638">
        <v>0</v>
      </c>
      <c r="I1638">
        <v>0</v>
      </c>
      <c r="J1638">
        <v>100</v>
      </c>
      <c r="K1638">
        <v>0</v>
      </c>
      <c r="L1638">
        <v>0</v>
      </c>
      <c r="M1638">
        <v>0</v>
      </c>
      <c r="N1638">
        <v>0</v>
      </c>
      <c r="O1638">
        <v>4</v>
      </c>
      <c r="P1638">
        <v>45</v>
      </c>
      <c r="Q1638">
        <v>40</v>
      </c>
      <c r="R1638">
        <v>85</v>
      </c>
      <c r="S1638">
        <v>85</v>
      </c>
      <c r="T1638">
        <v>25</v>
      </c>
      <c r="U1638">
        <v>12</v>
      </c>
      <c r="V1638">
        <v>18</v>
      </c>
      <c r="W1638">
        <v>0</v>
      </c>
      <c r="X1638">
        <v>0</v>
      </c>
    </row>
    <row r="1639" spans="1:24" x14ac:dyDescent="0.2">
      <c r="A1639">
        <v>16071100</v>
      </c>
      <c r="B1639" t="s">
        <v>1638</v>
      </c>
      <c r="C1639">
        <v>1100</v>
      </c>
      <c r="D1639">
        <v>1100</v>
      </c>
      <c r="E1639">
        <v>10000</v>
      </c>
      <c r="F1639">
        <v>100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45</v>
      </c>
      <c r="Q1639">
        <v>40</v>
      </c>
      <c r="R1639">
        <v>0</v>
      </c>
      <c r="S1639">
        <v>0</v>
      </c>
      <c r="T1639">
        <v>25</v>
      </c>
      <c r="U1639">
        <v>12</v>
      </c>
      <c r="V1639">
        <v>18</v>
      </c>
      <c r="W1639">
        <v>0</v>
      </c>
      <c r="X1639">
        <v>0</v>
      </c>
    </row>
    <row r="1640" spans="1:24" x14ac:dyDescent="0.2">
      <c r="A1640">
        <v>16071200</v>
      </c>
      <c r="B1640" t="s">
        <v>1639</v>
      </c>
      <c r="C1640">
        <v>1200</v>
      </c>
      <c r="D1640">
        <v>1200</v>
      </c>
      <c r="E1640">
        <v>10000</v>
      </c>
      <c r="F1640">
        <v>100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45</v>
      </c>
      <c r="Q1640">
        <v>40</v>
      </c>
      <c r="R1640">
        <v>0</v>
      </c>
      <c r="S1640">
        <v>0</v>
      </c>
      <c r="T1640">
        <v>25</v>
      </c>
      <c r="U1640">
        <v>12</v>
      </c>
      <c r="V1640">
        <v>18</v>
      </c>
      <c r="W1640">
        <v>0</v>
      </c>
      <c r="X1640">
        <v>0</v>
      </c>
    </row>
    <row r="1641" spans="1:24" x14ac:dyDescent="0.2">
      <c r="A1641">
        <v>16071300</v>
      </c>
      <c r="B1641" t="s">
        <v>1640</v>
      </c>
      <c r="C1641">
        <v>1300</v>
      </c>
      <c r="D1641">
        <v>1300</v>
      </c>
      <c r="E1641">
        <v>10000</v>
      </c>
      <c r="F1641">
        <v>109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45</v>
      </c>
      <c r="Q1641">
        <v>40</v>
      </c>
      <c r="R1641">
        <v>0</v>
      </c>
      <c r="S1641">
        <v>0</v>
      </c>
      <c r="T1641">
        <v>25</v>
      </c>
      <c r="U1641">
        <v>12</v>
      </c>
      <c r="V1641">
        <v>18</v>
      </c>
      <c r="W1641">
        <v>0</v>
      </c>
      <c r="X1641">
        <v>0</v>
      </c>
    </row>
    <row r="1642" spans="1:24" x14ac:dyDescent="0.2">
      <c r="A1642">
        <v>16071400</v>
      </c>
      <c r="B1642" t="s">
        <v>1641</v>
      </c>
      <c r="C1642">
        <v>1400</v>
      </c>
      <c r="D1642">
        <v>1400</v>
      </c>
      <c r="E1642">
        <v>10014</v>
      </c>
      <c r="F1642">
        <v>100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45</v>
      </c>
      <c r="Q1642">
        <v>40</v>
      </c>
      <c r="R1642">
        <v>0</v>
      </c>
      <c r="S1642">
        <v>85</v>
      </c>
      <c r="T1642">
        <v>25</v>
      </c>
      <c r="U1642">
        <v>12</v>
      </c>
      <c r="V1642">
        <v>18</v>
      </c>
      <c r="W1642">
        <v>0</v>
      </c>
      <c r="X1642">
        <v>0</v>
      </c>
    </row>
    <row r="1643" spans="1:24" x14ac:dyDescent="0.2">
      <c r="A1643">
        <v>16071500</v>
      </c>
      <c r="B1643" t="s">
        <v>1642</v>
      </c>
      <c r="C1643">
        <v>1500</v>
      </c>
      <c r="D1643">
        <v>1500</v>
      </c>
      <c r="E1643">
        <v>10015</v>
      </c>
      <c r="F1643">
        <v>100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45</v>
      </c>
      <c r="Q1643">
        <v>40</v>
      </c>
      <c r="R1643">
        <v>0</v>
      </c>
      <c r="S1643">
        <v>0</v>
      </c>
      <c r="T1643">
        <v>25</v>
      </c>
      <c r="U1643">
        <v>12</v>
      </c>
      <c r="V1643">
        <v>18</v>
      </c>
      <c r="W1643">
        <v>0</v>
      </c>
      <c r="X1643">
        <v>0</v>
      </c>
    </row>
    <row r="1644" spans="1:24" x14ac:dyDescent="0.2">
      <c r="A1644">
        <v>16090000</v>
      </c>
      <c r="B1644" t="s">
        <v>1643</v>
      </c>
      <c r="C1644">
        <v>0</v>
      </c>
      <c r="D1644">
        <v>0</v>
      </c>
      <c r="E1644">
        <v>10000</v>
      </c>
      <c r="F1644">
        <v>104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40</v>
      </c>
      <c r="Q1644">
        <v>51</v>
      </c>
      <c r="R1644">
        <v>0</v>
      </c>
      <c r="S1644">
        <v>0</v>
      </c>
      <c r="T1644">
        <v>25</v>
      </c>
      <c r="U1644">
        <v>13</v>
      </c>
      <c r="V1644">
        <v>25</v>
      </c>
      <c r="W1644">
        <v>0</v>
      </c>
      <c r="X1644">
        <v>0</v>
      </c>
    </row>
    <row r="1645" spans="1:24" x14ac:dyDescent="0.2">
      <c r="A1645">
        <v>16090100</v>
      </c>
      <c r="B1645" t="s">
        <v>1644</v>
      </c>
      <c r="C1645">
        <v>200</v>
      </c>
      <c r="D1645">
        <v>100</v>
      </c>
      <c r="E1645">
        <v>10000</v>
      </c>
      <c r="F1645">
        <v>104</v>
      </c>
      <c r="G1645">
        <v>0</v>
      </c>
      <c r="H1645">
        <v>0</v>
      </c>
      <c r="I1645">
        <v>0</v>
      </c>
      <c r="J1645">
        <v>0</v>
      </c>
      <c r="K1645">
        <v>1</v>
      </c>
      <c r="L1645">
        <v>0</v>
      </c>
      <c r="M1645">
        <v>0</v>
      </c>
      <c r="N1645">
        <v>0</v>
      </c>
      <c r="O1645">
        <v>0</v>
      </c>
      <c r="P1645">
        <v>45</v>
      </c>
      <c r="Q1645">
        <v>0</v>
      </c>
      <c r="R1645">
        <v>0</v>
      </c>
      <c r="S1645">
        <v>0</v>
      </c>
      <c r="T1645">
        <v>25</v>
      </c>
      <c r="U1645">
        <v>13</v>
      </c>
      <c r="V1645">
        <v>25</v>
      </c>
      <c r="W1645">
        <v>0</v>
      </c>
      <c r="X1645">
        <v>0</v>
      </c>
    </row>
    <row r="1646" spans="1:24" x14ac:dyDescent="0.2">
      <c r="A1646">
        <v>16090200</v>
      </c>
      <c r="B1646" t="s">
        <v>1645</v>
      </c>
      <c r="C1646">
        <v>100</v>
      </c>
      <c r="D1646">
        <v>5000</v>
      </c>
      <c r="E1646">
        <v>10000</v>
      </c>
      <c r="F1646">
        <v>104</v>
      </c>
      <c r="G1646">
        <v>0</v>
      </c>
      <c r="H1646">
        <v>0</v>
      </c>
      <c r="I1646">
        <v>0</v>
      </c>
      <c r="J1646">
        <v>0</v>
      </c>
      <c r="K1646">
        <v>2</v>
      </c>
      <c r="L1646">
        <v>0</v>
      </c>
      <c r="M1646">
        <v>0</v>
      </c>
      <c r="N1646">
        <v>0</v>
      </c>
      <c r="O1646">
        <v>0</v>
      </c>
      <c r="P1646">
        <v>26</v>
      </c>
      <c r="Q1646">
        <v>54</v>
      </c>
      <c r="R1646">
        <v>0</v>
      </c>
      <c r="S1646">
        <v>0</v>
      </c>
      <c r="T1646">
        <v>25</v>
      </c>
      <c r="U1646">
        <v>13</v>
      </c>
      <c r="V1646">
        <v>25</v>
      </c>
      <c r="W1646">
        <v>0</v>
      </c>
      <c r="X1646">
        <v>0</v>
      </c>
    </row>
    <row r="1647" spans="1:24" x14ac:dyDescent="0.2">
      <c r="A1647">
        <v>16090300</v>
      </c>
      <c r="B1647" t="s">
        <v>1646</v>
      </c>
      <c r="C1647">
        <v>300</v>
      </c>
      <c r="D1647">
        <v>300</v>
      </c>
      <c r="E1647">
        <v>10000</v>
      </c>
      <c r="F1647">
        <v>104</v>
      </c>
      <c r="G1647">
        <v>0</v>
      </c>
      <c r="H1647">
        <v>0</v>
      </c>
      <c r="I1647">
        <v>0</v>
      </c>
      <c r="J1647">
        <v>0</v>
      </c>
      <c r="K1647">
        <v>8</v>
      </c>
      <c r="L1647">
        <v>0</v>
      </c>
      <c r="M1647">
        <v>0</v>
      </c>
      <c r="N1647">
        <v>0</v>
      </c>
      <c r="O1647">
        <v>0</v>
      </c>
      <c r="P1647">
        <v>45</v>
      </c>
      <c r="Q1647">
        <v>50</v>
      </c>
      <c r="R1647">
        <v>0</v>
      </c>
      <c r="S1647">
        <v>0</v>
      </c>
      <c r="T1647">
        <v>25</v>
      </c>
      <c r="U1647">
        <v>13</v>
      </c>
      <c r="V1647">
        <v>25</v>
      </c>
      <c r="W1647">
        <v>0</v>
      </c>
      <c r="X1647">
        <v>0</v>
      </c>
    </row>
    <row r="1648" spans="1:24" x14ac:dyDescent="0.2">
      <c r="A1648">
        <v>16090400</v>
      </c>
      <c r="B1648" t="s">
        <v>1647</v>
      </c>
      <c r="C1648">
        <v>500</v>
      </c>
      <c r="D1648">
        <v>500</v>
      </c>
      <c r="E1648">
        <v>10000</v>
      </c>
      <c r="F1648">
        <v>99</v>
      </c>
      <c r="G1648">
        <v>99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40</v>
      </c>
      <c r="Q1648">
        <v>51</v>
      </c>
      <c r="R1648">
        <v>91</v>
      </c>
      <c r="S1648">
        <v>0</v>
      </c>
      <c r="T1648">
        <v>25</v>
      </c>
      <c r="U1648">
        <v>13</v>
      </c>
      <c r="V1648">
        <v>25</v>
      </c>
      <c r="W1648">
        <v>0</v>
      </c>
      <c r="X1648">
        <v>0</v>
      </c>
    </row>
    <row r="1649" spans="1:24" x14ac:dyDescent="0.2">
      <c r="A1649">
        <v>16090500</v>
      </c>
      <c r="B1649" t="s">
        <v>1648</v>
      </c>
      <c r="C1649">
        <v>400</v>
      </c>
      <c r="D1649">
        <v>400</v>
      </c>
      <c r="E1649">
        <v>10000</v>
      </c>
      <c r="F1649">
        <v>99</v>
      </c>
      <c r="G1649">
        <v>99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40</v>
      </c>
      <c r="Q1649">
        <v>51</v>
      </c>
      <c r="R1649">
        <v>91</v>
      </c>
      <c r="S1649">
        <v>0</v>
      </c>
      <c r="T1649">
        <v>25</v>
      </c>
      <c r="U1649">
        <v>13</v>
      </c>
      <c r="V1649">
        <v>25</v>
      </c>
      <c r="W1649">
        <v>0</v>
      </c>
      <c r="X1649">
        <v>0</v>
      </c>
    </row>
    <row r="1650" spans="1:24" x14ac:dyDescent="0.2">
      <c r="A1650">
        <v>16090600</v>
      </c>
      <c r="B1650" t="s">
        <v>1649</v>
      </c>
      <c r="C1650">
        <v>600</v>
      </c>
      <c r="D1650">
        <v>600</v>
      </c>
      <c r="E1650">
        <v>10000</v>
      </c>
      <c r="F1650">
        <v>104</v>
      </c>
      <c r="G1650">
        <v>0</v>
      </c>
      <c r="H1650">
        <v>104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40</v>
      </c>
      <c r="Q1650">
        <v>51</v>
      </c>
      <c r="R1650">
        <v>0</v>
      </c>
      <c r="S1650">
        <v>0</v>
      </c>
      <c r="T1650">
        <v>25</v>
      </c>
      <c r="U1650">
        <v>13</v>
      </c>
      <c r="V1650">
        <v>25</v>
      </c>
      <c r="W1650">
        <v>0</v>
      </c>
      <c r="X1650">
        <v>0</v>
      </c>
    </row>
    <row r="1651" spans="1:24" x14ac:dyDescent="0.2">
      <c r="A1651">
        <v>16090700</v>
      </c>
      <c r="B1651" t="s">
        <v>1650</v>
      </c>
      <c r="C1651">
        <v>700</v>
      </c>
      <c r="D1651">
        <v>700</v>
      </c>
      <c r="E1651">
        <v>10000</v>
      </c>
      <c r="F1651">
        <v>99</v>
      </c>
      <c r="G1651">
        <v>0</v>
      </c>
      <c r="H1651">
        <v>99</v>
      </c>
      <c r="I1651">
        <v>0</v>
      </c>
      <c r="J1651">
        <v>0</v>
      </c>
      <c r="K1651">
        <v>0</v>
      </c>
      <c r="L1651">
        <v>0</v>
      </c>
      <c r="M1651">
        <v>4</v>
      </c>
      <c r="N1651">
        <v>0</v>
      </c>
      <c r="O1651">
        <v>0</v>
      </c>
      <c r="P1651">
        <v>40</v>
      </c>
      <c r="Q1651">
        <v>51</v>
      </c>
      <c r="R1651">
        <v>91</v>
      </c>
      <c r="S1651">
        <v>91</v>
      </c>
      <c r="T1651">
        <v>25</v>
      </c>
      <c r="U1651">
        <v>13</v>
      </c>
      <c r="V1651">
        <v>25</v>
      </c>
      <c r="W1651">
        <v>0</v>
      </c>
      <c r="X1651">
        <v>0</v>
      </c>
    </row>
    <row r="1652" spans="1:24" x14ac:dyDescent="0.2">
      <c r="A1652">
        <v>16090800</v>
      </c>
      <c r="B1652" t="s">
        <v>1651</v>
      </c>
      <c r="C1652">
        <v>800</v>
      </c>
      <c r="D1652">
        <v>800</v>
      </c>
      <c r="E1652">
        <v>10000</v>
      </c>
      <c r="F1652">
        <v>99</v>
      </c>
      <c r="G1652">
        <v>0</v>
      </c>
      <c r="H1652">
        <v>0</v>
      </c>
      <c r="I1652">
        <v>99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40</v>
      </c>
      <c r="Q1652">
        <v>51</v>
      </c>
      <c r="R1652">
        <v>0</v>
      </c>
      <c r="S1652">
        <v>91</v>
      </c>
      <c r="T1652">
        <v>25</v>
      </c>
      <c r="U1652">
        <v>13</v>
      </c>
      <c r="V1652">
        <v>25</v>
      </c>
      <c r="W1652">
        <v>0</v>
      </c>
      <c r="X1652">
        <v>0</v>
      </c>
    </row>
    <row r="1653" spans="1:24" x14ac:dyDescent="0.2">
      <c r="A1653">
        <v>16090900</v>
      </c>
      <c r="B1653" t="s">
        <v>1652</v>
      </c>
      <c r="C1653">
        <v>900</v>
      </c>
      <c r="D1653">
        <v>900</v>
      </c>
      <c r="E1653">
        <v>10000</v>
      </c>
      <c r="F1653">
        <v>104</v>
      </c>
      <c r="G1653">
        <v>0</v>
      </c>
      <c r="H1653">
        <v>0</v>
      </c>
      <c r="I1653">
        <v>0</v>
      </c>
      <c r="J1653">
        <v>104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40</v>
      </c>
      <c r="Q1653">
        <v>51</v>
      </c>
      <c r="R1653">
        <v>0</v>
      </c>
      <c r="S1653">
        <v>0</v>
      </c>
      <c r="T1653">
        <v>25</v>
      </c>
      <c r="U1653">
        <v>13</v>
      </c>
      <c r="V1653">
        <v>25</v>
      </c>
      <c r="W1653">
        <v>0</v>
      </c>
      <c r="X1653">
        <v>0</v>
      </c>
    </row>
    <row r="1654" spans="1:24" x14ac:dyDescent="0.2">
      <c r="A1654">
        <v>16091000</v>
      </c>
      <c r="B1654" t="s">
        <v>1653</v>
      </c>
      <c r="C1654">
        <v>1000</v>
      </c>
      <c r="D1654">
        <v>1000</v>
      </c>
      <c r="E1654">
        <v>10000</v>
      </c>
      <c r="F1654">
        <v>99</v>
      </c>
      <c r="G1654">
        <v>0</v>
      </c>
      <c r="H1654">
        <v>0</v>
      </c>
      <c r="I1654">
        <v>0</v>
      </c>
      <c r="J1654">
        <v>99</v>
      </c>
      <c r="K1654">
        <v>0</v>
      </c>
      <c r="L1654">
        <v>0</v>
      </c>
      <c r="M1654">
        <v>0</v>
      </c>
      <c r="N1654">
        <v>0</v>
      </c>
      <c r="O1654">
        <v>4</v>
      </c>
      <c r="P1654">
        <v>40</v>
      </c>
      <c r="Q1654">
        <v>51</v>
      </c>
      <c r="R1654">
        <v>91</v>
      </c>
      <c r="S1654">
        <v>91</v>
      </c>
      <c r="T1654">
        <v>25</v>
      </c>
      <c r="U1654">
        <v>13</v>
      </c>
      <c r="V1654">
        <v>25</v>
      </c>
      <c r="W1654">
        <v>0</v>
      </c>
      <c r="X1654">
        <v>0</v>
      </c>
    </row>
    <row r="1655" spans="1:24" x14ac:dyDescent="0.2">
      <c r="A1655">
        <v>16091100</v>
      </c>
      <c r="B1655" t="s">
        <v>1654</v>
      </c>
      <c r="C1655">
        <v>1100</v>
      </c>
      <c r="D1655">
        <v>1100</v>
      </c>
      <c r="E1655">
        <v>10000</v>
      </c>
      <c r="F1655">
        <v>104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40</v>
      </c>
      <c r="Q1655">
        <v>51</v>
      </c>
      <c r="R1655">
        <v>0</v>
      </c>
      <c r="S1655">
        <v>0</v>
      </c>
      <c r="T1655">
        <v>25</v>
      </c>
      <c r="U1655">
        <v>13</v>
      </c>
      <c r="V1655">
        <v>25</v>
      </c>
      <c r="W1655">
        <v>0</v>
      </c>
      <c r="X1655">
        <v>0</v>
      </c>
    </row>
    <row r="1656" spans="1:24" x14ac:dyDescent="0.2">
      <c r="A1656">
        <v>16091200</v>
      </c>
      <c r="B1656" t="s">
        <v>1655</v>
      </c>
      <c r="C1656">
        <v>1200</v>
      </c>
      <c r="D1656">
        <v>1200</v>
      </c>
      <c r="E1656">
        <v>10000</v>
      </c>
      <c r="F1656">
        <v>104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40</v>
      </c>
      <c r="Q1656">
        <v>51</v>
      </c>
      <c r="R1656">
        <v>0</v>
      </c>
      <c r="S1656">
        <v>0</v>
      </c>
      <c r="T1656">
        <v>25</v>
      </c>
      <c r="U1656">
        <v>13</v>
      </c>
      <c r="V1656">
        <v>25</v>
      </c>
      <c r="W1656">
        <v>0</v>
      </c>
      <c r="X1656">
        <v>0</v>
      </c>
    </row>
    <row r="1657" spans="1:24" x14ac:dyDescent="0.2">
      <c r="A1657">
        <v>16091300</v>
      </c>
      <c r="B1657" t="s">
        <v>1656</v>
      </c>
      <c r="C1657">
        <v>1300</v>
      </c>
      <c r="D1657">
        <v>1300</v>
      </c>
      <c r="E1657">
        <v>10000</v>
      </c>
      <c r="F1657">
        <v>114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40</v>
      </c>
      <c r="Q1657">
        <v>51</v>
      </c>
      <c r="R1657">
        <v>0</v>
      </c>
      <c r="S1657">
        <v>0</v>
      </c>
      <c r="T1657">
        <v>25</v>
      </c>
      <c r="U1657">
        <v>13</v>
      </c>
      <c r="V1657">
        <v>25</v>
      </c>
      <c r="W1657">
        <v>0</v>
      </c>
      <c r="X1657">
        <v>0</v>
      </c>
    </row>
    <row r="1658" spans="1:24" x14ac:dyDescent="0.2">
      <c r="A1658">
        <v>16091400</v>
      </c>
      <c r="B1658" t="s">
        <v>1657</v>
      </c>
      <c r="C1658">
        <v>1400</v>
      </c>
      <c r="D1658">
        <v>1400</v>
      </c>
      <c r="E1658">
        <v>10014</v>
      </c>
      <c r="F1658">
        <v>99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40</v>
      </c>
      <c r="Q1658">
        <v>51</v>
      </c>
      <c r="R1658">
        <v>0</v>
      </c>
      <c r="S1658">
        <v>91</v>
      </c>
      <c r="T1658">
        <v>25</v>
      </c>
      <c r="U1658">
        <v>13</v>
      </c>
      <c r="V1658">
        <v>25</v>
      </c>
      <c r="W1658">
        <v>0</v>
      </c>
      <c r="X1658">
        <v>0</v>
      </c>
    </row>
    <row r="1659" spans="1:24" x14ac:dyDescent="0.2">
      <c r="A1659">
        <v>16091500</v>
      </c>
      <c r="B1659" t="s">
        <v>1658</v>
      </c>
      <c r="C1659">
        <v>1500</v>
      </c>
      <c r="D1659">
        <v>1500</v>
      </c>
      <c r="E1659">
        <v>10015</v>
      </c>
      <c r="F1659">
        <v>104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40</v>
      </c>
      <c r="Q1659">
        <v>51</v>
      </c>
      <c r="R1659">
        <v>0</v>
      </c>
      <c r="S1659">
        <v>0</v>
      </c>
      <c r="T1659">
        <v>25</v>
      </c>
      <c r="U1659">
        <v>13</v>
      </c>
      <c r="V1659">
        <v>25</v>
      </c>
      <c r="W1659">
        <v>0</v>
      </c>
      <c r="X1659">
        <v>0</v>
      </c>
    </row>
    <row r="1660" spans="1:24" x14ac:dyDescent="0.2">
      <c r="A1660">
        <v>16100000</v>
      </c>
      <c r="B1660" t="s">
        <v>1659</v>
      </c>
      <c r="C1660">
        <v>0</v>
      </c>
      <c r="D1660">
        <v>0</v>
      </c>
      <c r="E1660">
        <v>10000</v>
      </c>
      <c r="F1660">
        <v>100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35</v>
      </c>
      <c r="Q1660">
        <v>52</v>
      </c>
      <c r="R1660">
        <v>0</v>
      </c>
      <c r="S1660">
        <v>0</v>
      </c>
      <c r="T1660">
        <v>26</v>
      </c>
      <c r="U1660">
        <v>14</v>
      </c>
      <c r="V1660">
        <v>20</v>
      </c>
      <c r="W1660">
        <v>0</v>
      </c>
      <c r="X1660">
        <v>0</v>
      </c>
    </row>
    <row r="1661" spans="1:24" x14ac:dyDescent="0.2">
      <c r="A1661">
        <v>16100100</v>
      </c>
      <c r="B1661" t="s">
        <v>1660</v>
      </c>
      <c r="C1661">
        <v>200</v>
      </c>
      <c r="D1661">
        <v>100</v>
      </c>
      <c r="E1661">
        <v>10000</v>
      </c>
      <c r="F1661">
        <v>100</v>
      </c>
      <c r="G1661">
        <v>0</v>
      </c>
      <c r="H1661">
        <v>0</v>
      </c>
      <c r="I1661">
        <v>0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43</v>
      </c>
      <c r="Q1661">
        <v>0</v>
      </c>
      <c r="R1661">
        <v>0</v>
      </c>
      <c r="S1661">
        <v>0</v>
      </c>
      <c r="T1661">
        <v>26</v>
      </c>
      <c r="U1661">
        <v>14</v>
      </c>
      <c r="V1661">
        <v>20</v>
      </c>
      <c r="W1661">
        <v>0</v>
      </c>
      <c r="X1661">
        <v>0</v>
      </c>
    </row>
    <row r="1662" spans="1:24" x14ac:dyDescent="0.2">
      <c r="A1662">
        <v>16100200</v>
      </c>
      <c r="B1662" t="s">
        <v>1661</v>
      </c>
      <c r="C1662">
        <v>100</v>
      </c>
      <c r="D1662">
        <v>5000</v>
      </c>
      <c r="E1662">
        <v>10000</v>
      </c>
      <c r="F1662">
        <v>100</v>
      </c>
      <c r="G1662">
        <v>0</v>
      </c>
      <c r="H1662">
        <v>0</v>
      </c>
      <c r="I1662">
        <v>0</v>
      </c>
      <c r="J1662">
        <v>0</v>
      </c>
      <c r="K1662">
        <v>2</v>
      </c>
      <c r="L1662">
        <v>0</v>
      </c>
      <c r="M1662">
        <v>0</v>
      </c>
      <c r="N1662">
        <v>0</v>
      </c>
      <c r="O1662">
        <v>0</v>
      </c>
      <c r="P1662">
        <v>22</v>
      </c>
      <c r="Q1662">
        <v>52</v>
      </c>
      <c r="R1662">
        <v>0</v>
      </c>
      <c r="S1662">
        <v>0</v>
      </c>
      <c r="T1662">
        <v>26</v>
      </c>
      <c r="U1662">
        <v>14</v>
      </c>
      <c r="V1662">
        <v>20</v>
      </c>
      <c r="W1662">
        <v>0</v>
      </c>
      <c r="X1662">
        <v>0</v>
      </c>
    </row>
    <row r="1663" spans="1:24" x14ac:dyDescent="0.2">
      <c r="A1663">
        <v>16100300</v>
      </c>
      <c r="B1663" t="s">
        <v>1662</v>
      </c>
      <c r="C1663">
        <v>300</v>
      </c>
      <c r="D1663">
        <v>300</v>
      </c>
      <c r="E1663">
        <v>10000</v>
      </c>
      <c r="F1663">
        <v>100</v>
      </c>
      <c r="G1663">
        <v>0</v>
      </c>
      <c r="H1663">
        <v>0</v>
      </c>
      <c r="I1663">
        <v>0</v>
      </c>
      <c r="J1663">
        <v>0</v>
      </c>
      <c r="K1663">
        <v>8</v>
      </c>
      <c r="L1663">
        <v>0</v>
      </c>
      <c r="M1663">
        <v>0</v>
      </c>
      <c r="N1663">
        <v>0</v>
      </c>
      <c r="O1663">
        <v>0</v>
      </c>
      <c r="P1663">
        <v>48</v>
      </c>
      <c r="Q1663">
        <v>48</v>
      </c>
      <c r="R1663">
        <v>0</v>
      </c>
      <c r="S1663">
        <v>0</v>
      </c>
      <c r="T1663">
        <v>26</v>
      </c>
      <c r="U1663">
        <v>14</v>
      </c>
      <c r="V1663">
        <v>20</v>
      </c>
      <c r="W1663">
        <v>0</v>
      </c>
      <c r="X1663">
        <v>0</v>
      </c>
    </row>
    <row r="1664" spans="1:24" x14ac:dyDescent="0.2">
      <c r="A1664">
        <v>16100400</v>
      </c>
      <c r="B1664" t="s">
        <v>1663</v>
      </c>
      <c r="C1664">
        <v>500</v>
      </c>
      <c r="D1664">
        <v>500</v>
      </c>
      <c r="E1664">
        <v>10000</v>
      </c>
      <c r="F1664">
        <v>95</v>
      </c>
      <c r="G1664">
        <v>95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35</v>
      </c>
      <c r="Q1664">
        <v>52</v>
      </c>
      <c r="R1664">
        <v>87</v>
      </c>
      <c r="S1664">
        <v>0</v>
      </c>
      <c r="T1664">
        <v>26</v>
      </c>
      <c r="U1664">
        <v>14</v>
      </c>
      <c r="V1664">
        <v>20</v>
      </c>
      <c r="W1664">
        <v>0</v>
      </c>
      <c r="X1664">
        <v>0</v>
      </c>
    </row>
    <row r="1665" spans="1:24" x14ac:dyDescent="0.2">
      <c r="A1665">
        <v>16100500</v>
      </c>
      <c r="B1665" t="s">
        <v>1664</v>
      </c>
      <c r="C1665">
        <v>400</v>
      </c>
      <c r="D1665">
        <v>400</v>
      </c>
      <c r="E1665">
        <v>10000</v>
      </c>
      <c r="F1665">
        <v>95</v>
      </c>
      <c r="G1665">
        <v>95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35</v>
      </c>
      <c r="Q1665">
        <v>52</v>
      </c>
      <c r="R1665">
        <v>87</v>
      </c>
      <c r="S1665">
        <v>0</v>
      </c>
      <c r="T1665">
        <v>26</v>
      </c>
      <c r="U1665">
        <v>14</v>
      </c>
      <c r="V1665">
        <v>20</v>
      </c>
      <c r="W1665">
        <v>0</v>
      </c>
      <c r="X1665">
        <v>0</v>
      </c>
    </row>
    <row r="1666" spans="1:24" x14ac:dyDescent="0.2">
      <c r="A1666">
        <v>16100600</v>
      </c>
      <c r="B1666" t="s">
        <v>1665</v>
      </c>
      <c r="C1666">
        <v>600</v>
      </c>
      <c r="D1666">
        <v>600</v>
      </c>
      <c r="E1666">
        <v>10000</v>
      </c>
      <c r="F1666">
        <v>100</v>
      </c>
      <c r="G1666">
        <v>0</v>
      </c>
      <c r="H1666">
        <v>100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35</v>
      </c>
      <c r="Q1666">
        <v>52</v>
      </c>
      <c r="R1666">
        <v>0</v>
      </c>
      <c r="S1666">
        <v>0</v>
      </c>
      <c r="T1666">
        <v>26</v>
      </c>
      <c r="U1666">
        <v>14</v>
      </c>
      <c r="V1666">
        <v>20</v>
      </c>
      <c r="W1666">
        <v>0</v>
      </c>
      <c r="X1666">
        <v>0</v>
      </c>
    </row>
    <row r="1667" spans="1:24" x14ac:dyDescent="0.2">
      <c r="A1667">
        <v>16100700</v>
      </c>
      <c r="B1667" t="s">
        <v>1666</v>
      </c>
      <c r="C1667">
        <v>700</v>
      </c>
      <c r="D1667">
        <v>700</v>
      </c>
      <c r="E1667">
        <v>10000</v>
      </c>
      <c r="F1667">
        <v>95</v>
      </c>
      <c r="G1667">
        <v>0</v>
      </c>
      <c r="H1667">
        <v>95</v>
      </c>
      <c r="I1667">
        <v>0</v>
      </c>
      <c r="J1667">
        <v>0</v>
      </c>
      <c r="K1667">
        <v>0</v>
      </c>
      <c r="L1667">
        <v>0</v>
      </c>
      <c r="M1667">
        <v>4</v>
      </c>
      <c r="N1667">
        <v>0</v>
      </c>
      <c r="O1667">
        <v>0</v>
      </c>
      <c r="P1667">
        <v>35</v>
      </c>
      <c r="Q1667">
        <v>52</v>
      </c>
      <c r="R1667">
        <v>87</v>
      </c>
      <c r="S1667">
        <v>87</v>
      </c>
      <c r="T1667">
        <v>26</v>
      </c>
      <c r="U1667">
        <v>14</v>
      </c>
      <c r="V1667">
        <v>20</v>
      </c>
      <c r="W1667">
        <v>0</v>
      </c>
      <c r="X1667">
        <v>0</v>
      </c>
    </row>
    <row r="1668" spans="1:24" x14ac:dyDescent="0.2">
      <c r="A1668">
        <v>16100800</v>
      </c>
      <c r="B1668" t="s">
        <v>1667</v>
      </c>
      <c r="C1668">
        <v>800</v>
      </c>
      <c r="D1668">
        <v>800</v>
      </c>
      <c r="E1668">
        <v>10000</v>
      </c>
      <c r="F1668">
        <v>95</v>
      </c>
      <c r="G1668">
        <v>0</v>
      </c>
      <c r="H1668">
        <v>0</v>
      </c>
      <c r="I1668">
        <v>95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35</v>
      </c>
      <c r="Q1668">
        <v>52</v>
      </c>
      <c r="R1668">
        <v>0</v>
      </c>
      <c r="S1668">
        <v>87</v>
      </c>
      <c r="T1668">
        <v>26</v>
      </c>
      <c r="U1668">
        <v>14</v>
      </c>
      <c r="V1668">
        <v>20</v>
      </c>
      <c r="W1668">
        <v>0</v>
      </c>
      <c r="X1668">
        <v>0</v>
      </c>
    </row>
    <row r="1669" spans="1:24" x14ac:dyDescent="0.2">
      <c r="A1669">
        <v>16100900</v>
      </c>
      <c r="B1669" t="s">
        <v>1668</v>
      </c>
      <c r="C1669">
        <v>900</v>
      </c>
      <c r="D1669">
        <v>900</v>
      </c>
      <c r="E1669">
        <v>10000</v>
      </c>
      <c r="F1669">
        <v>100</v>
      </c>
      <c r="G1669">
        <v>0</v>
      </c>
      <c r="H1669">
        <v>0</v>
      </c>
      <c r="I1669">
        <v>0</v>
      </c>
      <c r="J1669">
        <v>100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35</v>
      </c>
      <c r="Q1669">
        <v>52</v>
      </c>
      <c r="R1669">
        <v>0</v>
      </c>
      <c r="S1669">
        <v>0</v>
      </c>
      <c r="T1669">
        <v>26</v>
      </c>
      <c r="U1669">
        <v>14</v>
      </c>
      <c r="V1669">
        <v>20</v>
      </c>
      <c r="W1669">
        <v>0</v>
      </c>
      <c r="X1669">
        <v>0</v>
      </c>
    </row>
    <row r="1670" spans="1:24" x14ac:dyDescent="0.2">
      <c r="A1670">
        <v>16101000</v>
      </c>
      <c r="B1670" t="s">
        <v>1669</v>
      </c>
      <c r="C1670">
        <v>1000</v>
      </c>
      <c r="D1670">
        <v>1000</v>
      </c>
      <c r="E1670">
        <v>10000</v>
      </c>
      <c r="F1670">
        <v>95</v>
      </c>
      <c r="G1670">
        <v>0</v>
      </c>
      <c r="H1670">
        <v>0</v>
      </c>
      <c r="I1670">
        <v>0</v>
      </c>
      <c r="J1670">
        <v>95</v>
      </c>
      <c r="K1670">
        <v>0</v>
      </c>
      <c r="L1670">
        <v>0</v>
      </c>
      <c r="M1670">
        <v>0</v>
      </c>
      <c r="N1670">
        <v>0</v>
      </c>
      <c r="O1670">
        <v>4</v>
      </c>
      <c r="P1670">
        <v>35</v>
      </c>
      <c r="Q1670">
        <v>52</v>
      </c>
      <c r="R1670">
        <v>87</v>
      </c>
      <c r="S1670">
        <v>87</v>
      </c>
      <c r="T1670">
        <v>26</v>
      </c>
      <c r="U1670">
        <v>14</v>
      </c>
      <c r="V1670">
        <v>20</v>
      </c>
      <c r="W1670">
        <v>0</v>
      </c>
      <c r="X1670">
        <v>0</v>
      </c>
    </row>
    <row r="1671" spans="1:24" x14ac:dyDescent="0.2">
      <c r="A1671">
        <v>16101100</v>
      </c>
      <c r="B1671" t="s">
        <v>1670</v>
      </c>
      <c r="C1671">
        <v>1100</v>
      </c>
      <c r="D1671">
        <v>1100</v>
      </c>
      <c r="E1671">
        <v>10000</v>
      </c>
      <c r="F1671">
        <v>100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35</v>
      </c>
      <c r="Q1671">
        <v>52</v>
      </c>
      <c r="R1671">
        <v>0</v>
      </c>
      <c r="S1671">
        <v>0</v>
      </c>
      <c r="T1671">
        <v>26</v>
      </c>
      <c r="U1671">
        <v>14</v>
      </c>
      <c r="V1671">
        <v>20</v>
      </c>
      <c r="W1671">
        <v>0</v>
      </c>
      <c r="X1671">
        <v>0</v>
      </c>
    </row>
    <row r="1672" spans="1:24" x14ac:dyDescent="0.2">
      <c r="A1672">
        <v>16101200</v>
      </c>
      <c r="B1672" t="s">
        <v>1671</v>
      </c>
      <c r="C1672">
        <v>1200</v>
      </c>
      <c r="D1672">
        <v>1200</v>
      </c>
      <c r="E1672">
        <v>10000</v>
      </c>
      <c r="F1672">
        <v>100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35</v>
      </c>
      <c r="Q1672">
        <v>52</v>
      </c>
      <c r="R1672">
        <v>0</v>
      </c>
      <c r="S1672">
        <v>0</v>
      </c>
      <c r="T1672">
        <v>26</v>
      </c>
      <c r="U1672">
        <v>14</v>
      </c>
      <c r="V1672">
        <v>20</v>
      </c>
      <c r="W1672">
        <v>0</v>
      </c>
      <c r="X1672">
        <v>0</v>
      </c>
    </row>
    <row r="1673" spans="1:24" x14ac:dyDescent="0.2">
      <c r="A1673">
        <v>16101300</v>
      </c>
      <c r="B1673" t="s">
        <v>1672</v>
      </c>
      <c r="C1673">
        <v>1300</v>
      </c>
      <c r="D1673">
        <v>1300</v>
      </c>
      <c r="E1673">
        <v>10000</v>
      </c>
      <c r="F1673">
        <v>110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35</v>
      </c>
      <c r="Q1673">
        <v>52</v>
      </c>
      <c r="R1673">
        <v>0</v>
      </c>
      <c r="S1673">
        <v>0</v>
      </c>
      <c r="T1673">
        <v>26</v>
      </c>
      <c r="U1673">
        <v>14</v>
      </c>
      <c r="V1673">
        <v>20</v>
      </c>
      <c r="W1673">
        <v>0</v>
      </c>
      <c r="X1673">
        <v>0</v>
      </c>
    </row>
    <row r="1674" spans="1:24" x14ac:dyDescent="0.2">
      <c r="A1674">
        <v>16101400</v>
      </c>
      <c r="B1674" t="s">
        <v>1673</v>
      </c>
      <c r="C1674">
        <v>1400</v>
      </c>
      <c r="D1674">
        <v>1400</v>
      </c>
      <c r="E1674">
        <v>10014</v>
      </c>
      <c r="F1674">
        <v>95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35</v>
      </c>
      <c r="Q1674">
        <v>52</v>
      </c>
      <c r="R1674">
        <v>0</v>
      </c>
      <c r="S1674">
        <v>87</v>
      </c>
      <c r="T1674">
        <v>26</v>
      </c>
      <c r="U1674">
        <v>14</v>
      </c>
      <c r="V1674">
        <v>20</v>
      </c>
      <c r="W1674">
        <v>0</v>
      </c>
      <c r="X1674">
        <v>0</v>
      </c>
    </row>
    <row r="1675" spans="1:24" x14ac:dyDescent="0.2">
      <c r="A1675">
        <v>16101500</v>
      </c>
      <c r="B1675" t="s">
        <v>1674</v>
      </c>
      <c r="C1675">
        <v>1500</v>
      </c>
      <c r="D1675">
        <v>1500</v>
      </c>
      <c r="E1675">
        <v>10015</v>
      </c>
      <c r="F1675">
        <v>100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35</v>
      </c>
      <c r="Q1675">
        <v>52</v>
      </c>
      <c r="R1675">
        <v>0</v>
      </c>
      <c r="S1675">
        <v>0</v>
      </c>
      <c r="T1675">
        <v>26</v>
      </c>
      <c r="U1675">
        <v>14</v>
      </c>
      <c r="V1675">
        <v>20</v>
      </c>
      <c r="W1675">
        <v>0</v>
      </c>
      <c r="X1675">
        <v>0</v>
      </c>
    </row>
    <row r="1676" spans="1:24" x14ac:dyDescent="0.2">
      <c r="A1676">
        <v>16120000</v>
      </c>
      <c r="B1676" t="s">
        <v>1675</v>
      </c>
      <c r="C1676">
        <v>0</v>
      </c>
      <c r="D1676">
        <v>8200</v>
      </c>
      <c r="E1676">
        <v>10000</v>
      </c>
      <c r="F1676">
        <v>107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60</v>
      </c>
      <c r="Q1676">
        <v>0</v>
      </c>
      <c r="R1676">
        <v>0</v>
      </c>
      <c r="S1676">
        <v>0</v>
      </c>
      <c r="T1676">
        <v>12</v>
      </c>
      <c r="U1676">
        <v>45</v>
      </c>
      <c r="V1676">
        <v>0</v>
      </c>
      <c r="W1676">
        <v>0</v>
      </c>
      <c r="X1676">
        <v>0</v>
      </c>
    </row>
    <row r="1677" spans="1:24" x14ac:dyDescent="0.2">
      <c r="A1677">
        <v>16120100</v>
      </c>
      <c r="B1677" t="s">
        <v>1676</v>
      </c>
      <c r="C1677">
        <v>200</v>
      </c>
      <c r="D1677">
        <v>100</v>
      </c>
      <c r="E1677">
        <v>10000</v>
      </c>
      <c r="F1677">
        <v>107</v>
      </c>
      <c r="G1677">
        <v>0</v>
      </c>
      <c r="H1677">
        <v>0</v>
      </c>
      <c r="I1677">
        <v>0</v>
      </c>
      <c r="J1677">
        <v>0</v>
      </c>
      <c r="K1677">
        <v>1</v>
      </c>
      <c r="L1677">
        <v>0</v>
      </c>
      <c r="M1677">
        <v>0</v>
      </c>
      <c r="N1677">
        <v>0</v>
      </c>
      <c r="O1677">
        <v>0</v>
      </c>
      <c r="P1677">
        <v>48</v>
      </c>
      <c r="Q1677">
        <v>0</v>
      </c>
      <c r="R1677">
        <v>0</v>
      </c>
      <c r="S1677">
        <v>0</v>
      </c>
      <c r="T1677">
        <v>12</v>
      </c>
      <c r="U1677">
        <v>45</v>
      </c>
      <c r="V1677">
        <v>0</v>
      </c>
      <c r="W1677">
        <v>0</v>
      </c>
      <c r="X1677">
        <v>0</v>
      </c>
    </row>
    <row r="1678" spans="1:24" x14ac:dyDescent="0.2">
      <c r="A1678">
        <v>16120200</v>
      </c>
      <c r="B1678" t="s">
        <v>1677</v>
      </c>
      <c r="C1678">
        <v>100</v>
      </c>
      <c r="D1678">
        <v>200</v>
      </c>
      <c r="E1678">
        <v>10000</v>
      </c>
      <c r="F1678">
        <v>107</v>
      </c>
      <c r="G1678">
        <v>0</v>
      </c>
      <c r="H1678">
        <v>0</v>
      </c>
      <c r="I1678">
        <v>0</v>
      </c>
      <c r="J1678">
        <v>0</v>
      </c>
      <c r="K1678">
        <v>2</v>
      </c>
      <c r="L1678">
        <v>0</v>
      </c>
      <c r="M1678">
        <v>0</v>
      </c>
      <c r="N1678">
        <v>0</v>
      </c>
      <c r="O1678">
        <v>0</v>
      </c>
      <c r="P1678">
        <v>23</v>
      </c>
      <c r="Q1678">
        <v>36</v>
      </c>
      <c r="R1678">
        <v>0</v>
      </c>
      <c r="S1678">
        <v>0</v>
      </c>
      <c r="T1678">
        <v>12</v>
      </c>
      <c r="U1678">
        <v>45</v>
      </c>
      <c r="V1678">
        <v>0</v>
      </c>
      <c r="W1678">
        <v>0</v>
      </c>
      <c r="X1678">
        <v>0</v>
      </c>
    </row>
    <row r="1679" spans="1:24" x14ac:dyDescent="0.2">
      <c r="A1679">
        <v>16120300</v>
      </c>
      <c r="B1679" t="s">
        <v>1678</v>
      </c>
      <c r="C1679">
        <v>300</v>
      </c>
      <c r="D1679">
        <v>300</v>
      </c>
      <c r="E1679">
        <v>10000</v>
      </c>
      <c r="F1679">
        <v>107</v>
      </c>
      <c r="G1679">
        <v>0</v>
      </c>
      <c r="H1679">
        <v>0</v>
      </c>
      <c r="I1679">
        <v>0</v>
      </c>
      <c r="J1679">
        <v>0</v>
      </c>
      <c r="K1679">
        <v>8</v>
      </c>
      <c r="L1679">
        <v>0</v>
      </c>
      <c r="M1679">
        <v>0</v>
      </c>
      <c r="N1679">
        <v>0</v>
      </c>
      <c r="O1679">
        <v>0</v>
      </c>
      <c r="P1679">
        <v>45</v>
      </c>
      <c r="Q1679">
        <v>45</v>
      </c>
      <c r="R1679">
        <v>0</v>
      </c>
      <c r="S1679">
        <v>0</v>
      </c>
      <c r="T1679">
        <v>12</v>
      </c>
      <c r="U1679">
        <v>45</v>
      </c>
      <c r="V1679">
        <v>0</v>
      </c>
      <c r="W1679">
        <v>0</v>
      </c>
      <c r="X1679">
        <v>0</v>
      </c>
    </row>
    <row r="1680" spans="1:24" x14ac:dyDescent="0.2">
      <c r="A1680">
        <v>16120400</v>
      </c>
      <c r="B1680" t="s">
        <v>1679</v>
      </c>
      <c r="C1680">
        <v>500</v>
      </c>
      <c r="D1680">
        <v>500</v>
      </c>
      <c r="E1680">
        <v>10000</v>
      </c>
      <c r="F1680">
        <v>114</v>
      </c>
      <c r="G1680">
        <v>114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60</v>
      </c>
      <c r="Q1680">
        <v>0</v>
      </c>
      <c r="R1680">
        <v>60</v>
      </c>
      <c r="S1680">
        <v>0</v>
      </c>
      <c r="T1680">
        <v>12</v>
      </c>
      <c r="U1680">
        <v>45</v>
      </c>
      <c r="V1680">
        <v>0</v>
      </c>
      <c r="W1680">
        <v>0</v>
      </c>
      <c r="X1680">
        <v>0</v>
      </c>
    </row>
    <row r="1681" spans="1:24" x14ac:dyDescent="0.2">
      <c r="A1681">
        <v>16120500</v>
      </c>
      <c r="B1681" t="s">
        <v>1680</v>
      </c>
      <c r="C1681">
        <v>400</v>
      </c>
      <c r="D1681">
        <v>400</v>
      </c>
      <c r="E1681">
        <v>10000</v>
      </c>
      <c r="F1681">
        <v>114</v>
      </c>
      <c r="G1681">
        <v>114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60</v>
      </c>
      <c r="Q1681">
        <v>0</v>
      </c>
      <c r="R1681">
        <v>60</v>
      </c>
      <c r="S1681">
        <v>0</v>
      </c>
      <c r="T1681">
        <v>12</v>
      </c>
      <c r="U1681">
        <v>45</v>
      </c>
      <c r="V1681">
        <v>0</v>
      </c>
      <c r="W1681">
        <v>0</v>
      </c>
      <c r="X1681">
        <v>0</v>
      </c>
    </row>
    <row r="1682" spans="1:24" x14ac:dyDescent="0.2">
      <c r="A1682">
        <v>16120600</v>
      </c>
      <c r="B1682" t="s">
        <v>1681</v>
      </c>
      <c r="C1682">
        <v>600</v>
      </c>
      <c r="D1682">
        <v>600</v>
      </c>
      <c r="E1682">
        <v>10000</v>
      </c>
      <c r="F1682">
        <v>109</v>
      </c>
      <c r="G1682">
        <v>0</v>
      </c>
      <c r="H1682">
        <v>109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60</v>
      </c>
      <c r="Q1682">
        <v>0</v>
      </c>
      <c r="R1682">
        <v>0</v>
      </c>
      <c r="S1682">
        <v>0</v>
      </c>
      <c r="T1682">
        <v>12</v>
      </c>
      <c r="U1682">
        <v>45</v>
      </c>
      <c r="V1682">
        <v>0</v>
      </c>
      <c r="W1682">
        <v>0</v>
      </c>
      <c r="X1682">
        <v>0</v>
      </c>
    </row>
    <row r="1683" spans="1:24" x14ac:dyDescent="0.2">
      <c r="A1683">
        <v>16120700</v>
      </c>
      <c r="B1683" t="s">
        <v>1682</v>
      </c>
      <c r="C1683">
        <v>700</v>
      </c>
      <c r="D1683">
        <v>700</v>
      </c>
      <c r="E1683">
        <v>10000</v>
      </c>
      <c r="F1683">
        <v>114</v>
      </c>
      <c r="G1683">
        <v>0</v>
      </c>
      <c r="H1683">
        <v>114</v>
      </c>
      <c r="I1683">
        <v>0</v>
      </c>
      <c r="J1683">
        <v>0</v>
      </c>
      <c r="K1683">
        <v>0</v>
      </c>
      <c r="L1683">
        <v>0</v>
      </c>
      <c r="M1683">
        <v>4</v>
      </c>
      <c r="N1683">
        <v>0</v>
      </c>
      <c r="O1683">
        <v>0</v>
      </c>
      <c r="P1683">
        <v>60</v>
      </c>
      <c r="Q1683">
        <v>0</v>
      </c>
      <c r="R1683">
        <v>60</v>
      </c>
      <c r="S1683">
        <v>60</v>
      </c>
      <c r="T1683">
        <v>12</v>
      </c>
      <c r="U1683">
        <v>45</v>
      </c>
      <c r="V1683">
        <v>0</v>
      </c>
      <c r="W1683">
        <v>0</v>
      </c>
      <c r="X1683">
        <v>0</v>
      </c>
    </row>
    <row r="1684" spans="1:24" x14ac:dyDescent="0.2">
      <c r="A1684">
        <v>16120800</v>
      </c>
      <c r="B1684" t="s">
        <v>1683</v>
      </c>
      <c r="C1684">
        <v>800</v>
      </c>
      <c r="D1684">
        <v>800</v>
      </c>
      <c r="E1684">
        <v>10000</v>
      </c>
      <c r="F1684">
        <v>114</v>
      </c>
      <c r="G1684">
        <v>0</v>
      </c>
      <c r="H1684">
        <v>0</v>
      </c>
      <c r="I1684">
        <v>114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60</v>
      </c>
      <c r="Q1684">
        <v>0</v>
      </c>
      <c r="R1684">
        <v>0</v>
      </c>
      <c r="S1684">
        <v>60</v>
      </c>
      <c r="T1684">
        <v>12</v>
      </c>
      <c r="U1684">
        <v>45</v>
      </c>
      <c r="V1684">
        <v>0</v>
      </c>
      <c r="W1684">
        <v>0</v>
      </c>
      <c r="X1684">
        <v>0</v>
      </c>
    </row>
    <row r="1685" spans="1:24" x14ac:dyDescent="0.2">
      <c r="A1685">
        <v>16120900</v>
      </c>
      <c r="B1685" t="s">
        <v>1684</v>
      </c>
      <c r="C1685">
        <v>900</v>
      </c>
      <c r="D1685">
        <v>900</v>
      </c>
      <c r="E1685">
        <v>10000</v>
      </c>
      <c r="F1685">
        <v>109</v>
      </c>
      <c r="G1685">
        <v>0</v>
      </c>
      <c r="H1685">
        <v>0</v>
      </c>
      <c r="I1685">
        <v>0</v>
      </c>
      <c r="J1685">
        <v>109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60</v>
      </c>
      <c r="Q1685">
        <v>0</v>
      </c>
      <c r="R1685">
        <v>0</v>
      </c>
      <c r="S1685">
        <v>0</v>
      </c>
      <c r="T1685">
        <v>12</v>
      </c>
      <c r="U1685">
        <v>45</v>
      </c>
      <c r="V1685">
        <v>0</v>
      </c>
      <c r="W1685">
        <v>0</v>
      </c>
      <c r="X1685">
        <v>0</v>
      </c>
    </row>
    <row r="1686" spans="1:24" x14ac:dyDescent="0.2">
      <c r="A1686">
        <v>16121000</v>
      </c>
      <c r="B1686" t="s">
        <v>1685</v>
      </c>
      <c r="C1686">
        <v>1000</v>
      </c>
      <c r="D1686">
        <v>1000</v>
      </c>
      <c r="E1686">
        <v>10000</v>
      </c>
      <c r="F1686">
        <v>114</v>
      </c>
      <c r="G1686">
        <v>0</v>
      </c>
      <c r="H1686">
        <v>0</v>
      </c>
      <c r="I1686">
        <v>0</v>
      </c>
      <c r="J1686">
        <v>114</v>
      </c>
      <c r="K1686">
        <v>0</v>
      </c>
      <c r="L1686">
        <v>0</v>
      </c>
      <c r="M1686">
        <v>0</v>
      </c>
      <c r="N1686">
        <v>0</v>
      </c>
      <c r="O1686">
        <v>4</v>
      </c>
      <c r="P1686">
        <v>60</v>
      </c>
      <c r="Q1686">
        <v>0</v>
      </c>
      <c r="R1686">
        <v>60</v>
      </c>
      <c r="S1686">
        <v>60</v>
      </c>
      <c r="T1686">
        <v>12</v>
      </c>
      <c r="U1686">
        <v>45</v>
      </c>
      <c r="V1686">
        <v>0</v>
      </c>
      <c r="W1686">
        <v>0</v>
      </c>
      <c r="X1686">
        <v>0</v>
      </c>
    </row>
    <row r="1687" spans="1:24" x14ac:dyDescent="0.2">
      <c r="A1687">
        <v>16121100</v>
      </c>
      <c r="B1687" t="s">
        <v>1686</v>
      </c>
      <c r="C1687">
        <v>1100</v>
      </c>
      <c r="D1687">
        <v>1100</v>
      </c>
      <c r="E1687">
        <v>10000</v>
      </c>
      <c r="F1687">
        <v>107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60</v>
      </c>
      <c r="Q1687">
        <v>0</v>
      </c>
      <c r="R1687">
        <v>0</v>
      </c>
      <c r="S1687">
        <v>0</v>
      </c>
      <c r="T1687">
        <v>12</v>
      </c>
      <c r="U1687">
        <v>45</v>
      </c>
      <c r="V1687">
        <v>0</v>
      </c>
      <c r="W1687">
        <v>0</v>
      </c>
      <c r="X1687">
        <v>0</v>
      </c>
    </row>
    <row r="1688" spans="1:24" x14ac:dyDescent="0.2">
      <c r="A1688">
        <v>16121200</v>
      </c>
      <c r="B1688" t="s">
        <v>1687</v>
      </c>
      <c r="C1688">
        <v>1200</v>
      </c>
      <c r="D1688">
        <v>1200</v>
      </c>
      <c r="E1688">
        <v>10000</v>
      </c>
      <c r="F1688">
        <v>107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60</v>
      </c>
      <c r="Q1688">
        <v>0</v>
      </c>
      <c r="R1688">
        <v>0</v>
      </c>
      <c r="S1688">
        <v>0</v>
      </c>
      <c r="T1688">
        <v>12</v>
      </c>
      <c r="U1688">
        <v>45</v>
      </c>
      <c r="V1688">
        <v>0</v>
      </c>
      <c r="W1688">
        <v>0</v>
      </c>
      <c r="X1688">
        <v>0</v>
      </c>
    </row>
    <row r="1689" spans="1:24" x14ac:dyDescent="0.2">
      <c r="A1689">
        <v>16121300</v>
      </c>
      <c r="B1689" t="s">
        <v>1688</v>
      </c>
      <c r="C1689">
        <v>1300</v>
      </c>
      <c r="D1689">
        <v>1300</v>
      </c>
      <c r="E1689">
        <v>10000</v>
      </c>
      <c r="F1689">
        <v>129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60</v>
      </c>
      <c r="Q1689">
        <v>0</v>
      </c>
      <c r="R1689">
        <v>0</v>
      </c>
      <c r="S1689">
        <v>0</v>
      </c>
      <c r="T1689">
        <v>12</v>
      </c>
      <c r="U1689">
        <v>45</v>
      </c>
      <c r="V1689">
        <v>0</v>
      </c>
      <c r="W1689">
        <v>0</v>
      </c>
      <c r="X1689">
        <v>0</v>
      </c>
    </row>
    <row r="1690" spans="1:24" x14ac:dyDescent="0.2">
      <c r="A1690">
        <v>16121400</v>
      </c>
      <c r="B1690" t="s">
        <v>1689</v>
      </c>
      <c r="C1690">
        <v>1400</v>
      </c>
      <c r="D1690">
        <v>1400</v>
      </c>
      <c r="E1690">
        <v>10014</v>
      </c>
      <c r="F1690">
        <v>114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60</v>
      </c>
      <c r="Q1690">
        <v>0</v>
      </c>
      <c r="R1690">
        <v>0</v>
      </c>
      <c r="S1690">
        <v>60</v>
      </c>
      <c r="T1690">
        <v>12</v>
      </c>
      <c r="U1690">
        <v>45</v>
      </c>
      <c r="V1690">
        <v>0</v>
      </c>
      <c r="W1690">
        <v>0</v>
      </c>
      <c r="X1690">
        <v>0</v>
      </c>
    </row>
    <row r="1691" spans="1:24" x14ac:dyDescent="0.2">
      <c r="A1691">
        <v>16121500</v>
      </c>
      <c r="B1691" t="s">
        <v>1690</v>
      </c>
      <c r="C1691">
        <v>1500</v>
      </c>
      <c r="D1691">
        <v>1500</v>
      </c>
      <c r="E1691">
        <v>10015</v>
      </c>
      <c r="F1691">
        <v>107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60</v>
      </c>
      <c r="Q1691">
        <v>0</v>
      </c>
      <c r="R1691">
        <v>0</v>
      </c>
      <c r="S1691">
        <v>0</v>
      </c>
      <c r="T1691">
        <v>12</v>
      </c>
      <c r="U1691">
        <v>45</v>
      </c>
      <c r="V1691">
        <v>0</v>
      </c>
      <c r="W1691">
        <v>0</v>
      </c>
      <c r="X1691">
        <v>0</v>
      </c>
    </row>
    <row r="1692" spans="1:24" x14ac:dyDescent="0.2">
      <c r="A1692">
        <v>16130000</v>
      </c>
      <c r="B1692" t="s">
        <v>1691</v>
      </c>
      <c r="C1692">
        <v>0</v>
      </c>
      <c r="D1692">
        <v>0</v>
      </c>
      <c r="E1692">
        <v>10000</v>
      </c>
      <c r="F1692">
        <v>110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55</v>
      </c>
      <c r="Q1692">
        <v>10</v>
      </c>
      <c r="R1692">
        <v>0</v>
      </c>
      <c r="S1692">
        <v>0</v>
      </c>
      <c r="T1692">
        <v>14</v>
      </c>
      <c r="U1692">
        <v>18</v>
      </c>
      <c r="V1692">
        <v>16</v>
      </c>
      <c r="W1692">
        <v>0</v>
      </c>
      <c r="X1692">
        <v>0</v>
      </c>
    </row>
    <row r="1693" spans="1:24" x14ac:dyDescent="0.2">
      <c r="A1693">
        <v>16130100</v>
      </c>
      <c r="B1693" t="s">
        <v>1692</v>
      </c>
      <c r="C1693">
        <v>200</v>
      </c>
      <c r="D1693">
        <v>100</v>
      </c>
      <c r="E1693">
        <v>10000</v>
      </c>
      <c r="F1693">
        <v>110</v>
      </c>
      <c r="G1693">
        <v>0</v>
      </c>
      <c r="H1693">
        <v>0</v>
      </c>
      <c r="I1693">
        <v>0</v>
      </c>
      <c r="J1693">
        <v>0</v>
      </c>
      <c r="K1693">
        <v>1</v>
      </c>
      <c r="L1693">
        <v>0</v>
      </c>
      <c r="M1693">
        <v>0</v>
      </c>
      <c r="N1693">
        <v>0</v>
      </c>
      <c r="O1693">
        <v>0</v>
      </c>
      <c r="P1693">
        <v>48</v>
      </c>
      <c r="Q1693">
        <v>0</v>
      </c>
      <c r="R1693">
        <v>0</v>
      </c>
      <c r="S1693">
        <v>0</v>
      </c>
      <c r="T1693">
        <v>14</v>
      </c>
      <c r="U1693">
        <v>18</v>
      </c>
      <c r="V1693">
        <v>16</v>
      </c>
      <c r="W1693">
        <v>0</v>
      </c>
      <c r="X1693">
        <v>0</v>
      </c>
    </row>
    <row r="1694" spans="1:24" x14ac:dyDescent="0.2">
      <c r="A1694">
        <v>16130200</v>
      </c>
      <c r="B1694" t="s">
        <v>1693</v>
      </c>
      <c r="C1694">
        <v>100</v>
      </c>
      <c r="D1694">
        <v>200</v>
      </c>
      <c r="E1694">
        <v>10000</v>
      </c>
      <c r="F1694">
        <v>110</v>
      </c>
      <c r="G1694">
        <v>0</v>
      </c>
      <c r="H1694">
        <v>0</v>
      </c>
      <c r="I1694">
        <v>0</v>
      </c>
      <c r="J1694">
        <v>0</v>
      </c>
      <c r="K1694">
        <v>1</v>
      </c>
      <c r="L1694">
        <v>0</v>
      </c>
      <c r="M1694">
        <v>0</v>
      </c>
      <c r="N1694">
        <v>0</v>
      </c>
      <c r="O1694">
        <v>0</v>
      </c>
      <c r="P1694">
        <v>16</v>
      </c>
      <c r="Q1694">
        <v>38</v>
      </c>
      <c r="R1694">
        <v>0</v>
      </c>
      <c r="S1694">
        <v>0</v>
      </c>
      <c r="T1694">
        <v>14</v>
      </c>
      <c r="U1694">
        <v>18</v>
      </c>
      <c r="V1694">
        <v>16</v>
      </c>
      <c r="W1694">
        <v>0</v>
      </c>
      <c r="X1694">
        <v>0</v>
      </c>
    </row>
    <row r="1695" spans="1:24" x14ac:dyDescent="0.2">
      <c r="A1695">
        <v>16130300</v>
      </c>
      <c r="B1695" t="s">
        <v>1694</v>
      </c>
      <c r="C1695">
        <v>300</v>
      </c>
      <c r="D1695">
        <v>6100</v>
      </c>
      <c r="E1695">
        <v>10000</v>
      </c>
      <c r="F1695">
        <v>110</v>
      </c>
      <c r="G1695">
        <v>0</v>
      </c>
      <c r="H1695">
        <v>0</v>
      </c>
      <c r="I1695">
        <v>0</v>
      </c>
      <c r="J1695">
        <v>0</v>
      </c>
      <c r="K1695">
        <v>8</v>
      </c>
      <c r="L1695">
        <v>0</v>
      </c>
      <c r="M1695">
        <v>0</v>
      </c>
      <c r="N1695">
        <v>0</v>
      </c>
      <c r="O1695">
        <v>0</v>
      </c>
      <c r="P1695">
        <v>47</v>
      </c>
      <c r="Q1695">
        <v>47</v>
      </c>
      <c r="R1695">
        <v>0</v>
      </c>
      <c r="S1695">
        <v>0</v>
      </c>
      <c r="T1695">
        <v>14</v>
      </c>
      <c r="U1695">
        <v>18</v>
      </c>
      <c r="V1695">
        <v>16</v>
      </c>
      <c r="W1695">
        <v>0</v>
      </c>
      <c r="X1695">
        <v>0</v>
      </c>
    </row>
    <row r="1696" spans="1:24" x14ac:dyDescent="0.2">
      <c r="A1696">
        <v>16130400</v>
      </c>
      <c r="B1696" t="s">
        <v>1695</v>
      </c>
      <c r="C1696">
        <v>500</v>
      </c>
      <c r="D1696">
        <v>500</v>
      </c>
      <c r="E1696">
        <v>10000</v>
      </c>
      <c r="F1696">
        <v>113</v>
      </c>
      <c r="G1696">
        <v>113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55</v>
      </c>
      <c r="Q1696">
        <v>10</v>
      </c>
      <c r="R1696">
        <v>65</v>
      </c>
      <c r="S1696">
        <v>0</v>
      </c>
      <c r="T1696">
        <v>14</v>
      </c>
      <c r="U1696">
        <v>18</v>
      </c>
      <c r="V1696">
        <v>16</v>
      </c>
      <c r="W1696">
        <v>0</v>
      </c>
      <c r="X1696">
        <v>0</v>
      </c>
    </row>
    <row r="1697" spans="1:24" x14ac:dyDescent="0.2">
      <c r="A1697">
        <v>16130500</v>
      </c>
      <c r="B1697" t="s">
        <v>1696</v>
      </c>
      <c r="C1697">
        <v>400</v>
      </c>
      <c r="D1697">
        <v>400</v>
      </c>
      <c r="E1697">
        <v>10000</v>
      </c>
      <c r="F1697">
        <v>113</v>
      </c>
      <c r="G1697">
        <v>113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55</v>
      </c>
      <c r="Q1697">
        <v>10</v>
      </c>
      <c r="R1697">
        <v>65</v>
      </c>
      <c r="S1697">
        <v>0</v>
      </c>
      <c r="T1697">
        <v>14</v>
      </c>
      <c r="U1697">
        <v>18</v>
      </c>
      <c r="V1697">
        <v>16</v>
      </c>
      <c r="W1697">
        <v>0</v>
      </c>
      <c r="X1697">
        <v>0</v>
      </c>
    </row>
    <row r="1698" spans="1:24" x14ac:dyDescent="0.2">
      <c r="A1698">
        <v>16130600</v>
      </c>
      <c r="B1698" t="s">
        <v>1697</v>
      </c>
      <c r="C1698">
        <v>600</v>
      </c>
      <c r="D1698">
        <v>600</v>
      </c>
      <c r="E1698">
        <v>10000</v>
      </c>
      <c r="F1698">
        <v>110</v>
      </c>
      <c r="G1698">
        <v>0</v>
      </c>
      <c r="H1698">
        <v>110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55</v>
      </c>
      <c r="Q1698">
        <v>10</v>
      </c>
      <c r="R1698">
        <v>0</v>
      </c>
      <c r="S1698">
        <v>0</v>
      </c>
      <c r="T1698">
        <v>14</v>
      </c>
      <c r="U1698">
        <v>18</v>
      </c>
      <c r="V1698">
        <v>16</v>
      </c>
      <c r="W1698">
        <v>0</v>
      </c>
      <c r="X1698">
        <v>0</v>
      </c>
    </row>
    <row r="1699" spans="1:24" x14ac:dyDescent="0.2">
      <c r="A1699">
        <v>16130700</v>
      </c>
      <c r="B1699" t="s">
        <v>1698</v>
      </c>
      <c r="C1699">
        <v>700</v>
      </c>
      <c r="D1699">
        <v>700</v>
      </c>
      <c r="E1699">
        <v>10000</v>
      </c>
      <c r="F1699">
        <v>113</v>
      </c>
      <c r="G1699">
        <v>0</v>
      </c>
      <c r="H1699">
        <v>113</v>
      </c>
      <c r="I1699">
        <v>0</v>
      </c>
      <c r="J1699">
        <v>0</v>
      </c>
      <c r="K1699">
        <v>0</v>
      </c>
      <c r="L1699">
        <v>0</v>
      </c>
      <c r="M1699">
        <v>4</v>
      </c>
      <c r="N1699">
        <v>0</v>
      </c>
      <c r="O1699">
        <v>0</v>
      </c>
      <c r="P1699">
        <v>55</v>
      </c>
      <c r="Q1699">
        <v>10</v>
      </c>
      <c r="R1699">
        <v>65</v>
      </c>
      <c r="S1699">
        <v>65</v>
      </c>
      <c r="T1699">
        <v>14</v>
      </c>
      <c r="U1699">
        <v>18</v>
      </c>
      <c r="V1699">
        <v>16</v>
      </c>
      <c r="W1699">
        <v>0</v>
      </c>
      <c r="X1699">
        <v>0</v>
      </c>
    </row>
    <row r="1700" spans="1:24" x14ac:dyDescent="0.2">
      <c r="A1700">
        <v>16130800</v>
      </c>
      <c r="B1700" t="s">
        <v>1699</v>
      </c>
      <c r="C1700">
        <v>800</v>
      </c>
      <c r="D1700">
        <v>800</v>
      </c>
      <c r="E1700">
        <v>10000</v>
      </c>
      <c r="F1700">
        <v>113</v>
      </c>
      <c r="G1700">
        <v>0</v>
      </c>
      <c r="H1700">
        <v>0</v>
      </c>
      <c r="I1700">
        <v>113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55</v>
      </c>
      <c r="Q1700">
        <v>10</v>
      </c>
      <c r="R1700">
        <v>0</v>
      </c>
      <c r="S1700">
        <v>65</v>
      </c>
      <c r="T1700">
        <v>14</v>
      </c>
      <c r="U1700">
        <v>18</v>
      </c>
      <c r="V1700">
        <v>16</v>
      </c>
      <c r="W1700">
        <v>0</v>
      </c>
      <c r="X1700">
        <v>0</v>
      </c>
    </row>
    <row r="1701" spans="1:24" x14ac:dyDescent="0.2">
      <c r="A1701">
        <v>16130900</v>
      </c>
      <c r="B1701" t="s">
        <v>1700</v>
      </c>
      <c r="C1701">
        <v>900</v>
      </c>
      <c r="D1701">
        <v>900</v>
      </c>
      <c r="E1701">
        <v>10000</v>
      </c>
      <c r="F1701">
        <v>110</v>
      </c>
      <c r="G1701">
        <v>0</v>
      </c>
      <c r="H1701">
        <v>0</v>
      </c>
      <c r="I1701">
        <v>0</v>
      </c>
      <c r="J1701">
        <v>110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55</v>
      </c>
      <c r="Q1701">
        <v>10</v>
      </c>
      <c r="R1701">
        <v>0</v>
      </c>
      <c r="S1701">
        <v>0</v>
      </c>
      <c r="T1701">
        <v>14</v>
      </c>
      <c r="U1701">
        <v>18</v>
      </c>
      <c r="V1701">
        <v>16</v>
      </c>
      <c r="W1701">
        <v>0</v>
      </c>
      <c r="X1701">
        <v>0</v>
      </c>
    </row>
    <row r="1702" spans="1:24" x14ac:dyDescent="0.2">
      <c r="A1702">
        <v>16131000</v>
      </c>
      <c r="B1702" t="s">
        <v>1701</v>
      </c>
      <c r="C1702">
        <v>1000</v>
      </c>
      <c r="D1702">
        <v>1000</v>
      </c>
      <c r="E1702">
        <v>10000</v>
      </c>
      <c r="F1702">
        <v>113</v>
      </c>
      <c r="G1702">
        <v>0</v>
      </c>
      <c r="H1702">
        <v>0</v>
      </c>
      <c r="I1702">
        <v>0</v>
      </c>
      <c r="J1702">
        <v>113</v>
      </c>
      <c r="K1702">
        <v>0</v>
      </c>
      <c r="L1702">
        <v>0</v>
      </c>
      <c r="M1702">
        <v>0</v>
      </c>
      <c r="N1702">
        <v>0</v>
      </c>
      <c r="O1702">
        <v>4</v>
      </c>
      <c r="P1702">
        <v>55</v>
      </c>
      <c r="Q1702">
        <v>10</v>
      </c>
      <c r="R1702">
        <v>65</v>
      </c>
      <c r="S1702">
        <v>65</v>
      </c>
      <c r="T1702">
        <v>14</v>
      </c>
      <c r="U1702">
        <v>18</v>
      </c>
      <c r="V1702">
        <v>16</v>
      </c>
      <c r="W1702">
        <v>0</v>
      </c>
      <c r="X1702">
        <v>0</v>
      </c>
    </row>
    <row r="1703" spans="1:24" x14ac:dyDescent="0.2">
      <c r="A1703">
        <v>16131100</v>
      </c>
      <c r="B1703" t="s">
        <v>1702</v>
      </c>
      <c r="C1703">
        <v>1100</v>
      </c>
      <c r="D1703">
        <v>1100</v>
      </c>
      <c r="E1703">
        <v>10000</v>
      </c>
      <c r="F1703">
        <v>110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55</v>
      </c>
      <c r="Q1703">
        <v>10</v>
      </c>
      <c r="R1703">
        <v>0</v>
      </c>
      <c r="S1703">
        <v>0</v>
      </c>
      <c r="T1703">
        <v>14</v>
      </c>
      <c r="U1703">
        <v>18</v>
      </c>
      <c r="V1703">
        <v>16</v>
      </c>
      <c r="W1703">
        <v>0</v>
      </c>
      <c r="X1703">
        <v>0</v>
      </c>
    </row>
    <row r="1704" spans="1:24" x14ac:dyDescent="0.2">
      <c r="A1704">
        <v>16131200</v>
      </c>
      <c r="B1704" t="s">
        <v>1703</v>
      </c>
      <c r="C1704">
        <v>1200</v>
      </c>
      <c r="D1704">
        <v>1200</v>
      </c>
      <c r="E1704">
        <v>10000</v>
      </c>
      <c r="F1704">
        <v>110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55</v>
      </c>
      <c r="Q1704">
        <v>10</v>
      </c>
      <c r="R1704">
        <v>0</v>
      </c>
      <c r="S1704">
        <v>0</v>
      </c>
      <c r="T1704">
        <v>14</v>
      </c>
      <c r="U1704">
        <v>18</v>
      </c>
      <c r="V1704">
        <v>16</v>
      </c>
      <c r="W1704">
        <v>0</v>
      </c>
      <c r="X1704">
        <v>0</v>
      </c>
    </row>
    <row r="1705" spans="1:24" x14ac:dyDescent="0.2">
      <c r="A1705">
        <v>16131300</v>
      </c>
      <c r="B1705" t="s">
        <v>1704</v>
      </c>
      <c r="C1705">
        <v>1300</v>
      </c>
      <c r="D1705">
        <v>1300</v>
      </c>
      <c r="E1705">
        <v>10000</v>
      </c>
      <c r="F1705">
        <v>120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55</v>
      </c>
      <c r="Q1705">
        <v>10</v>
      </c>
      <c r="R1705">
        <v>0</v>
      </c>
      <c r="S1705">
        <v>0</v>
      </c>
      <c r="T1705">
        <v>14</v>
      </c>
      <c r="U1705">
        <v>18</v>
      </c>
      <c r="V1705">
        <v>16</v>
      </c>
      <c r="W1705">
        <v>0</v>
      </c>
      <c r="X1705">
        <v>0</v>
      </c>
    </row>
    <row r="1706" spans="1:24" x14ac:dyDescent="0.2">
      <c r="A1706">
        <v>16131400</v>
      </c>
      <c r="B1706" t="s">
        <v>1705</v>
      </c>
      <c r="C1706">
        <v>1400</v>
      </c>
      <c r="D1706">
        <v>1400</v>
      </c>
      <c r="E1706">
        <v>10014</v>
      </c>
      <c r="F1706">
        <v>113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55</v>
      </c>
      <c r="Q1706">
        <v>10</v>
      </c>
      <c r="R1706">
        <v>0</v>
      </c>
      <c r="S1706">
        <v>65</v>
      </c>
      <c r="T1706">
        <v>14</v>
      </c>
      <c r="U1706">
        <v>18</v>
      </c>
      <c r="V1706">
        <v>16</v>
      </c>
      <c r="W1706">
        <v>0</v>
      </c>
      <c r="X1706">
        <v>0</v>
      </c>
    </row>
    <row r="1707" spans="1:24" x14ac:dyDescent="0.2">
      <c r="A1707">
        <v>16131500</v>
      </c>
      <c r="B1707" t="s">
        <v>1706</v>
      </c>
      <c r="C1707">
        <v>1500</v>
      </c>
      <c r="D1707">
        <v>1500</v>
      </c>
      <c r="E1707">
        <v>10015</v>
      </c>
      <c r="F1707">
        <v>110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55</v>
      </c>
      <c r="Q1707">
        <v>10</v>
      </c>
      <c r="R1707">
        <v>0</v>
      </c>
      <c r="S1707">
        <v>0</v>
      </c>
      <c r="T1707">
        <v>14</v>
      </c>
      <c r="U1707">
        <v>18</v>
      </c>
      <c r="V1707">
        <v>16</v>
      </c>
      <c r="W1707">
        <v>0</v>
      </c>
      <c r="X1707">
        <v>0</v>
      </c>
    </row>
    <row r="1708" spans="1:24" x14ac:dyDescent="0.2">
      <c r="A1708">
        <v>16140000</v>
      </c>
      <c r="B1708" t="s">
        <v>1707</v>
      </c>
      <c r="C1708">
        <v>2200</v>
      </c>
      <c r="D1708">
        <v>2200</v>
      </c>
      <c r="E1708">
        <v>10000</v>
      </c>
      <c r="F1708">
        <v>105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30</v>
      </c>
      <c r="Q1708">
        <v>50</v>
      </c>
      <c r="R1708">
        <v>0</v>
      </c>
      <c r="S1708">
        <v>0</v>
      </c>
      <c r="T1708">
        <v>24</v>
      </c>
      <c r="U1708">
        <v>12</v>
      </c>
      <c r="V1708">
        <v>12</v>
      </c>
      <c r="W1708">
        <v>0</v>
      </c>
      <c r="X1708">
        <v>0</v>
      </c>
    </row>
    <row r="1709" spans="1:24" x14ac:dyDescent="0.2">
      <c r="A1709">
        <v>16150000</v>
      </c>
      <c r="B1709" t="s">
        <v>1708</v>
      </c>
      <c r="C1709">
        <v>0</v>
      </c>
      <c r="D1709">
        <v>0</v>
      </c>
      <c r="E1709">
        <v>10000</v>
      </c>
      <c r="F1709">
        <v>98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10</v>
      </c>
      <c r="Q1709">
        <v>70</v>
      </c>
      <c r="R1709">
        <v>0</v>
      </c>
      <c r="S1709">
        <v>0</v>
      </c>
      <c r="T1709">
        <v>24</v>
      </c>
      <c r="U1709">
        <v>9</v>
      </c>
      <c r="V1709">
        <v>16</v>
      </c>
      <c r="W1709">
        <v>0</v>
      </c>
      <c r="X1709">
        <v>0</v>
      </c>
    </row>
    <row r="1710" spans="1:24" x14ac:dyDescent="0.2">
      <c r="A1710">
        <v>16150100</v>
      </c>
      <c r="B1710" t="s">
        <v>1709</v>
      </c>
      <c r="C1710">
        <v>200</v>
      </c>
      <c r="D1710">
        <v>100</v>
      </c>
      <c r="E1710">
        <v>10000</v>
      </c>
      <c r="F1710">
        <v>98</v>
      </c>
      <c r="G1710">
        <v>0</v>
      </c>
      <c r="H1710">
        <v>0</v>
      </c>
      <c r="I1710">
        <v>0</v>
      </c>
      <c r="J1710">
        <v>0</v>
      </c>
      <c r="K1710">
        <v>1</v>
      </c>
      <c r="L1710">
        <v>0</v>
      </c>
      <c r="M1710">
        <v>0</v>
      </c>
      <c r="N1710">
        <v>0</v>
      </c>
      <c r="O1710">
        <v>0</v>
      </c>
      <c r="P1710">
        <v>40</v>
      </c>
      <c r="Q1710">
        <v>0</v>
      </c>
      <c r="R1710">
        <v>0</v>
      </c>
      <c r="S1710">
        <v>0</v>
      </c>
      <c r="T1710">
        <v>24</v>
      </c>
      <c r="U1710">
        <v>9</v>
      </c>
      <c r="V1710">
        <v>16</v>
      </c>
      <c r="W1710">
        <v>0</v>
      </c>
      <c r="X1710">
        <v>0</v>
      </c>
    </row>
    <row r="1711" spans="1:24" x14ac:dyDescent="0.2">
      <c r="A1711">
        <v>16150200</v>
      </c>
      <c r="B1711" t="s">
        <v>1710</v>
      </c>
      <c r="C1711">
        <v>100</v>
      </c>
      <c r="D1711">
        <v>200</v>
      </c>
      <c r="E1711">
        <v>10000</v>
      </c>
      <c r="F1711">
        <v>98</v>
      </c>
      <c r="G1711">
        <v>0</v>
      </c>
      <c r="H1711">
        <v>0</v>
      </c>
      <c r="I1711">
        <v>0</v>
      </c>
      <c r="J1711">
        <v>0</v>
      </c>
      <c r="K1711">
        <v>2</v>
      </c>
      <c r="L1711">
        <v>0</v>
      </c>
      <c r="M1711">
        <v>0</v>
      </c>
      <c r="N1711">
        <v>0</v>
      </c>
      <c r="O1711">
        <v>0</v>
      </c>
      <c r="P1711">
        <v>6</v>
      </c>
      <c r="Q1711">
        <v>51</v>
      </c>
      <c r="R1711">
        <v>0</v>
      </c>
      <c r="S1711">
        <v>0</v>
      </c>
      <c r="T1711">
        <v>24</v>
      </c>
      <c r="U1711">
        <v>9</v>
      </c>
      <c r="V1711">
        <v>16</v>
      </c>
      <c r="W1711">
        <v>0</v>
      </c>
      <c r="X1711">
        <v>0</v>
      </c>
    </row>
    <row r="1712" spans="1:24" x14ac:dyDescent="0.2">
      <c r="A1712">
        <v>16150300</v>
      </c>
      <c r="B1712" t="s">
        <v>1711</v>
      </c>
      <c r="C1712">
        <v>300</v>
      </c>
      <c r="D1712">
        <v>300</v>
      </c>
      <c r="E1712">
        <v>10000</v>
      </c>
      <c r="F1712">
        <v>98</v>
      </c>
      <c r="G1712">
        <v>0</v>
      </c>
      <c r="H1712">
        <v>0</v>
      </c>
      <c r="I1712">
        <v>0</v>
      </c>
      <c r="J1712">
        <v>0</v>
      </c>
      <c r="K1712">
        <v>8</v>
      </c>
      <c r="L1712">
        <v>0</v>
      </c>
      <c r="M1712">
        <v>0</v>
      </c>
      <c r="N1712">
        <v>0</v>
      </c>
      <c r="O1712">
        <v>0</v>
      </c>
      <c r="P1712">
        <v>50</v>
      </c>
      <c r="Q1712">
        <v>50</v>
      </c>
      <c r="R1712">
        <v>0</v>
      </c>
      <c r="S1712">
        <v>0</v>
      </c>
      <c r="T1712">
        <v>24</v>
      </c>
      <c r="U1712">
        <v>9</v>
      </c>
      <c r="V1712">
        <v>16</v>
      </c>
      <c r="W1712">
        <v>0</v>
      </c>
      <c r="X1712">
        <v>0</v>
      </c>
    </row>
    <row r="1713" spans="1:24" x14ac:dyDescent="0.2">
      <c r="A1713">
        <v>16150400</v>
      </c>
      <c r="B1713" t="s">
        <v>1712</v>
      </c>
      <c r="C1713">
        <v>500</v>
      </c>
      <c r="D1713">
        <v>500</v>
      </c>
      <c r="E1713">
        <v>10000</v>
      </c>
      <c r="F1713">
        <v>101</v>
      </c>
      <c r="G1713">
        <v>101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10</v>
      </c>
      <c r="Q1713">
        <v>70</v>
      </c>
      <c r="R1713">
        <v>80</v>
      </c>
      <c r="S1713">
        <v>0</v>
      </c>
      <c r="T1713">
        <v>24</v>
      </c>
      <c r="U1713">
        <v>9</v>
      </c>
      <c r="V1713">
        <v>16</v>
      </c>
      <c r="W1713">
        <v>0</v>
      </c>
      <c r="X1713">
        <v>0</v>
      </c>
    </row>
    <row r="1714" spans="1:24" x14ac:dyDescent="0.2">
      <c r="A1714">
        <v>16150500</v>
      </c>
      <c r="B1714" t="s">
        <v>1713</v>
      </c>
      <c r="C1714">
        <v>400</v>
      </c>
      <c r="D1714">
        <v>400</v>
      </c>
      <c r="E1714">
        <v>10000</v>
      </c>
      <c r="F1714">
        <v>98</v>
      </c>
      <c r="G1714">
        <v>98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10</v>
      </c>
      <c r="Q1714">
        <v>70</v>
      </c>
      <c r="R1714">
        <v>80</v>
      </c>
      <c r="S1714">
        <v>0</v>
      </c>
      <c r="T1714">
        <v>24</v>
      </c>
      <c r="U1714">
        <v>9</v>
      </c>
      <c r="V1714">
        <v>16</v>
      </c>
      <c r="W1714">
        <v>0</v>
      </c>
      <c r="X1714">
        <v>0</v>
      </c>
    </row>
    <row r="1715" spans="1:24" x14ac:dyDescent="0.2">
      <c r="A1715">
        <v>16150600</v>
      </c>
      <c r="B1715" t="s">
        <v>1714</v>
      </c>
      <c r="C1715">
        <v>600</v>
      </c>
      <c r="D1715">
        <v>600</v>
      </c>
      <c r="E1715">
        <v>10000</v>
      </c>
      <c r="F1715">
        <v>101</v>
      </c>
      <c r="G1715">
        <v>0</v>
      </c>
      <c r="H1715">
        <v>101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10</v>
      </c>
      <c r="Q1715">
        <v>70</v>
      </c>
      <c r="R1715">
        <v>0</v>
      </c>
      <c r="S1715">
        <v>0</v>
      </c>
      <c r="T1715">
        <v>24</v>
      </c>
      <c r="U1715">
        <v>9</v>
      </c>
      <c r="V1715">
        <v>16</v>
      </c>
      <c r="W1715">
        <v>0</v>
      </c>
      <c r="X1715">
        <v>0</v>
      </c>
    </row>
    <row r="1716" spans="1:24" x14ac:dyDescent="0.2">
      <c r="A1716">
        <v>16150700</v>
      </c>
      <c r="B1716" t="s">
        <v>1715</v>
      </c>
      <c r="C1716">
        <v>700</v>
      </c>
      <c r="D1716">
        <v>700</v>
      </c>
      <c r="E1716">
        <v>10000</v>
      </c>
      <c r="F1716">
        <v>98</v>
      </c>
      <c r="G1716">
        <v>0</v>
      </c>
      <c r="H1716">
        <v>98</v>
      </c>
      <c r="I1716">
        <v>0</v>
      </c>
      <c r="J1716">
        <v>0</v>
      </c>
      <c r="K1716">
        <v>0</v>
      </c>
      <c r="L1716">
        <v>0</v>
      </c>
      <c r="M1716">
        <v>4</v>
      </c>
      <c r="N1716">
        <v>0</v>
      </c>
      <c r="O1716">
        <v>0</v>
      </c>
      <c r="P1716">
        <v>10</v>
      </c>
      <c r="Q1716">
        <v>70</v>
      </c>
      <c r="R1716">
        <v>80</v>
      </c>
      <c r="S1716">
        <v>80</v>
      </c>
      <c r="T1716">
        <v>24</v>
      </c>
      <c r="U1716">
        <v>9</v>
      </c>
      <c r="V1716">
        <v>16</v>
      </c>
      <c r="W1716">
        <v>0</v>
      </c>
      <c r="X1716">
        <v>0</v>
      </c>
    </row>
    <row r="1717" spans="1:24" x14ac:dyDescent="0.2">
      <c r="A1717">
        <v>16150800</v>
      </c>
      <c r="B1717" t="s">
        <v>1716</v>
      </c>
      <c r="C1717">
        <v>800</v>
      </c>
      <c r="D1717">
        <v>800</v>
      </c>
      <c r="E1717">
        <v>10000</v>
      </c>
      <c r="F1717">
        <v>98</v>
      </c>
      <c r="G1717">
        <v>0</v>
      </c>
      <c r="H1717">
        <v>0</v>
      </c>
      <c r="I1717">
        <v>98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10</v>
      </c>
      <c r="Q1717">
        <v>70</v>
      </c>
      <c r="R1717">
        <v>0</v>
      </c>
      <c r="S1717">
        <v>80</v>
      </c>
      <c r="T1717">
        <v>24</v>
      </c>
      <c r="U1717">
        <v>9</v>
      </c>
      <c r="V1717">
        <v>16</v>
      </c>
      <c r="W1717">
        <v>0</v>
      </c>
      <c r="X1717">
        <v>0</v>
      </c>
    </row>
    <row r="1718" spans="1:24" x14ac:dyDescent="0.2">
      <c r="A1718">
        <v>16150900</v>
      </c>
      <c r="B1718" t="s">
        <v>1717</v>
      </c>
      <c r="C1718">
        <v>900</v>
      </c>
      <c r="D1718">
        <v>900</v>
      </c>
      <c r="E1718">
        <v>10000</v>
      </c>
      <c r="F1718">
        <v>101</v>
      </c>
      <c r="G1718">
        <v>0</v>
      </c>
      <c r="H1718">
        <v>0</v>
      </c>
      <c r="I1718">
        <v>0</v>
      </c>
      <c r="J1718">
        <v>101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10</v>
      </c>
      <c r="Q1718">
        <v>70</v>
      </c>
      <c r="R1718">
        <v>0</v>
      </c>
      <c r="S1718">
        <v>0</v>
      </c>
      <c r="T1718">
        <v>24</v>
      </c>
      <c r="U1718">
        <v>9</v>
      </c>
      <c r="V1718">
        <v>16</v>
      </c>
      <c r="W1718">
        <v>0</v>
      </c>
      <c r="X1718">
        <v>0</v>
      </c>
    </row>
    <row r="1719" spans="1:24" x14ac:dyDescent="0.2">
      <c r="A1719">
        <v>16151000</v>
      </c>
      <c r="B1719" t="s">
        <v>1718</v>
      </c>
      <c r="C1719">
        <v>1000</v>
      </c>
      <c r="D1719">
        <v>1000</v>
      </c>
      <c r="E1719">
        <v>10000</v>
      </c>
      <c r="F1719">
        <v>98</v>
      </c>
      <c r="G1719">
        <v>0</v>
      </c>
      <c r="H1719">
        <v>0</v>
      </c>
      <c r="I1719">
        <v>0</v>
      </c>
      <c r="J1719">
        <v>98</v>
      </c>
      <c r="K1719">
        <v>0</v>
      </c>
      <c r="L1719">
        <v>0</v>
      </c>
      <c r="M1719">
        <v>0</v>
      </c>
      <c r="N1719">
        <v>0</v>
      </c>
      <c r="O1719">
        <v>4</v>
      </c>
      <c r="P1719">
        <v>10</v>
      </c>
      <c r="Q1719">
        <v>70</v>
      </c>
      <c r="R1719">
        <v>80</v>
      </c>
      <c r="S1719">
        <v>80</v>
      </c>
      <c r="T1719">
        <v>24</v>
      </c>
      <c r="U1719">
        <v>9</v>
      </c>
      <c r="V1719">
        <v>16</v>
      </c>
      <c r="W1719">
        <v>0</v>
      </c>
      <c r="X1719">
        <v>0</v>
      </c>
    </row>
    <row r="1720" spans="1:24" x14ac:dyDescent="0.2">
      <c r="A1720">
        <v>16151100</v>
      </c>
      <c r="B1720" t="s">
        <v>1719</v>
      </c>
      <c r="C1720">
        <v>1100</v>
      </c>
      <c r="D1720">
        <v>1100</v>
      </c>
      <c r="E1720">
        <v>10000</v>
      </c>
      <c r="F1720">
        <v>98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10</v>
      </c>
      <c r="Q1720">
        <v>70</v>
      </c>
      <c r="R1720">
        <v>0</v>
      </c>
      <c r="S1720">
        <v>0</v>
      </c>
      <c r="T1720">
        <v>24</v>
      </c>
      <c r="U1720">
        <v>9</v>
      </c>
      <c r="V1720">
        <v>16</v>
      </c>
      <c r="W1720">
        <v>0</v>
      </c>
      <c r="X1720">
        <v>0</v>
      </c>
    </row>
    <row r="1721" spans="1:24" x14ac:dyDescent="0.2">
      <c r="A1721">
        <v>16151200</v>
      </c>
      <c r="B1721" t="s">
        <v>1720</v>
      </c>
      <c r="C1721">
        <v>1200</v>
      </c>
      <c r="D1721">
        <v>1200</v>
      </c>
      <c r="E1721">
        <v>10000</v>
      </c>
      <c r="F1721">
        <v>98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10</v>
      </c>
      <c r="Q1721">
        <v>70</v>
      </c>
      <c r="R1721">
        <v>0</v>
      </c>
      <c r="S1721">
        <v>0</v>
      </c>
      <c r="T1721">
        <v>24</v>
      </c>
      <c r="U1721">
        <v>9</v>
      </c>
      <c r="V1721">
        <v>16</v>
      </c>
      <c r="W1721">
        <v>0</v>
      </c>
      <c r="X1721">
        <v>0</v>
      </c>
    </row>
    <row r="1722" spans="1:24" x14ac:dyDescent="0.2">
      <c r="A1722">
        <v>16151300</v>
      </c>
      <c r="B1722" t="s">
        <v>1721</v>
      </c>
      <c r="C1722">
        <v>1300</v>
      </c>
      <c r="D1722">
        <v>1300</v>
      </c>
      <c r="E1722">
        <v>10000</v>
      </c>
      <c r="F1722">
        <v>109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10</v>
      </c>
      <c r="Q1722">
        <v>70</v>
      </c>
      <c r="R1722">
        <v>0</v>
      </c>
      <c r="S1722">
        <v>0</v>
      </c>
      <c r="T1722">
        <v>24</v>
      </c>
      <c r="U1722">
        <v>9</v>
      </c>
      <c r="V1722">
        <v>16</v>
      </c>
      <c r="W1722">
        <v>0</v>
      </c>
      <c r="X1722">
        <v>0</v>
      </c>
    </row>
    <row r="1723" spans="1:24" x14ac:dyDescent="0.2">
      <c r="A1723">
        <v>16151400</v>
      </c>
      <c r="B1723" t="s">
        <v>1722</v>
      </c>
      <c r="C1723">
        <v>1400</v>
      </c>
      <c r="D1723">
        <v>1400</v>
      </c>
      <c r="E1723">
        <v>10014</v>
      </c>
      <c r="F1723">
        <v>101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10</v>
      </c>
      <c r="Q1723">
        <v>70</v>
      </c>
      <c r="R1723">
        <v>0</v>
      </c>
      <c r="S1723">
        <v>80</v>
      </c>
      <c r="T1723">
        <v>24</v>
      </c>
      <c r="U1723">
        <v>9</v>
      </c>
      <c r="V1723">
        <v>16</v>
      </c>
      <c r="W1723">
        <v>0</v>
      </c>
      <c r="X1723">
        <v>0</v>
      </c>
    </row>
    <row r="1724" spans="1:24" x14ac:dyDescent="0.2">
      <c r="A1724">
        <v>16151500</v>
      </c>
      <c r="B1724" t="s">
        <v>1723</v>
      </c>
      <c r="C1724">
        <v>1500</v>
      </c>
      <c r="D1724">
        <v>1500</v>
      </c>
      <c r="E1724">
        <v>10015</v>
      </c>
      <c r="F1724">
        <v>98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10</v>
      </c>
      <c r="Q1724">
        <v>70</v>
      </c>
      <c r="R1724">
        <v>0</v>
      </c>
      <c r="S1724">
        <v>0</v>
      </c>
      <c r="T1724">
        <v>24</v>
      </c>
      <c r="U1724">
        <v>9</v>
      </c>
      <c r="V1724">
        <v>16</v>
      </c>
      <c r="W1724">
        <v>0</v>
      </c>
      <c r="X1724">
        <v>0</v>
      </c>
    </row>
    <row r="1725" spans="1:24" x14ac:dyDescent="0.2">
      <c r="A1725">
        <v>16160000</v>
      </c>
      <c r="B1725" t="s">
        <v>1724</v>
      </c>
      <c r="C1725">
        <v>2200</v>
      </c>
      <c r="D1725">
        <v>4600</v>
      </c>
      <c r="E1725">
        <v>10000</v>
      </c>
      <c r="F1725">
        <v>161</v>
      </c>
      <c r="G1725">
        <v>0</v>
      </c>
      <c r="H1725">
        <v>10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55</v>
      </c>
      <c r="Q1725">
        <v>20</v>
      </c>
      <c r="R1725">
        <v>10</v>
      </c>
      <c r="S1725">
        <v>10</v>
      </c>
      <c r="T1725">
        <v>22</v>
      </c>
      <c r="U1725">
        <v>40</v>
      </c>
      <c r="V1725">
        <v>15</v>
      </c>
      <c r="W1725">
        <v>0</v>
      </c>
      <c r="X1725">
        <v>0</v>
      </c>
    </row>
    <row r="1726" spans="1:24" x14ac:dyDescent="0.2">
      <c r="A1726">
        <v>20000000</v>
      </c>
      <c r="B1726" t="s">
        <v>1725</v>
      </c>
      <c r="C1726">
        <v>0</v>
      </c>
      <c r="D1726">
        <v>8000</v>
      </c>
      <c r="E1726">
        <v>10000</v>
      </c>
      <c r="F1726">
        <v>67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19</v>
      </c>
      <c r="Q1726">
        <v>0</v>
      </c>
      <c r="R1726">
        <v>0</v>
      </c>
      <c r="S1726">
        <v>0</v>
      </c>
      <c r="T1726">
        <v>4</v>
      </c>
      <c r="U1726">
        <v>7</v>
      </c>
      <c r="V1726">
        <v>13</v>
      </c>
      <c r="W1726">
        <v>0</v>
      </c>
      <c r="X1726">
        <v>0</v>
      </c>
    </row>
    <row r="1727" spans="1:24" x14ac:dyDescent="0.2">
      <c r="A1727">
        <v>20000100</v>
      </c>
      <c r="B1727" t="s">
        <v>1726</v>
      </c>
      <c r="C1727">
        <v>200</v>
      </c>
      <c r="D1727">
        <v>100</v>
      </c>
      <c r="E1727">
        <v>10000</v>
      </c>
      <c r="F1727">
        <v>67</v>
      </c>
      <c r="G1727">
        <v>0</v>
      </c>
      <c r="H1727">
        <v>0</v>
      </c>
      <c r="I1727">
        <v>0</v>
      </c>
      <c r="J1727">
        <v>0</v>
      </c>
      <c r="K1727">
        <v>1</v>
      </c>
      <c r="L1727">
        <v>0</v>
      </c>
      <c r="M1727">
        <v>0</v>
      </c>
      <c r="N1727">
        <v>0</v>
      </c>
      <c r="O1727">
        <v>0</v>
      </c>
      <c r="P1727">
        <v>19</v>
      </c>
      <c r="Q1727">
        <v>0</v>
      </c>
      <c r="R1727">
        <v>0</v>
      </c>
      <c r="S1727">
        <v>0</v>
      </c>
      <c r="T1727">
        <v>4</v>
      </c>
      <c r="U1727">
        <v>7</v>
      </c>
      <c r="V1727">
        <v>13</v>
      </c>
      <c r="W1727">
        <v>0</v>
      </c>
      <c r="X1727">
        <v>0</v>
      </c>
    </row>
    <row r="1728" spans="1:24" x14ac:dyDescent="0.2">
      <c r="A1728">
        <v>20000200</v>
      </c>
      <c r="B1728" t="s">
        <v>1727</v>
      </c>
      <c r="C1728">
        <v>100</v>
      </c>
      <c r="D1728">
        <v>200</v>
      </c>
      <c r="E1728">
        <v>10000</v>
      </c>
      <c r="F1728">
        <v>67</v>
      </c>
      <c r="G1728">
        <v>0</v>
      </c>
      <c r="H1728">
        <v>0</v>
      </c>
      <c r="I1728">
        <v>0</v>
      </c>
      <c r="J1728">
        <v>0</v>
      </c>
      <c r="K1728">
        <v>1</v>
      </c>
      <c r="L1728">
        <v>0</v>
      </c>
      <c r="M1728">
        <v>0</v>
      </c>
      <c r="N1728">
        <v>0</v>
      </c>
      <c r="O1728">
        <v>0</v>
      </c>
      <c r="P1728">
        <v>38</v>
      </c>
      <c r="Q1728">
        <v>0</v>
      </c>
      <c r="R1728">
        <v>0</v>
      </c>
      <c r="S1728">
        <v>0</v>
      </c>
      <c r="T1728">
        <v>4</v>
      </c>
      <c r="U1728">
        <v>7</v>
      </c>
      <c r="V1728">
        <v>13</v>
      </c>
      <c r="W1728">
        <v>0</v>
      </c>
      <c r="X1728">
        <v>0</v>
      </c>
    </row>
    <row r="1729" spans="1:24" x14ac:dyDescent="0.2">
      <c r="A1729">
        <v>20000300</v>
      </c>
      <c r="B1729" t="s">
        <v>1728</v>
      </c>
      <c r="C1729">
        <v>300</v>
      </c>
      <c r="D1729">
        <v>300</v>
      </c>
      <c r="E1729">
        <v>10000</v>
      </c>
      <c r="F1729">
        <v>67</v>
      </c>
      <c r="G1729">
        <v>0</v>
      </c>
      <c r="H1729">
        <v>0</v>
      </c>
      <c r="I1729">
        <v>0</v>
      </c>
      <c r="J1729">
        <v>0</v>
      </c>
      <c r="K1729">
        <v>8</v>
      </c>
      <c r="L1729">
        <v>0</v>
      </c>
      <c r="M1729">
        <v>0</v>
      </c>
      <c r="N1729">
        <v>0</v>
      </c>
      <c r="O1729">
        <v>0</v>
      </c>
      <c r="P1729">
        <v>19</v>
      </c>
      <c r="Q1729">
        <v>19</v>
      </c>
      <c r="R1729">
        <v>0</v>
      </c>
      <c r="S1729">
        <v>0</v>
      </c>
      <c r="T1729">
        <v>4</v>
      </c>
      <c r="U1729">
        <v>7</v>
      </c>
      <c r="V1729">
        <v>13</v>
      </c>
      <c r="W1729">
        <v>0</v>
      </c>
      <c r="X1729">
        <v>0</v>
      </c>
    </row>
    <row r="1730" spans="1:24" x14ac:dyDescent="0.2">
      <c r="A1730">
        <v>20000400</v>
      </c>
      <c r="B1730" t="s">
        <v>1729</v>
      </c>
      <c r="C1730">
        <v>500</v>
      </c>
      <c r="D1730">
        <v>500</v>
      </c>
      <c r="E1730">
        <v>10000</v>
      </c>
      <c r="F1730">
        <v>74</v>
      </c>
      <c r="G1730">
        <v>74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19</v>
      </c>
      <c r="Q1730">
        <v>0</v>
      </c>
      <c r="R1730">
        <v>19</v>
      </c>
      <c r="S1730">
        <v>0</v>
      </c>
      <c r="T1730">
        <v>4</v>
      </c>
      <c r="U1730">
        <v>7</v>
      </c>
      <c r="V1730">
        <v>13</v>
      </c>
      <c r="W1730">
        <v>0</v>
      </c>
      <c r="X1730">
        <v>0</v>
      </c>
    </row>
    <row r="1731" spans="1:24" x14ac:dyDescent="0.2">
      <c r="A1731">
        <v>20000500</v>
      </c>
      <c r="B1731" t="s">
        <v>1730</v>
      </c>
      <c r="C1731">
        <v>400</v>
      </c>
      <c r="D1731">
        <v>400</v>
      </c>
      <c r="E1731">
        <v>10000</v>
      </c>
      <c r="F1731">
        <v>74</v>
      </c>
      <c r="G1731">
        <v>74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19</v>
      </c>
      <c r="Q1731">
        <v>0</v>
      </c>
      <c r="R1731">
        <v>19</v>
      </c>
      <c r="S1731">
        <v>0</v>
      </c>
      <c r="T1731">
        <v>4</v>
      </c>
      <c r="U1731">
        <v>7</v>
      </c>
      <c r="V1731">
        <v>13</v>
      </c>
      <c r="W1731">
        <v>0</v>
      </c>
      <c r="X1731">
        <v>0</v>
      </c>
    </row>
    <row r="1732" spans="1:24" x14ac:dyDescent="0.2">
      <c r="A1732">
        <v>20000600</v>
      </c>
      <c r="B1732" t="s">
        <v>1731</v>
      </c>
      <c r="C1732">
        <v>600</v>
      </c>
      <c r="D1732">
        <v>600</v>
      </c>
      <c r="E1732">
        <v>10000</v>
      </c>
      <c r="F1732">
        <v>57</v>
      </c>
      <c r="G1732">
        <v>0</v>
      </c>
      <c r="H1732">
        <v>57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19</v>
      </c>
      <c r="Q1732">
        <v>0</v>
      </c>
      <c r="R1732">
        <v>0</v>
      </c>
      <c r="S1732">
        <v>0</v>
      </c>
      <c r="T1732">
        <v>4</v>
      </c>
      <c r="U1732">
        <v>7</v>
      </c>
      <c r="V1732">
        <v>13</v>
      </c>
      <c r="W1732">
        <v>0</v>
      </c>
      <c r="X1732">
        <v>0</v>
      </c>
    </row>
    <row r="1733" spans="1:24" x14ac:dyDescent="0.2">
      <c r="A1733">
        <v>20000700</v>
      </c>
      <c r="B1733" t="s">
        <v>1732</v>
      </c>
      <c r="C1733">
        <v>700</v>
      </c>
      <c r="D1733">
        <v>700</v>
      </c>
      <c r="E1733">
        <v>10000</v>
      </c>
      <c r="F1733">
        <v>74</v>
      </c>
      <c r="G1733">
        <v>0</v>
      </c>
      <c r="H1733">
        <v>74</v>
      </c>
      <c r="I1733">
        <v>0</v>
      </c>
      <c r="J1733">
        <v>0</v>
      </c>
      <c r="K1733">
        <v>0</v>
      </c>
      <c r="L1733">
        <v>0</v>
      </c>
      <c r="M1733">
        <v>4</v>
      </c>
      <c r="N1733">
        <v>0</v>
      </c>
      <c r="O1733">
        <v>0</v>
      </c>
      <c r="P1733">
        <v>19</v>
      </c>
      <c r="Q1733">
        <v>0</v>
      </c>
      <c r="R1733">
        <v>19</v>
      </c>
      <c r="S1733">
        <v>19</v>
      </c>
      <c r="T1733">
        <v>4</v>
      </c>
      <c r="U1733">
        <v>7</v>
      </c>
      <c r="V1733">
        <v>13</v>
      </c>
      <c r="W1733">
        <v>0</v>
      </c>
      <c r="X1733">
        <v>0</v>
      </c>
    </row>
    <row r="1734" spans="1:24" x14ac:dyDescent="0.2">
      <c r="A1734">
        <v>20000800</v>
      </c>
      <c r="B1734" t="s">
        <v>1733</v>
      </c>
      <c r="C1734">
        <v>800</v>
      </c>
      <c r="D1734">
        <v>800</v>
      </c>
      <c r="E1734">
        <v>10000</v>
      </c>
      <c r="F1734">
        <v>74</v>
      </c>
      <c r="G1734">
        <v>0</v>
      </c>
      <c r="H1734">
        <v>0</v>
      </c>
      <c r="I1734">
        <v>74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19</v>
      </c>
      <c r="Q1734">
        <v>0</v>
      </c>
      <c r="R1734">
        <v>0</v>
      </c>
      <c r="S1734">
        <v>19</v>
      </c>
      <c r="T1734">
        <v>4</v>
      </c>
      <c r="U1734">
        <v>7</v>
      </c>
      <c r="V1734">
        <v>13</v>
      </c>
      <c r="W1734">
        <v>0</v>
      </c>
      <c r="X1734">
        <v>0</v>
      </c>
    </row>
    <row r="1735" spans="1:24" x14ac:dyDescent="0.2">
      <c r="A1735">
        <v>20000900</v>
      </c>
      <c r="B1735" t="s">
        <v>1734</v>
      </c>
      <c r="C1735">
        <v>900</v>
      </c>
      <c r="D1735">
        <v>900</v>
      </c>
      <c r="E1735">
        <v>10000</v>
      </c>
      <c r="F1735">
        <v>57</v>
      </c>
      <c r="G1735">
        <v>0</v>
      </c>
      <c r="H1735">
        <v>0</v>
      </c>
      <c r="I1735">
        <v>0</v>
      </c>
      <c r="J1735">
        <v>57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19</v>
      </c>
      <c r="Q1735">
        <v>0</v>
      </c>
      <c r="R1735">
        <v>0</v>
      </c>
      <c r="S1735">
        <v>0</v>
      </c>
      <c r="T1735">
        <v>4</v>
      </c>
      <c r="U1735">
        <v>7</v>
      </c>
      <c r="V1735">
        <v>13</v>
      </c>
      <c r="W1735">
        <v>0</v>
      </c>
      <c r="X1735">
        <v>0</v>
      </c>
    </row>
    <row r="1736" spans="1:24" x14ac:dyDescent="0.2">
      <c r="A1736">
        <v>20001000</v>
      </c>
      <c r="B1736" t="s">
        <v>1735</v>
      </c>
      <c r="C1736">
        <v>1000</v>
      </c>
      <c r="D1736">
        <v>1000</v>
      </c>
      <c r="E1736">
        <v>10000</v>
      </c>
      <c r="F1736">
        <v>74</v>
      </c>
      <c r="G1736">
        <v>0</v>
      </c>
      <c r="H1736">
        <v>0</v>
      </c>
      <c r="I1736">
        <v>0</v>
      </c>
      <c r="J1736">
        <v>74</v>
      </c>
      <c r="K1736">
        <v>0</v>
      </c>
      <c r="L1736">
        <v>0</v>
      </c>
      <c r="M1736">
        <v>0</v>
      </c>
      <c r="N1736">
        <v>0</v>
      </c>
      <c r="O1736">
        <v>4</v>
      </c>
      <c r="P1736">
        <v>19</v>
      </c>
      <c r="Q1736">
        <v>0</v>
      </c>
      <c r="R1736">
        <v>19</v>
      </c>
      <c r="S1736">
        <v>19</v>
      </c>
      <c r="T1736">
        <v>4</v>
      </c>
      <c r="U1736">
        <v>7</v>
      </c>
      <c r="V1736">
        <v>13</v>
      </c>
      <c r="W1736">
        <v>0</v>
      </c>
      <c r="X1736">
        <v>0</v>
      </c>
    </row>
    <row r="1737" spans="1:24" x14ac:dyDescent="0.2">
      <c r="A1737">
        <v>20001100</v>
      </c>
      <c r="B1737" t="s">
        <v>1736</v>
      </c>
      <c r="C1737">
        <v>1100</v>
      </c>
      <c r="D1737">
        <v>1100</v>
      </c>
      <c r="E1737">
        <v>10000</v>
      </c>
      <c r="F1737">
        <v>67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19</v>
      </c>
      <c r="Q1737">
        <v>0</v>
      </c>
      <c r="R1737">
        <v>0</v>
      </c>
      <c r="S1737">
        <v>0</v>
      </c>
      <c r="T1737">
        <v>4</v>
      </c>
      <c r="U1737">
        <v>7</v>
      </c>
      <c r="V1737">
        <v>13</v>
      </c>
      <c r="W1737">
        <v>0</v>
      </c>
      <c r="X1737">
        <v>0</v>
      </c>
    </row>
    <row r="1738" spans="1:24" x14ac:dyDescent="0.2">
      <c r="A1738">
        <v>20001200</v>
      </c>
      <c r="B1738" t="s">
        <v>1737</v>
      </c>
      <c r="C1738">
        <v>1200</v>
      </c>
      <c r="D1738">
        <v>1200</v>
      </c>
      <c r="E1738">
        <v>10000</v>
      </c>
      <c r="F1738">
        <v>67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19</v>
      </c>
      <c r="Q1738">
        <v>0</v>
      </c>
      <c r="R1738">
        <v>0</v>
      </c>
      <c r="S1738">
        <v>0</v>
      </c>
      <c r="T1738">
        <v>4</v>
      </c>
      <c r="U1738">
        <v>7</v>
      </c>
      <c r="V1738">
        <v>13</v>
      </c>
      <c r="W1738">
        <v>0</v>
      </c>
      <c r="X1738">
        <v>0</v>
      </c>
    </row>
    <row r="1739" spans="1:24" x14ac:dyDescent="0.2">
      <c r="A1739">
        <v>20001300</v>
      </c>
      <c r="B1739" t="s">
        <v>1738</v>
      </c>
      <c r="C1739">
        <v>1300</v>
      </c>
      <c r="D1739">
        <v>1300</v>
      </c>
      <c r="E1739">
        <v>10000</v>
      </c>
      <c r="F1739">
        <v>67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19</v>
      </c>
      <c r="Q1739">
        <v>0</v>
      </c>
      <c r="R1739">
        <v>0</v>
      </c>
      <c r="S1739">
        <v>0</v>
      </c>
      <c r="T1739">
        <v>4</v>
      </c>
      <c r="U1739">
        <v>7</v>
      </c>
      <c r="V1739">
        <v>13</v>
      </c>
      <c r="W1739">
        <v>0</v>
      </c>
      <c r="X1739">
        <v>0</v>
      </c>
    </row>
    <row r="1740" spans="1:24" x14ac:dyDescent="0.2">
      <c r="A1740">
        <v>20001400</v>
      </c>
      <c r="B1740" t="s">
        <v>1739</v>
      </c>
      <c r="C1740">
        <v>1400</v>
      </c>
      <c r="D1740">
        <v>1400</v>
      </c>
      <c r="E1740">
        <v>10014</v>
      </c>
      <c r="F1740">
        <v>74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19</v>
      </c>
      <c r="Q1740">
        <v>0</v>
      </c>
      <c r="R1740">
        <v>0</v>
      </c>
      <c r="S1740">
        <v>19</v>
      </c>
      <c r="T1740">
        <v>4</v>
      </c>
      <c r="U1740">
        <v>7</v>
      </c>
      <c r="V1740">
        <v>13</v>
      </c>
      <c r="W1740">
        <v>0</v>
      </c>
      <c r="X1740">
        <v>0</v>
      </c>
    </row>
    <row r="1741" spans="1:24" x14ac:dyDescent="0.2">
      <c r="A1741">
        <v>20001500</v>
      </c>
      <c r="B1741" t="s">
        <v>1740</v>
      </c>
      <c r="C1741">
        <v>1500</v>
      </c>
      <c r="D1741">
        <v>1500</v>
      </c>
      <c r="E1741">
        <v>10015</v>
      </c>
      <c r="F1741">
        <v>67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19</v>
      </c>
      <c r="Q1741">
        <v>0</v>
      </c>
      <c r="R1741">
        <v>0</v>
      </c>
      <c r="S1741">
        <v>0</v>
      </c>
      <c r="T1741">
        <v>4</v>
      </c>
      <c r="U1741">
        <v>7</v>
      </c>
      <c r="V1741">
        <v>13</v>
      </c>
      <c r="W1741">
        <v>0</v>
      </c>
      <c r="X1741">
        <v>0</v>
      </c>
    </row>
    <row r="1742" spans="1:24" x14ac:dyDescent="0.2">
      <c r="A1742">
        <v>20010000</v>
      </c>
      <c r="B1742" t="s">
        <v>1741</v>
      </c>
      <c r="C1742">
        <v>0</v>
      </c>
      <c r="D1742">
        <v>8000</v>
      </c>
      <c r="E1742">
        <v>10000</v>
      </c>
      <c r="F1742">
        <v>70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20</v>
      </c>
      <c r="Q1742">
        <v>0</v>
      </c>
      <c r="R1742">
        <v>0</v>
      </c>
      <c r="S1742">
        <v>0</v>
      </c>
      <c r="T1742">
        <v>4</v>
      </c>
      <c r="U1742">
        <v>7</v>
      </c>
      <c r="V1742">
        <v>0</v>
      </c>
      <c r="W1742">
        <v>0</v>
      </c>
      <c r="X1742">
        <v>0</v>
      </c>
    </row>
    <row r="1743" spans="1:24" x14ac:dyDescent="0.2">
      <c r="A1743">
        <v>20010100</v>
      </c>
      <c r="B1743" t="s">
        <v>1742</v>
      </c>
      <c r="C1743">
        <v>200</v>
      </c>
      <c r="D1743">
        <v>100</v>
      </c>
      <c r="E1743">
        <v>10000</v>
      </c>
      <c r="F1743">
        <v>70</v>
      </c>
      <c r="G1743">
        <v>0</v>
      </c>
      <c r="H1743">
        <v>0</v>
      </c>
      <c r="I1743">
        <v>0</v>
      </c>
      <c r="J1743">
        <v>0</v>
      </c>
      <c r="K1743">
        <v>1</v>
      </c>
      <c r="L1743">
        <v>0</v>
      </c>
      <c r="M1743">
        <v>0</v>
      </c>
      <c r="N1743">
        <v>0</v>
      </c>
      <c r="O1743">
        <v>0</v>
      </c>
      <c r="P1743">
        <v>20</v>
      </c>
      <c r="Q1743">
        <v>0</v>
      </c>
      <c r="R1743">
        <v>0</v>
      </c>
      <c r="S1743">
        <v>0</v>
      </c>
      <c r="T1743">
        <v>4</v>
      </c>
      <c r="U1743">
        <v>7</v>
      </c>
      <c r="V1743">
        <v>0</v>
      </c>
      <c r="W1743">
        <v>0</v>
      </c>
      <c r="X1743">
        <v>0</v>
      </c>
    </row>
    <row r="1744" spans="1:24" x14ac:dyDescent="0.2">
      <c r="A1744">
        <v>20010200</v>
      </c>
      <c r="B1744" t="s">
        <v>1743</v>
      </c>
      <c r="C1744">
        <v>100</v>
      </c>
      <c r="D1744">
        <v>200</v>
      </c>
      <c r="E1744">
        <v>10000</v>
      </c>
      <c r="F1744">
        <v>70</v>
      </c>
      <c r="G1744">
        <v>0</v>
      </c>
      <c r="H1744">
        <v>0</v>
      </c>
      <c r="I1744">
        <v>0</v>
      </c>
      <c r="J1744">
        <v>0</v>
      </c>
      <c r="K1744">
        <v>1</v>
      </c>
      <c r="L1744">
        <v>0</v>
      </c>
      <c r="M1744">
        <v>0</v>
      </c>
      <c r="N1744">
        <v>0</v>
      </c>
      <c r="O1744">
        <v>0</v>
      </c>
      <c r="P1744">
        <v>40</v>
      </c>
      <c r="Q1744">
        <v>0</v>
      </c>
      <c r="R1744">
        <v>0</v>
      </c>
      <c r="S1744">
        <v>0</v>
      </c>
      <c r="T1744">
        <v>4</v>
      </c>
      <c r="U1744">
        <v>7</v>
      </c>
      <c r="V1744">
        <v>0</v>
      </c>
      <c r="W1744">
        <v>0</v>
      </c>
      <c r="X1744">
        <v>0</v>
      </c>
    </row>
    <row r="1745" spans="1:24" x14ac:dyDescent="0.2">
      <c r="A1745">
        <v>20010300</v>
      </c>
      <c r="B1745" t="s">
        <v>1744</v>
      </c>
      <c r="C1745">
        <v>300</v>
      </c>
      <c r="D1745">
        <v>300</v>
      </c>
      <c r="E1745">
        <v>10000</v>
      </c>
      <c r="F1745">
        <v>70</v>
      </c>
      <c r="G1745">
        <v>0</v>
      </c>
      <c r="H1745">
        <v>0</v>
      </c>
      <c r="I1745">
        <v>0</v>
      </c>
      <c r="J1745">
        <v>0</v>
      </c>
      <c r="K1745">
        <v>8</v>
      </c>
      <c r="L1745">
        <v>0</v>
      </c>
      <c r="M1745">
        <v>0</v>
      </c>
      <c r="N1745">
        <v>0</v>
      </c>
      <c r="O1745">
        <v>0</v>
      </c>
      <c r="P1745">
        <v>20</v>
      </c>
      <c r="Q1745">
        <v>20</v>
      </c>
      <c r="R1745">
        <v>0</v>
      </c>
      <c r="S1745">
        <v>0</v>
      </c>
      <c r="T1745">
        <v>4</v>
      </c>
      <c r="U1745">
        <v>7</v>
      </c>
      <c r="V1745">
        <v>0</v>
      </c>
      <c r="W1745">
        <v>0</v>
      </c>
      <c r="X1745">
        <v>0</v>
      </c>
    </row>
    <row r="1746" spans="1:24" x14ac:dyDescent="0.2">
      <c r="A1746">
        <v>20010400</v>
      </c>
      <c r="B1746" t="s">
        <v>1745</v>
      </c>
      <c r="C1746">
        <v>500</v>
      </c>
      <c r="D1746">
        <v>500</v>
      </c>
      <c r="E1746">
        <v>10000</v>
      </c>
      <c r="F1746">
        <v>77</v>
      </c>
      <c r="G1746">
        <v>77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20</v>
      </c>
      <c r="Q1746">
        <v>0</v>
      </c>
      <c r="R1746">
        <v>20</v>
      </c>
      <c r="S1746">
        <v>0</v>
      </c>
      <c r="T1746">
        <v>4</v>
      </c>
      <c r="U1746">
        <v>7</v>
      </c>
      <c r="V1746">
        <v>0</v>
      </c>
      <c r="W1746">
        <v>0</v>
      </c>
      <c r="X1746">
        <v>0</v>
      </c>
    </row>
    <row r="1747" spans="1:24" x14ac:dyDescent="0.2">
      <c r="A1747">
        <v>20010500</v>
      </c>
      <c r="B1747" t="s">
        <v>1746</v>
      </c>
      <c r="C1747">
        <v>400</v>
      </c>
      <c r="D1747">
        <v>400</v>
      </c>
      <c r="E1747">
        <v>10000</v>
      </c>
      <c r="F1747">
        <v>77</v>
      </c>
      <c r="G1747">
        <v>77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20</v>
      </c>
      <c r="Q1747">
        <v>0</v>
      </c>
      <c r="R1747">
        <v>20</v>
      </c>
      <c r="S1747">
        <v>0</v>
      </c>
      <c r="T1747">
        <v>4</v>
      </c>
      <c r="U1747">
        <v>7</v>
      </c>
      <c r="V1747">
        <v>0</v>
      </c>
      <c r="W1747">
        <v>0</v>
      </c>
      <c r="X1747">
        <v>0</v>
      </c>
    </row>
    <row r="1748" spans="1:24" x14ac:dyDescent="0.2">
      <c r="A1748">
        <v>20010600</v>
      </c>
      <c r="B1748" t="s">
        <v>1747</v>
      </c>
      <c r="C1748">
        <v>600</v>
      </c>
      <c r="D1748">
        <v>600</v>
      </c>
      <c r="E1748">
        <v>10000</v>
      </c>
      <c r="F1748">
        <v>60</v>
      </c>
      <c r="G1748">
        <v>0</v>
      </c>
      <c r="H1748">
        <v>60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20</v>
      </c>
      <c r="Q1748">
        <v>0</v>
      </c>
      <c r="R1748">
        <v>0</v>
      </c>
      <c r="S1748">
        <v>0</v>
      </c>
      <c r="T1748">
        <v>4</v>
      </c>
      <c r="U1748">
        <v>7</v>
      </c>
      <c r="V1748">
        <v>0</v>
      </c>
      <c r="W1748">
        <v>0</v>
      </c>
      <c r="X1748">
        <v>0</v>
      </c>
    </row>
    <row r="1749" spans="1:24" x14ac:dyDescent="0.2">
      <c r="A1749">
        <v>20010700</v>
      </c>
      <c r="B1749" t="s">
        <v>1748</v>
      </c>
      <c r="C1749">
        <v>700</v>
      </c>
      <c r="D1749">
        <v>700</v>
      </c>
      <c r="E1749">
        <v>10000</v>
      </c>
      <c r="F1749">
        <v>77</v>
      </c>
      <c r="G1749">
        <v>0</v>
      </c>
      <c r="H1749">
        <v>77</v>
      </c>
      <c r="I1749">
        <v>0</v>
      </c>
      <c r="J1749">
        <v>0</v>
      </c>
      <c r="K1749">
        <v>0</v>
      </c>
      <c r="L1749">
        <v>0</v>
      </c>
      <c r="M1749">
        <v>4</v>
      </c>
      <c r="N1749">
        <v>0</v>
      </c>
      <c r="O1749">
        <v>0</v>
      </c>
      <c r="P1749">
        <v>20</v>
      </c>
      <c r="Q1749">
        <v>0</v>
      </c>
      <c r="R1749">
        <v>20</v>
      </c>
      <c r="S1749">
        <v>20</v>
      </c>
      <c r="T1749">
        <v>4</v>
      </c>
      <c r="U1749">
        <v>7</v>
      </c>
      <c r="V1749">
        <v>0</v>
      </c>
      <c r="W1749">
        <v>0</v>
      </c>
      <c r="X1749">
        <v>0</v>
      </c>
    </row>
    <row r="1750" spans="1:24" x14ac:dyDescent="0.2">
      <c r="A1750">
        <v>20010800</v>
      </c>
      <c r="B1750" t="s">
        <v>1749</v>
      </c>
      <c r="C1750">
        <v>800</v>
      </c>
      <c r="D1750">
        <v>800</v>
      </c>
      <c r="E1750">
        <v>10000</v>
      </c>
      <c r="F1750">
        <v>77</v>
      </c>
      <c r="G1750">
        <v>0</v>
      </c>
      <c r="H1750">
        <v>0</v>
      </c>
      <c r="I1750">
        <v>77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20</v>
      </c>
      <c r="Q1750">
        <v>0</v>
      </c>
      <c r="R1750">
        <v>0</v>
      </c>
      <c r="S1750">
        <v>20</v>
      </c>
      <c r="T1750">
        <v>4</v>
      </c>
      <c r="U1750">
        <v>7</v>
      </c>
      <c r="V1750">
        <v>0</v>
      </c>
      <c r="W1750">
        <v>0</v>
      </c>
      <c r="X1750">
        <v>0</v>
      </c>
    </row>
    <row r="1751" spans="1:24" x14ac:dyDescent="0.2">
      <c r="A1751">
        <v>20010900</v>
      </c>
      <c r="B1751" t="s">
        <v>1750</v>
      </c>
      <c r="C1751">
        <v>900</v>
      </c>
      <c r="D1751">
        <v>900</v>
      </c>
      <c r="E1751">
        <v>10000</v>
      </c>
      <c r="F1751">
        <v>60</v>
      </c>
      <c r="G1751">
        <v>0</v>
      </c>
      <c r="H1751">
        <v>0</v>
      </c>
      <c r="I1751">
        <v>0</v>
      </c>
      <c r="J1751">
        <v>60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20</v>
      </c>
      <c r="Q1751">
        <v>0</v>
      </c>
      <c r="R1751">
        <v>0</v>
      </c>
      <c r="S1751">
        <v>0</v>
      </c>
      <c r="T1751">
        <v>4</v>
      </c>
      <c r="U1751">
        <v>7</v>
      </c>
      <c r="V1751">
        <v>0</v>
      </c>
      <c r="W1751">
        <v>0</v>
      </c>
      <c r="X1751">
        <v>0</v>
      </c>
    </row>
    <row r="1752" spans="1:24" x14ac:dyDescent="0.2">
      <c r="A1752">
        <v>20011000</v>
      </c>
      <c r="B1752" t="s">
        <v>1751</v>
      </c>
      <c r="C1752">
        <v>1000</v>
      </c>
      <c r="D1752">
        <v>1000</v>
      </c>
      <c r="E1752">
        <v>10000</v>
      </c>
      <c r="F1752">
        <v>77</v>
      </c>
      <c r="G1752">
        <v>0</v>
      </c>
      <c r="H1752">
        <v>0</v>
      </c>
      <c r="I1752">
        <v>0</v>
      </c>
      <c r="J1752">
        <v>77</v>
      </c>
      <c r="K1752">
        <v>0</v>
      </c>
      <c r="L1752">
        <v>0</v>
      </c>
      <c r="M1752">
        <v>0</v>
      </c>
      <c r="N1752">
        <v>0</v>
      </c>
      <c r="O1752">
        <v>4</v>
      </c>
      <c r="P1752">
        <v>20</v>
      </c>
      <c r="Q1752">
        <v>0</v>
      </c>
      <c r="R1752">
        <v>20</v>
      </c>
      <c r="S1752">
        <v>20</v>
      </c>
      <c r="T1752">
        <v>4</v>
      </c>
      <c r="U1752">
        <v>7</v>
      </c>
      <c r="V1752">
        <v>0</v>
      </c>
      <c r="W1752">
        <v>0</v>
      </c>
      <c r="X1752">
        <v>0</v>
      </c>
    </row>
    <row r="1753" spans="1:24" x14ac:dyDescent="0.2">
      <c r="A1753">
        <v>20011100</v>
      </c>
      <c r="B1753" t="s">
        <v>1752</v>
      </c>
      <c r="C1753">
        <v>1100</v>
      </c>
      <c r="D1753">
        <v>1100</v>
      </c>
      <c r="E1753">
        <v>10000</v>
      </c>
      <c r="F1753">
        <v>70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20</v>
      </c>
      <c r="Q1753">
        <v>0</v>
      </c>
      <c r="R1753">
        <v>0</v>
      </c>
      <c r="S1753">
        <v>0</v>
      </c>
      <c r="T1753">
        <v>4</v>
      </c>
      <c r="U1753">
        <v>7</v>
      </c>
      <c r="V1753">
        <v>0</v>
      </c>
      <c r="W1753">
        <v>0</v>
      </c>
      <c r="X1753">
        <v>0</v>
      </c>
    </row>
    <row r="1754" spans="1:24" x14ac:dyDescent="0.2">
      <c r="A1754">
        <v>20011200</v>
      </c>
      <c r="B1754" t="s">
        <v>1753</v>
      </c>
      <c r="C1754">
        <v>1200</v>
      </c>
      <c r="D1754">
        <v>1200</v>
      </c>
      <c r="E1754">
        <v>10000</v>
      </c>
      <c r="F1754">
        <v>70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20</v>
      </c>
      <c r="Q1754">
        <v>0</v>
      </c>
      <c r="R1754">
        <v>0</v>
      </c>
      <c r="S1754">
        <v>0</v>
      </c>
      <c r="T1754">
        <v>4</v>
      </c>
      <c r="U1754">
        <v>7</v>
      </c>
      <c r="V1754">
        <v>0</v>
      </c>
      <c r="W1754">
        <v>0</v>
      </c>
      <c r="X1754">
        <v>0</v>
      </c>
    </row>
    <row r="1755" spans="1:24" x14ac:dyDescent="0.2">
      <c r="A1755">
        <v>20011300</v>
      </c>
      <c r="B1755" t="s">
        <v>1754</v>
      </c>
      <c r="C1755">
        <v>1300</v>
      </c>
      <c r="D1755">
        <v>1300</v>
      </c>
      <c r="E1755">
        <v>10000</v>
      </c>
      <c r="F1755">
        <v>70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20</v>
      </c>
      <c r="Q1755">
        <v>0</v>
      </c>
      <c r="R1755">
        <v>0</v>
      </c>
      <c r="S1755">
        <v>0</v>
      </c>
      <c r="T1755">
        <v>4</v>
      </c>
      <c r="U1755">
        <v>7</v>
      </c>
      <c r="V1755">
        <v>0</v>
      </c>
      <c r="W1755">
        <v>0</v>
      </c>
      <c r="X1755">
        <v>0</v>
      </c>
    </row>
    <row r="1756" spans="1:24" x14ac:dyDescent="0.2">
      <c r="A1756">
        <v>20011400</v>
      </c>
      <c r="B1756" t="s">
        <v>1755</v>
      </c>
      <c r="C1756">
        <v>1400</v>
      </c>
      <c r="D1756">
        <v>1400</v>
      </c>
      <c r="E1756">
        <v>10014</v>
      </c>
      <c r="F1756">
        <v>77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20</v>
      </c>
      <c r="Q1756">
        <v>0</v>
      </c>
      <c r="R1756">
        <v>0</v>
      </c>
      <c r="S1756">
        <v>20</v>
      </c>
      <c r="T1756">
        <v>4</v>
      </c>
      <c r="U1756">
        <v>7</v>
      </c>
      <c r="V1756">
        <v>0</v>
      </c>
      <c r="W1756">
        <v>0</v>
      </c>
      <c r="X1756">
        <v>0</v>
      </c>
    </row>
    <row r="1757" spans="1:24" x14ac:dyDescent="0.2">
      <c r="A1757">
        <v>20011500</v>
      </c>
      <c r="B1757" t="s">
        <v>1756</v>
      </c>
      <c r="C1757">
        <v>1500</v>
      </c>
      <c r="D1757">
        <v>1500</v>
      </c>
      <c r="E1757">
        <v>10015</v>
      </c>
      <c r="F1757">
        <v>70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20</v>
      </c>
      <c r="Q1757">
        <v>0</v>
      </c>
      <c r="R1757">
        <v>0</v>
      </c>
      <c r="S1757">
        <v>0</v>
      </c>
      <c r="T1757">
        <v>4</v>
      </c>
      <c r="U1757">
        <v>7</v>
      </c>
      <c r="V1757">
        <v>0</v>
      </c>
      <c r="W1757">
        <v>0</v>
      </c>
      <c r="X1757">
        <v>0</v>
      </c>
    </row>
    <row r="1758" spans="1:24" x14ac:dyDescent="0.2">
      <c r="A1758">
        <v>20030000</v>
      </c>
      <c r="B1758" t="s">
        <v>1757</v>
      </c>
      <c r="C1758">
        <v>0</v>
      </c>
      <c r="D1758">
        <v>8100</v>
      </c>
      <c r="E1758">
        <v>10000</v>
      </c>
      <c r="F1758">
        <v>79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30</v>
      </c>
      <c r="Q1758">
        <v>0</v>
      </c>
      <c r="R1758">
        <v>0</v>
      </c>
      <c r="S1758">
        <v>0</v>
      </c>
      <c r="T1758">
        <v>6</v>
      </c>
      <c r="U1758">
        <v>8</v>
      </c>
      <c r="V1758">
        <v>0</v>
      </c>
      <c r="W1758">
        <v>0</v>
      </c>
      <c r="X1758">
        <v>0</v>
      </c>
    </row>
    <row r="1759" spans="1:24" x14ac:dyDescent="0.2">
      <c r="A1759">
        <v>20030100</v>
      </c>
      <c r="B1759" t="s">
        <v>1758</v>
      </c>
      <c r="C1759">
        <v>200</v>
      </c>
      <c r="D1759">
        <v>100</v>
      </c>
      <c r="E1759">
        <v>10000</v>
      </c>
      <c r="F1759">
        <v>79</v>
      </c>
      <c r="G1759">
        <v>0</v>
      </c>
      <c r="H1759">
        <v>0</v>
      </c>
      <c r="I1759">
        <v>0</v>
      </c>
      <c r="J1759">
        <v>0</v>
      </c>
      <c r="K1759">
        <v>1</v>
      </c>
      <c r="L1759">
        <v>0</v>
      </c>
      <c r="M1759">
        <v>0</v>
      </c>
      <c r="N1759">
        <v>0</v>
      </c>
      <c r="O1759">
        <v>0</v>
      </c>
      <c r="P1759">
        <v>30</v>
      </c>
      <c r="Q1759">
        <v>0</v>
      </c>
      <c r="R1759">
        <v>0</v>
      </c>
      <c r="S1759">
        <v>0</v>
      </c>
      <c r="T1759">
        <v>6</v>
      </c>
      <c r="U1759">
        <v>8</v>
      </c>
      <c r="V1759">
        <v>0</v>
      </c>
      <c r="W1759">
        <v>0</v>
      </c>
      <c r="X1759">
        <v>0</v>
      </c>
    </row>
    <row r="1760" spans="1:24" x14ac:dyDescent="0.2">
      <c r="A1760">
        <v>20030200</v>
      </c>
      <c r="B1760" t="s">
        <v>1759</v>
      </c>
      <c r="C1760">
        <v>100</v>
      </c>
      <c r="D1760">
        <v>200</v>
      </c>
      <c r="E1760">
        <v>10000</v>
      </c>
      <c r="F1760">
        <v>79</v>
      </c>
      <c r="G1760">
        <v>0</v>
      </c>
      <c r="H1760">
        <v>0</v>
      </c>
      <c r="I1760">
        <v>0</v>
      </c>
      <c r="J1760">
        <v>0</v>
      </c>
      <c r="K1760">
        <v>1</v>
      </c>
      <c r="L1760">
        <v>0</v>
      </c>
      <c r="M1760">
        <v>0</v>
      </c>
      <c r="N1760">
        <v>0</v>
      </c>
      <c r="O1760">
        <v>0</v>
      </c>
      <c r="P1760">
        <v>60</v>
      </c>
      <c r="Q1760">
        <v>0</v>
      </c>
      <c r="R1760">
        <v>0</v>
      </c>
      <c r="S1760">
        <v>0</v>
      </c>
      <c r="T1760">
        <v>6</v>
      </c>
      <c r="U1760">
        <v>8</v>
      </c>
      <c r="V1760">
        <v>0</v>
      </c>
      <c r="W1760">
        <v>0</v>
      </c>
      <c r="X1760">
        <v>0</v>
      </c>
    </row>
    <row r="1761" spans="1:24" x14ac:dyDescent="0.2">
      <c r="A1761">
        <v>20030300</v>
      </c>
      <c r="B1761" t="s">
        <v>1760</v>
      </c>
      <c r="C1761">
        <v>300</v>
      </c>
      <c r="D1761">
        <v>300</v>
      </c>
      <c r="E1761">
        <v>10000</v>
      </c>
      <c r="F1761">
        <v>79</v>
      </c>
      <c r="G1761">
        <v>0</v>
      </c>
      <c r="H1761">
        <v>0</v>
      </c>
      <c r="I1761">
        <v>0</v>
      </c>
      <c r="J1761">
        <v>0</v>
      </c>
      <c r="K1761">
        <v>8</v>
      </c>
      <c r="L1761">
        <v>0</v>
      </c>
      <c r="M1761">
        <v>0</v>
      </c>
      <c r="N1761">
        <v>0</v>
      </c>
      <c r="O1761">
        <v>0</v>
      </c>
      <c r="P1761">
        <v>25</v>
      </c>
      <c r="Q1761">
        <v>25</v>
      </c>
      <c r="R1761">
        <v>0</v>
      </c>
      <c r="S1761">
        <v>0</v>
      </c>
      <c r="T1761">
        <v>6</v>
      </c>
      <c r="U1761">
        <v>8</v>
      </c>
      <c r="V1761">
        <v>0</v>
      </c>
      <c r="W1761">
        <v>0</v>
      </c>
      <c r="X1761">
        <v>0</v>
      </c>
    </row>
    <row r="1762" spans="1:24" x14ac:dyDescent="0.2">
      <c r="A1762">
        <v>20030400</v>
      </c>
      <c r="B1762" t="s">
        <v>1761</v>
      </c>
      <c r="C1762">
        <v>500</v>
      </c>
      <c r="D1762">
        <v>500</v>
      </c>
      <c r="E1762">
        <v>10000</v>
      </c>
      <c r="F1762">
        <v>86</v>
      </c>
      <c r="G1762">
        <v>86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30</v>
      </c>
      <c r="Q1762">
        <v>0</v>
      </c>
      <c r="R1762">
        <v>30</v>
      </c>
      <c r="S1762">
        <v>0</v>
      </c>
      <c r="T1762">
        <v>6</v>
      </c>
      <c r="U1762">
        <v>8</v>
      </c>
      <c r="V1762">
        <v>0</v>
      </c>
      <c r="W1762">
        <v>0</v>
      </c>
      <c r="X1762">
        <v>0</v>
      </c>
    </row>
    <row r="1763" spans="1:24" x14ac:dyDescent="0.2">
      <c r="A1763">
        <v>20030500</v>
      </c>
      <c r="B1763" t="s">
        <v>1762</v>
      </c>
      <c r="C1763">
        <v>400</v>
      </c>
      <c r="D1763">
        <v>400</v>
      </c>
      <c r="E1763">
        <v>10000</v>
      </c>
      <c r="F1763">
        <v>86</v>
      </c>
      <c r="G1763">
        <v>86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30</v>
      </c>
      <c r="Q1763">
        <v>0</v>
      </c>
      <c r="R1763">
        <v>30</v>
      </c>
      <c r="S1763">
        <v>0</v>
      </c>
      <c r="T1763">
        <v>6</v>
      </c>
      <c r="U1763">
        <v>8</v>
      </c>
      <c r="V1763">
        <v>0</v>
      </c>
      <c r="W1763">
        <v>0</v>
      </c>
      <c r="X1763">
        <v>0</v>
      </c>
    </row>
    <row r="1764" spans="1:24" x14ac:dyDescent="0.2">
      <c r="A1764">
        <v>20030600</v>
      </c>
      <c r="B1764" t="s">
        <v>1763</v>
      </c>
      <c r="C1764">
        <v>600</v>
      </c>
      <c r="D1764">
        <v>600</v>
      </c>
      <c r="E1764">
        <v>10000</v>
      </c>
      <c r="F1764">
        <v>69</v>
      </c>
      <c r="G1764">
        <v>0</v>
      </c>
      <c r="H1764">
        <v>69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30</v>
      </c>
      <c r="Q1764">
        <v>0</v>
      </c>
      <c r="R1764">
        <v>0</v>
      </c>
      <c r="S1764">
        <v>0</v>
      </c>
      <c r="T1764">
        <v>6</v>
      </c>
      <c r="U1764">
        <v>8</v>
      </c>
      <c r="V1764">
        <v>0</v>
      </c>
      <c r="W1764">
        <v>0</v>
      </c>
      <c r="X1764">
        <v>0</v>
      </c>
    </row>
    <row r="1765" spans="1:24" x14ac:dyDescent="0.2">
      <c r="A1765">
        <v>20030700</v>
      </c>
      <c r="B1765" t="s">
        <v>1764</v>
      </c>
      <c r="C1765">
        <v>700</v>
      </c>
      <c r="D1765">
        <v>700</v>
      </c>
      <c r="E1765">
        <v>10000</v>
      </c>
      <c r="F1765">
        <v>86</v>
      </c>
      <c r="G1765">
        <v>0</v>
      </c>
      <c r="H1765">
        <v>86</v>
      </c>
      <c r="I1765">
        <v>0</v>
      </c>
      <c r="J1765">
        <v>0</v>
      </c>
      <c r="K1765">
        <v>0</v>
      </c>
      <c r="L1765">
        <v>0</v>
      </c>
      <c r="M1765">
        <v>4</v>
      </c>
      <c r="N1765">
        <v>0</v>
      </c>
      <c r="O1765">
        <v>0</v>
      </c>
      <c r="P1765">
        <v>30</v>
      </c>
      <c r="Q1765">
        <v>0</v>
      </c>
      <c r="R1765">
        <v>30</v>
      </c>
      <c r="S1765">
        <v>30</v>
      </c>
      <c r="T1765">
        <v>6</v>
      </c>
      <c r="U1765">
        <v>8</v>
      </c>
      <c r="V1765">
        <v>0</v>
      </c>
      <c r="W1765">
        <v>0</v>
      </c>
      <c r="X1765">
        <v>0</v>
      </c>
    </row>
    <row r="1766" spans="1:24" x14ac:dyDescent="0.2">
      <c r="A1766">
        <v>20030800</v>
      </c>
      <c r="B1766" t="s">
        <v>1765</v>
      </c>
      <c r="C1766">
        <v>800</v>
      </c>
      <c r="D1766">
        <v>800</v>
      </c>
      <c r="E1766">
        <v>10000</v>
      </c>
      <c r="F1766">
        <v>86</v>
      </c>
      <c r="G1766">
        <v>0</v>
      </c>
      <c r="H1766">
        <v>0</v>
      </c>
      <c r="I1766">
        <v>86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30</v>
      </c>
      <c r="Q1766">
        <v>0</v>
      </c>
      <c r="R1766">
        <v>0</v>
      </c>
      <c r="S1766">
        <v>30</v>
      </c>
      <c r="T1766">
        <v>6</v>
      </c>
      <c r="U1766">
        <v>8</v>
      </c>
      <c r="V1766">
        <v>0</v>
      </c>
      <c r="W1766">
        <v>0</v>
      </c>
      <c r="X1766">
        <v>0</v>
      </c>
    </row>
    <row r="1767" spans="1:24" x14ac:dyDescent="0.2">
      <c r="A1767">
        <v>20030900</v>
      </c>
      <c r="B1767" t="s">
        <v>1766</v>
      </c>
      <c r="C1767">
        <v>900</v>
      </c>
      <c r="D1767">
        <v>900</v>
      </c>
      <c r="E1767">
        <v>10000</v>
      </c>
      <c r="F1767">
        <v>69</v>
      </c>
      <c r="G1767">
        <v>0</v>
      </c>
      <c r="H1767">
        <v>0</v>
      </c>
      <c r="I1767">
        <v>0</v>
      </c>
      <c r="J1767">
        <v>69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30</v>
      </c>
      <c r="Q1767">
        <v>0</v>
      </c>
      <c r="R1767">
        <v>0</v>
      </c>
      <c r="S1767">
        <v>0</v>
      </c>
      <c r="T1767">
        <v>6</v>
      </c>
      <c r="U1767">
        <v>8</v>
      </c>
      <c r="V1767">
        <v>0</v>
      </c>
      <c r="W1767">
        <v>0</v>
      </c>
      <c r="X1767">
        <v>0</v>
      </c>
    </row>
    <row r="1768" spans="1:24" x14ac:dyDescent="0.2">
      <c r="A1768">
        <v>20031000</v>
      </c>
      <c r="B1768" t="s">
        <v>1767</v>
      </c>
      <c r="C1768">
        <v>1000</v>
      </c>
      <c r="D1768">
        <v>1000</v>
      </c>
      <c r="E1768">
        <v>10000</v>
      </c>
      <c r="F1768">
        <v>86</v>
      </c>
      <c r="G1768">
        <v>0</v>
      </c>
      <c r="H1768">
        <v>0</v>
      </c>
      <c r="I1768">
        <v>0</v>
      </c>
      <c r="J1768">
        <v>86</v>
      </c>
      <c r="K1768">
        <v>0</v>
      </c>
      <c r="L1768">
        <v>0</v>
      </c>
      <c r="M1768">
        <v>0</v>
      </c>
      <c r="N1768">
        <v>0</v>
      </c>
      <c r="O1768">
        <v>4</v>
      </c>
      <c r="P1768">
        <v>30</v>
      </c>
      <c r="Q1768">
        <v>0</v>
      </c>
      <c r="R1768">
        <v>30</v>
      </c>
      <c r="S1768">
        <v>30</v>
      </c>
      <c r="T1768">
        <v>6</v>
      </c>
      <c r="U1768">
        <v>8</v>
      </c>
      <c r="V1768">
        <v>0</v>
      </c>
      <c r="W1768">
        <v>0</v>
      </c>
      <c r="X1768">
        <v>0</v>
      </c>
    </row>
    <row r="1769" spans="1:24" x14ac:dyDescent="0.2">
      <c r="A1769">
        <v>20031100</v>
      </c>
      <c r="B1769" t="s">
        <v>1768</v>
      </c>
      <c r="C1769">
        <v>1100</v>
      </c>
      <c r="D1769">
        <v>1100</v>
      </c>
      <c r="E1769">
        <v>10000</v>
      </c>
      <c r="F1769">
        <v>79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30</v>
      </c>
      <c r="Q1769">
        <v>0</v>
      </c>
      <c r="R1769">
        <v>0</v>
      </c>
      <c r="S1769">
        <v>0</v>
      </c>
      <c r="T1769">
        <v>6</v>
      </c>
      <c r="U1769">
        <v>8</v>
      </c>
      <c r="V1769">
        <v>0</v>
      </c>
      <c r="W1769">
        <v>0</v>
      </c>
      <c r="X1769">
        <v>0</v>
      </c>
    </row>
    <row r="1770" spans="1:24" x14ac:dyDescent="0.2">
      <c r="A1770">
        <v>20031200</v>
      </c>
      <c r="B1770" t="s">
        <v>1769</v>
      </c>
      <c r="C1770">
        <v>1200</v>
      </c>
      <c r="D1770">
        <v>1200</v>
      </c>
      <c r="E1770">
        <v>10000</v>
      </c>
      <c r="F1770">
        <v>79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30</v>
      </c>
      <c r="Q1770">
        <v>0</v>
      </c>
      <c r="R1770">
        <v>0</v>
      </c>
      <c r="S1770">
        <v>0</v>
      </c>
      <c r="T1770">
        <v>6</v>
      </c>
      <c r="U1770">
        <v>8</v>
      </c>
      <c r="V1770">
        <v>0</v>
      </c>
      <c r="W1770">
        <v>0</v>
      </c>
      <c r="X1770">
        <v>0</v>
      </c>
    </row>
    <row r="1771" spans="1:24" x14ac:dyDescent="0.2">
      <c r="A1771">
        <v>20031300</v>
      </c>
      <c r="B1771" t="s">
        <v>1770</v>
      </c>
      <c r="C1771">
        <v>1300</v>
      </c>
      <c r="D1771">
        <v>1300</v>
      </c>
      <c r="E1771">
        <v>10000</v>
      </c>
      <c r="F1771">
        <v>79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30</v>
      </c>
      <c r="Q1771">
        <v>0</v>
      </c>
      <c r="R1771">
        <v>0</v>
      </c>
      <c r="S1771">
        <v>0</v>
      </c>
      <c r="T1771">
        <v>6</v>
      </c>
      <c r="U1771">
        <v>8</v>
      </c>
      <c r="V1771">
        <v>0</v>
      </c>
      <c r="W1771">
        <v>0</v>
      </c>
      <c r="X1771">
        <v>0</v>
      </c>
    </row>
    <row r="1772" spans="1:24" x14ac:dyDescent="0.2">
      <c r="A1772">
        <v>20031400</v>
      </c>
      <c r="B1772" t="s">
        <v>1771</v>
      </c>
      <c r="C1772">
        <v>1400</v>
      </c>
      <c r="D1772">
        <v>1400</v>
      </c>
      <c r="E1772">
        <v>10014</v>
      </c>
      <c r="F1772">
        <v>86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30</v>
      </c>
      <c r="Q1772">
        <v>0</v>
      </c>
      <c r="R1772">
        <v>0</v>
      </c>
      <c r="S1772">
        <v>30</v>
      </c>
      <c r="T1772">
        <v>6</v>
      </c>
      <c r="U1772">
        <v>8</v>
      </c>
      <c r="V1772">
        <v>0</v>
      </c>
      <c r="W1772">
        <v>0</v>
      </c>
      <c r="X1772">
        <v>0</v>
      </c>
    </row>
    <row r="1773" spans="1:24" x14ac:dyDescent="0.2">
      <c r="A1773">
        <v>20031500</v>
      </c>
      <c r="B1773" t="s">
        <v>1772</v>
      </c>
      <c r="C1773">
        <v>1500</v>
      </c>
      <c r="D1773">
        <v>1500</v>
      </c>
      <c r="E1773">
        <v>10015</v>
      </c>
      <c r="F1773">
        <v>79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30</v>
      </c>
      <c r="Q1773">
        <v>0</v>
      </c>
      <c r="R1773">
        <v>0</v>
      </c>
      <c r="S1773">
        <v>0</v>
      </c>
      <c r="T1773">
        <v>6</v>
      </c>
      <c r="U1773">
        <v>8</v>
      </c>
      <c r="V1773">
        <v>0</v>
      </c>
      <c r="W1773">
        <v>0</v>
      </c>
      <c r="X1773">
        <v>0</v>
      </c>
    </row>
    <row r="1774" spans="1:24" x14ac:dyDescent="0.2">
      <c r="A1774">
        <v>20040000</v>
      </c>
      <c r="B1774" t="s">
        <v>1773</v>
      </c>
      <c r="C1774">
        <v>0</v>
      </c>
      <c r="D1774">
        <v>8100</v>
      </c>
      <c r="E1774">
        <v>10000</v>
      </c>
      <c r="F1774">
        <v>78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30</v>
      </c>
      <c r="Q1774">
        <v>0</v>
      </c>
      <c r="R1774">
        <v>0</v>
      </c>
      <c r="S1774">
        <v>0</v>
      </c>
      <c r="T1774">
        <v>6</v>
      </c>
      <c r="U1774">
        <v>8</v>
      </c>
      <c r="V1774">
        <v>0</v>
      </c>
      <c r="W1774">
        <v>0</v>
      </c>
      <c r="X1774">
        <v>0</v>
      </c>
    </row>
    <row r="1775" spans="1:24" x14ac:dyDescent="0.2">
      <c r="A1775">
        <v>20040100</v>
      </c>
      <c r="B1775" t="s">
        <v>1774</v>
      </c>
      <c r="C1775">
        <v>200</v>
      </c>
      <c r="D1775">
        <v>100</v>
      </c>
      <c r="E1775">
        <v>10000</v>
      </c>
      <c r="F1775">
        <v>78</v>
      </c>
      <c r="G1775">
        <v>0</v>
      </c>
      <c r="H1775">
        <v>0</v>
      </c>
      <c r="I1775">
        <v>0</v>
      </c>
      <c r="J1775">
        <v>0</v>
      </c>
      <c r="K1775">
        <v>1</v>
      </c>
      <c r="L1775">
        <v>0</v>
      </c>
      <c r="M1775">
        <v>0</v>
      </c>
      <c r="N1775">
        <v>0</v>
      </c>
      <c r="O1775">
        <v>0</v>
      </c>
      <c r="P1775">
        <v>30</v>
      </c>
      <c r="Q1775">
        <v>0</v>
      </c>
      <c r="R1775">
        <v>0</v>
      </c>
      <c r="S1775">
        <v>0</v>
      </c>
      <c r="T1775">
        <v>6</v>
      </c>
      <c r="U1775">
        <v>8</v>
      </c>
      <c r="V1775">
        <v>0</v>
      </c>
      <c r="W1775">
        <v>0</v>
      </c>
      <c r="X1775">
        <v>0</v>
      </c>
    </row>
    <row r="1776" spans="1:24" x14ac:dyDescent="0.2">
      <c r="A1776">
        <v>20040200</v>
      </c>
      <c r="B1776" t="s">
        <v>1775</v>
      </c>
      <c r="C1776">
        <v>100</v>
      </c>
      <c r="D1776">
        <v>200</v>
      </c>
      <c r="E1776">
        <v>10000</v>
      </c>
      <c r="F1776">
        <v>78</v>
      </c>
      <c r="G1776">
        <v>0</v>
      </c>
      <c r="H1776">
        <v>0</v>
      </c>
      <c r="I1776">
        <v>0</v>
      </c>
      <c r="J1776">
        <v>0</v>
      </c>
      <c r="K1776">
        <v>1</v>
      </c>
      <c r="L1776">
        <v>0</v>
      </c>
      <c r="M1776">
        <v>0</v>
      </c>
      <c r="N1776">
        <v>0</v>
      </c>
      <c r="O1776">
        <v>0</v>
      </c>
      <c r="P1776">
        <v>60</v>
      </c>
      <c r="Q1776">
        <v>0</v>
      </c>
      <c r="R1776">
        <v>0</v>
      </c>
      <c r="S1776">
        <v>0</v>
      </c>
      <c r="T1776">
        <v>6</v>
      </c>
      <c r="U1776">
        <v>8</v>
      </c>
      <c r="V1776">
        <v>0</v>
      </c>
      <c r="W1776">
        <v>0</v>
      </c>
      <c r="X1776">
        <v>0</v>
      </c>
    </row>
    <row r="1777" spans="1:24" x14ac:dyDescent="0.2">
      <c r="A1777">
        <v>20040300</v>
      </c>
      <c r="B1777" t="s">
        <v>1776</v>
      </c>
      <c r="C1777">
        <v>300</v>
      </c>
      <c r="D1777">
        <v>300</v>
      </c>
      <c r="E1777">
        <v>10000</v>
      </c>
      <c r="F1777">
        <v>78</v>
      </c>
      <c r="G1777">
        <v>0</v>
      </c>
      <c r="H1777">
        <v>0</v>
      </c>
      <c r="I1777">
        <v>0</v>
      </c>
      <c r="J1777">
        <v>0</v>
      </c>
      <c r="K1777">
        <v>8</v>
      </c>
      <c r="L1777">
        <v>0</v>
      </c>
      <c r="M1777">
        <v>0</v>
      </c>
      <c r="N1777">
        <v>0</v>
      </c>
      <c r="O1777">
        <v>0</v>
      </c>
      <c r="P1777">
        <v>25</v>
      </c>
      <c r="Q1777">
        <v>25</v>
      </c>
      <c r="R1777">
        <v>0</v>
      </c>
      <c r="S1777">
        <v>0</v>
      </c>
      <c r="T1777">
        <v>6</v>
      </c>
      <c r="U1777">
        <v>8</v>
      </c>
      <c r="V1777">
        <v>0</v>
      </c>
      <c r="W1777">
        <v>0</v>
      </c>
      <c r="X1777">
        <v>0</v>
      </c>
    </row>
    <row r="1778" spans="1:24" x14ac:dyDescent="0.2">
      <c r="A1778">
        <v>20040400</v>
      </c>
      <c r="B1778" t="s">
        <v>1777</v>
      </c>
      <c r="C1778">
        <v>500</v>
      </c>
      <c r="D1778">
        <v>500</v>
      </c>
      <c r="E1778">
        <v>10000</v>
      </c>
      <c r="F1778">
        <v>87</v>
      </c>
      <c r="G1778">
        <v>87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30</v>
      </c>
      <c r="Q1778">
        <v>0</v>
      </c>
      <c r="R1778">
        <v>30</v>
      </c>
      <c r="S1778">
        <v>0</v>
      </c>
      <c r="T1778">
        <v>6</v>
      </c>
      <c r="U1778">
        <v>8</v>
      </c>
      <c r="V1778">
        <v>0</v>
      </c>
      <c r="W1778">
        <v>0</v>
      </c>
      <c r="X1778">
        <v>0</v>
      </c>
    </row>
    <row r="1779" spans="1:24" x14ac:dyDescent="0.2">
      <c r="A1779">
        <v>20040500</v>
      </c>
      <c r="B1779" t="s">
        <v>1778</v>
      </c>
      <c r="C1779">
        <v>400</v>
      </c>
      <c r="D1779">
        <v>400</v>
      </c>
      <c r="E1779">
        <v>10000</v>
      </c>
      <c r="F1779">
        <v>87</v>
      </c>
      <c r="G1779">
        <v>87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30</v>
      </c>
      <c r="Q1779">
        <v>0</v>
      </c>
      <c r="R1779">
        <v>30</v>
      </c>
      <c r="S1779">
        <v>0</v>
      </c>
      <c r="T1779">
        <v>6</v>
      </c>
      <c r="U1779">
        <v>8</v>
      </c>
      <c r="V1779">
        <v>0</v>
      </c>
      <c r="W1779">
        <v>0</v>
      </c>
      <c r="X1779">
        <v>0</v>
      </c>
    </row>
    <row r="1780" spans="1:24" x14ac:dyDescent="0.2">
      <c r="A1780">
        <v>20040600</v>
      </c>
      <c r="B1780" t="s">
        <v>1779</v>
      </c>
      <c r="C1780">
        <v>600</v>
      </c>
      <c r="D1780">
        <v>600</v>
      </c>
      <c r="E1780">
        <v>10000</v>
      </c>
      <c r="F1780">
        <v>68</v>
      </c>
      <c r="G1780">
        <v>0</v>
      </c>
      <c r="H1780">
        <v>68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30</v>
      </c>
      <c r="Q1780">
        <v>0</v>
      </c>
      <c r="R1780">
        <v>0</v>
      </c>
      <c r="S1780">
        <v>0</v>
      </c>
      <c r="T1780">
        <v>6</v>
      </c>
      <c r="U1780">
        <v>8</v>
      </c>
      <c r="V1780">
        <v>0</v>
      </c>
      <c r="W1780">
        <v>0</v>
      </c>
      <c r="X1780">
        <v>0</v>
      </c>
    </row>
    <row r="1781" spans="1:24" x14ac:dyDescent="0.2">
      <c r="A1781">
        <v>20040700</v>
      </c>
      <c r="B1781" t="s">
        <v>1780</v>
      </c>
      <c r="C1781">
        <v>700</v>
      </c>
      <c r="D1781">
        <v>700</v>
      </c>
      <c r="E1781">
        <v>10000</v>
      </c>
      <c r="F1781">
        <v>87</v>
      </c>
      <c r="G1781">
        <v>0</v>
      </c>
      <c r="H1781">
        <v>87</v>
      </c>
      <c r="I1781">
        <v>0</v>
      </c>
      <c r="J1781">
        <v>0</v>
      </c>
      <c r="K1781">
        <v>0</v>
      </c>
      <c r="L1781">
        <v>0</v>
      </c>
      <c r="M1781">
        <v>4</v>
      </c>
      <c r="N1781">
        <v>0</v>
      </c>
      <c r="O1781">
        <v>0</v>
      </c>
      <c r="P1781">
        <v>30</v>
      </c>
      <c r="Q1781">
        <v>0</v>
      </c>
      <c r="R1781">
        <v>30</v>
      </c>
      <c r="S1781">
        <v>30</v>
      </c>
      <c r="T1781">
        <v>6</v>
      </c>
      <c r="U1781">
        <v>8</v>
      </c>
      <c r="V1781">
        <v>0</v>
      </c>
      <c r="W1781">
        <v>0</v>
      </c>
      <c r="X1781">
        <v>0</v>
      </c>
    </row>
    <row r="1782" spans="1:24" x14ac:dyDescent="0.2">
      <c r="A1782">
        <v>20040800</v>
      </c>
      <c r="B1782" t="s">
        <v>1781</v>
      </c>
      <c r="C1782">
        <v>800</v>
      </c>
      <c r="D1782">
        <v>800</v>
      </c>
      <c r="E1782">
        <v>10000</v>
      </c>
      <c r="F1782">
        <v>87</v>
      </c>
      <c r="G1782">
        <v>0</v>
      </c>
      <c r="H1782">
        <v>0</v>
      </c>
      <c r="I1782">
        <v>87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30</v>
      </c>
      <c r="Q1782">
        <v>0</v>
      </c>
      <c r="R1782">
        <v>0</v>
      </c>
      <c r="S1782">
        <v>30</v>
      </c>
      <c r="T1782">
        <v>6</v>
      </c>
      <c r="U1782">
        <v>8</v>
      </c>
      <c r="V1782">
        <v>0</v>
      </c>
      <c r="W1782">
        <v>0</v>
      </c>
      <c r="X1782">
        <v>0</v>
      </c>
    </row>
    <row r="1783" spans="1:24" x14ac:dyDescent="0.2">
      <c r="A1783">
        <v>20040900</v>
      </c>
      <c r="B1783" t="s">
        <v>1782</v>
      </c>
      <c r="C1783">
        <v>900</v>
      </c>
      <c r="D1783">
        <v>900</v>
      </c>
      <c r="E1783">
        <v>10000</v>
      </c>
      <c r="F1783">
        <v>68</v>
      </c>
      <c r="G1783">
        <v>0</v>
      </c>
      <c r="H1783">
        <v>0</v>
      </c>
      <c r="I1783">
        <v>0</v>
      </c>
      <c r="J1783">
        <v>68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30</v>
      </c>
      <c r="Q1783">
        <v>0</v>
      </c>
      <c r="R1783">
        <v>0</v>
      </c>
      <c r="S1783">
        <v>0</v>
      </c>
      <c r="T1783">
        <v>6</v>
      </c>
      <c r="U1783">
        <v>8</v>
      </c>
      <c r="V1783">
        <v>0</v>
      </c>
      <c r="W1783">
        <v>0</v>
      </c>
      <c r="X1783">
        <v>0</v>
      </c>
    </row>
    <row r="1784" spans="1:24" x14ac:dyDescent="0.2">
      <c r="A1784">
        <v>20041000</v>
      </c>
      <c r="B1784" t="s">
        <v>1783</v>
      </c>
      <c r="C1784">
        <v>1000</v>
      </c>
      <c r="D1784">
        <v>1000</v>
      </c>
      <c r="E1784">
        <v>10000</v>
      </c>
      <c r="F1784">
        <v>87</v>
      </c>
      <c r="G1784">
        <v>0</v>
      </c>
      <c r="H1784">
        <v>0</v>
      </c>
      <c r="I1784">
        <v>0</v>
      </c>
      <c r="J1784">
        <v>87</v>
      </c>
      <c r="K1784">
        <v>0</v>
      </c>
      <c r="L1784">
        <v>0</v>
      </c>
      <c r="M1784">
        <v>0</v>
      </c>
      <c r="N1784">
        <v>0</v>
      </c>
      <c r="O1784">
        <v>4</v>
      </c>
      <c r="P1784">
        <v>30</v>
      </c>
      <c r="Q1784">
        <v>0</v>
      </c>
      <c r="R1784">
        <v>30</v>
      </c>
      <c r="S1784">
        <v>30</v>
      </c>
      <c r="T1784">
        <v>6</v>
      </c>
      <c r="U1784">
        <v>8</v>
      </c>
      <c r="V1784">
        <v>0</v>
      </c>
      <c r="W1784">
        <v>0</v>
      </c>
      <c r="X1784">
        <v>0</v>
      </c>
    </row>
    <row r="1785" spans="1:24" x14ac:dyDescent="0.2">
      <c r="A1785">
        <v>20041100</v>
      </c>
      <c r="B1785" t="s">
        <v>1784</v>
      </c>
      <c r="C1785">
        <v>1100</v>
      </c>
      <c r="D1785">
        <v>1100</v>
      </c>
      <c r="E1785">
        <v>10000</v>
      </c>
      <c r="F1785">
        <v>78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30</v>
      </c>
      <c r="Q1785">
        <v>0</v>
      </c>
      <c r="R1785">
        <v>0</v>
      </c>
      <c r="S1785">
        <v>0</v>
      </c>
      <c r="T1785">
        <v>6</v>
      </c>
      <c r="U1785">
        <v>8</v>
      </c>
      <c r="V1785">
        <v>0</v>
      </c>
      <c r="W1785">
        <v>0</v>
      </c>
      <c r="X1785">
        <v>0</v>
      </c>
    </row>
    <row r="1786" spans="1:24" x14ac:dyDescent="0.2">
      <c r="A1786">
        <v>20041200</v>
      </c>
      <c r="B1786" t="s">
        <v>1785</v>
      </c>
      <c r="C1786">
        <v>1200</v>
      </c>
      <c r="D1786">
        <v>1200</v>
      </c>
      <c r="E1786">
        <v>10000</v>
      </c>
      <c r="F1786">
        <v>78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30</v>
      </c>
      <c r="Q1786">
        <v>0</v>
      </c>
      <c r="R1786">
        <v>0</v>
      </c>
      <c r="S1786">
        <v>0</v>
      </c>
      <c r="T1786">
        <v>6</v>
      </c>
      <c r="U1786">
        <v>8</v>
      </c>
      <c r="V1786">
        <v>0</v>
      </c>
      <c r="W1786">
        <v>0</v>
      </c>
      <c r="X1786">
        <v>0</v>
      </c>
    </row>
    <row r="1787" spans="1:24" x14ac:dyDescent="0.2">
      <c r="A1787">
        <v>20041300</v>
      </c>
      <c r="B1787" t="s">
        <v>1786</v>
      </c>
      <c r="C1787">
        <v>1300</v>
      </c>
      <c r="D1787">
        <v>1300</v>
      </c>
      <c r="E1787">
        <v>10000</v>
      </c>
      <c r="F1787">
        <v>78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30</v>
      </c>
      <c r="Q1787">
        <v>0</v>
      </c>
      <c r="R1787">
        <v>0</v>
      </c>
      <c r="S1787">
        <v>0</v>
      </c>
      <c r="T1787">
        <v>6</v>
      </c>
      <c r="U1787">
        <v>8</v>
      </c>
      <c r="V1787">
        <v>0</v>
      </c>
      <c r="W1787">
        <v>0</v>
      </c>
      <c r="X1787">
        <v>0</v>
      </c>
    </row>
    <row r="1788" spans="1:24" x14ac:dyDescent="0.2">
      <c r="A1788">
        <v>20041400</v>
      </c>
      <c r="B1788" t="s">
        <v>1787</v>
      </c>
      <c r="C1788">
        <v>1400</v>
      </c>
      <c r="D1788">
        <v>1400</v>
      </c>
      <c r="E1788">
        <v>10014</v>
      </c>
      <c r="F1788">
        <v>87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30</v>
      </c>
      <c r="Q1788">
        <v>0</v>
      </c>
      <c r="R1788">
        <v>0</v>
      </c>
      <c r="S1788">
        <v>30</v>
      </c>
      <c r="T1788">
        <v>6</v>
      </c>
      <c r="U1788">
        <v>8</v>
      </c>
      <c r="V1788">
        <v>0</v>
      </c>
      <c r="W1788">
        <v>0</v>
      </c>
      <c r="X1788">
        <v>0</v>
      </c>
    </row>
    <row r="1789" spans="1:24" x14ac:dyDescent="0.2">
      <c r="A1789">
        <v>20041500</v>
      </c>
      <c r="B1789" t="s">
        <v>1788</v>
      </c>
      <c r="C1789">
        <v>1500</v>
      </c>
      <c r="D1789">
        <v>1500</v>
      </c>
      <c r="E1789">
        <v>10015</v>
      </c>
      <c r="F1789">
        <v>78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30</v>
      </c>
      <c r="Q1789">
        <v>0</v>
      </c>
      <c r="R1789">
        <v>0</v>
      </c>
      <c r="S1789">
        <v>0</v>
      </c>
      <c r="T1789">
        <v>6</v>
      </c>
      <c r="U1789">
        <v>8</v>
      </c>
      <c r="V1789">
        <v>0</v>
      </c>
      <c r="W1789">
        <v>0</v>
      </c>
      <c r="X1789">
        <v>0</v>
      </c>
    </row>
    <row r="1790" spans="1:24" x14ac:dyDescent="0.2">
      <c r="A1790">
        <v>20070000</v>
      </c>
      <c r="B1790" t="s">
        <v>1789</v>
      </c>
      <c r="C1790">
        <v>0</v>
      </c>
      <c r="D1790">
        <v>8000</v>
      </c>
      <c r="E1790">
        <v>10000</v>
      </c>
      <c r="F1790">
        <v>72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20</v>
      </c>
      <c r="Q1790">
        <v>0</v>
      </c>
      <c r="R1790">
        <v>0</v>
      </c>
      <c r="S1790">
        <v>0</v>
      </c>
      <c r="T1790">
        <v>4</v>
      </c>
      <c r="U1790">
        <v>5</v>
      </c>
      <c r="V1790">
        <v>0</v>
      </c>
      <c r="W1790">
        <v>0</v>
      </c>
      <c r="X1790">
        <v>0</v>
      </c>
    </row>
    <row r="1791" spans="1:24" x14ac:dyDescent="0.2">
      <c r="A1791">
        <v>20070100</v>
      </c>
      <c r="B1791" t="s">
        <v>1790</v>
      </c>
      <c r="C1791">
        <v>200</v>
      </c>
      <c r="D1791">
        <v>100</v>
      </c>
      <c r="E1791">
        <v>10000</v>
      </c>
      <c r="F1791">
        <v>72</v>
      </c>
      <c r="G1791">
        <v>0</v>
      </c>
      <c r="H1791">
        <v>0</v>
      </c>
      <c r="I1791">
        <v>0</v>
      </c>
      <c r="J1791">
        <v>0</v>
      </c>
      <c r="K1791">
        <v>1</v>
      </c>
      <c r="L1791">
        <v>0</v>
      </c>
      <c r="M1791">
        <v>0</v>
      </c>
      <c r="N1791">
        <v>0</v>
      </c>
      <c r="O1791">
        <v>0</v>
      </c>
      <c r="P1791">
        <v>20</v>
      </c>
      <c r="Q1791">
        <v>0</v>
      </c>
      <c r="R1791">
        <v>0</v>
      </c>
      <c r="S1791">
        <v>0</v>
      </c>
      <c r="T1791">
        <v>4</v>
      </c>
      <c r="U1791">
        <v>5</v>
      </c>
      <c r="V1791">
        <v>0</v>
      </c>
      <c r="W1791">
        <v>0</v>
      </c>
      <c r="X1791">
        <v>0</v>
      </c>
    </row>
    <row r="1792" spans="1:24" x14ac:dyDescent="0.2">
      <c r="A1792">
        <v>20070200</v>
      </c>
      <c r="B1792" t="s">
        <v>1791</v>
      </c>
      <c r="C1792">
        <v>100</v>
      </c>
      <c r="D1792">
        <v>200</v>
      </c>
      <c r="E1792">
        <v>10000</v>
      </c>
      <c r="F1792">
        <v>72</v>
      </c>
      <c r="G1792">
        <v>0</v>
      </c>
      <c r="H1792">
        <v>0</v>
      </c>
      <c r="I1792">
        <v>0</v>
      </c>
      <c r="J1792">
        <v>0</v>
      </c>
      <c r="K1792">
        <v>1</v>
      </c>
      <c r="L1792">
        <v>0</v>
      </c>
      <c r="M1792">
        <v>0</v>
      </c>
      <c r="N1792">
        <v>0</v>
      </c>
      <c r="O1792">
        <v>0</v>
      </c>
      <c r="P1792">
        <v>40</v>
      </c>
      <c r="Q1792">
        <v>0</v>
      </c>
      <c r="R1792">
        <v>0</v>
      </c>
      <c r="S1792">
        <v>0</v>
      </c>
      <c r="T1792">
        <v>4</v>
      </c>
      <c r="U1792">
        <v>5</v>
      </c>
      <c r="V1792">
        <v>0</v>
      </c>
      <c r="W1792">
        <v>0</v>
      </c>
      <c r="X1792">
        <v>0</v>
      </c>
    </row>
    <row r="1793" spans="1:24" x14ac:dyDescent="0.2">
      <c r="A1793">
        <v>20070300</v>
      </c>
      <c r="B1793" t="s">
        <v>1792</v>
      </c>
      <c r="C1793">
        <v>300</v>
      </c>
      <c r="D1793">
        <v>300</v>
      </c>
      <c r="E1793">
        <v>10000</v>
      </c>
      <c r="F1793">
        <v>72</v>
      </c>
      <c r="G1793">
        <v>0</v>
      </c>
      <c r="H1793">
        <v>0</v>
      </c>
      <c r="I1793">
        <v>0</v>
      </c>
      <c r="J1793">
        <v>0</v>
      </c>
      <c r="K1793">
        <v>8</v>
      </c>
      <c r="L1793">
        <v>0</v>
      </c>
      <c r="M1793">
        <v>0</v>
      </c>
      <c r="N1793">
        <v>0</v>
      </c>
      <c r="O1793">
        <v>0</v>
      </c>
      <c r="P1793">
        <v>20</v>
      </c>
      <c r="Q1793">
        <v>20</v>
      </c>
      <c r="R1793">
        <v>0</v>
      </c>
      <c r="S1793">
        <v>0</v>
      </c>
      <c r="T1793">
        <v>4</v>
      </c>
      <c r="U1793">
        <v>5</v>
      </c>
      <c r="V1793">
        <v>0</v>
      </c>
      <c r="W1793">
        <v>0</v>
      </c>
      <c r="X1793">
        <v>0</v>
      </c>
    </row>
    <row r="1794" spans="1:24" x14ac:dyDescent="0.2">
      <c r="A1794">
        <v>20070400</v>
      </c>
      <c r="B1794" t="s">
        <v>1793</v>
      </c>
      <c r="C1794">
        <v>500</v>
      </c>
      <c r="D1794">
        <v>500</v>
      </c>
      <c r="E1794">
        <v>10000</v>
      </c>
      <c r="F1794">
        <v>81</v>
      </c>
      <c r="G1794">
        <v>81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20</v>
      </c>
      <c r="Q1794">
        <v>0</v>
      </c>
      <c r="R1794">
        <v>20</v>
      </c>
      <c r="S1794">
        <v>0</v>
      </c>
      <c r="T1794">
        <v>4</v>
      </c>
      <c r="U1794">
        <v>5</v>
      </c>
      <c r="V1794">
        <v>0</v>
      </c>
      <c r="W1794">
        <v>0</v>
      </c>
      <c r="X1794">
        <v>0</v>
      </c>
    </row>
    <row r="1795" spans="1:24" x14ac:dyDescent="0.2">
      <c r="A1795">
        <v>20070500</v>
      </c>
      <c r="B1795" t="s">
        <v>1794</v>
      </c>
      <c r="C1795">
        <v>400</v>
      </c>
      <c r="D1795">
        <v>400</v>
      </c>
      <c r="E1795">
        <v>10000</v>
      </c>
      <c r="F1795">
        <v>81</v>
      </c>
      <c r="G1795">
        <v>81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20</v>
      </c>
      <c r="Q1795">
        <v>0</v>
      </c>
      <c r="R1795">
        <v>20</v>
      </c>
      <c r="S1795">
        <v>0</v>
      </c>
      <c r="T1795">
        <v>4</v>
      </c>
      <c r="U1795">
        <v>5</v>
      </c>
      <c r="V1795">
        <v>0</v>
      </c>
      <c r="W1795">
        <v>0</v>
      </c>
      <c r="X1795">
        <v>0</v>
      </c>
    </row>
    <row r="1796" spans="1:24" x14ac:dyDescent="0.2">
      <c r="A1796">
        <v>20070600</v>
      </c>
      <c r="B1796" t="s">
        <v>1795</v>
      </c>
      <c r="C1796">
        <v>600</v>
      </c>
      <c r="D1796">
        <v>600</v>
      </c>
      <c r="E1796">
        <v>10000</v>
      </c>
      <c r="F1796">
        <v>62</v>
      </c>
      <c r="G1796">
        <v>0</v>
      </c>
      <c r="H1796">
        <v>62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20</v>
      </c>
      <c r="Q1796">
        <v>0</v>
      </c>
      <c r="R1796">
        <v>0</v>
      </c>
      <c r="S1796">
        <v>0</v>
      </c>
      <c r="T1796">
        <v>4</v>
      </c>
      <c r="U1796">
        <v>5</v>
      </c>
      <c r="V1796">
        <v>0</v>
      </c>
      <c r="W1796">
        <v>0</v>
      </c>
      <c r="X1796">
        <v>0</v>
      </c>
    </row>
    <row r="1797" spans="1:24" x14ac:dyDescent="0.2">
      <c r="A1797">
        <v>20070700</v>
      </c>
      <c r="B1797" t="s">
        <v>1796</v>
      </c>
      <c r="C1797">
        <v>700</v>
      </c>
      <c r="D1797">
        <v>700</v>
      </c>
      <c r="E1797">
        <v>10000</v>
      </c>
      <c r="F1797">
        <v>81</v>
      </c>
      <c r="G1797">
        <v>0</v>
      </c>
      <c r="H1797">
        <v>81</v>
      </c>
      <c r="I1797">
        <v>0</v>
      </c>
      <c r="J1797">
        <v>0</v>
      </c>
      <c r="K1797">
        <v>0</v>
      </c>
      <c r="L1797">
        <v>0</v>
      </c>
      <c r="M1797">
        <v>4</v>
      </c>
      <c r="N1797">
        <v>0</v>
      </c>
      <c r="O1797">
        <v>0</v>
      </c>
      <c r="P1797">
        <v>20</v>
      </c>
      <c r="Q1797">
        <v>0</v>
      </c>
      <c r="R1797">
        <v>20</v>
      </c>
      <c r="S1797">
        <v>20</v>
      </c>
      <c r="T1797">
        <v>4</v>
      </c>
      <c r="U1797">
        <v>5</v>
      </c>
      <c r="V1797">
        <v>0</v>
      </c>
      <c r="W1797">
        <v>0</v>
      </c>
      <c r="X1797">
        <v>0</v>
      </c>
    </row>
    <row r="1798" spans="1:24" x14ac:dyDescent="0.2">
      <c r="A1798">
        <v>20070800</v>
      </c>
      <c r="B1798" t="s">
        <v>1797</v>
      </c>
      <c r="C1798">
        <v>800</v>
      </c>
      <c r="D1798">
        <v>800</v>
      </c>
      <c r="E1798">
        <v>10000</v>
      </c>
      <c r="F1798">
        <v>81</v>
      </c>
      <c r="G1798">
        <v>0</v>
      </c>
      <c r="H1798">
        <v>0</v>
      </c>
      <c r="I1798">
        <v>81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20</v>
      </c>
      <c r="Q1798">
        <v>0</v>
      </c>
      <c r="R1798">
        <v>0</v>
      </c>
      <c r="S1798">
        <v>20</v>
      </c>
      <c r="T1798">
        <v>4</v>
      </c>
      <c r="U1798">
        <v>5</v>
      </c>
      <c r="V1798">
        <v>0</v>
      </c>
      <c r="W1798">
        <v>0</v>
      </c>
      <c r="X1798">
        <v>0</v>
      </c>
    </row>
    <row r="1799" spans="1:24" x14ac:dyDescent="0.2">
      <c r="A1799">
        <v>20070900</v>
      </c>
      <c r="B1799" t="s">
        <v>1798</v>
      </c>
      <c r="C1799">
        <v>900</v>
      </c>
      <c r="D1799">
        <v>900</v>
      </c>
      <c r="E1799">
        <v>10000</v>
      </c>
      <c r="F1799">
        <v>62</v>
      </c>
      <c r="G1799">
        <v>0</v>
      </c>
      <c r="H1799">
        <v>0</v>
      </c>
      <c r="I1799">
        <v>0</v>
      </c>
      <c r="J1799">
        <v>62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20</v>
      </c>
      <c r="Q1799">
        <v>0</v>
      </c>
      <c r="R1799">
        <v>0</v>
      </c>
      <c r="S1799">
        <v>0</v>
      </c>
      <c r="T1799">
        <v>4</v>
      </c>
      <c r="U1799">
        <v>5</v>
      </c>
      <c r="V1799">
        <v>0</v>
      </c>
      <c r="W1799">
        <v>0</v>
      </c>
      <c r="X1799">
        <v>0</v>
      </c>
    </row>
    <row r="1800" spans="1:24" x14ac:dyDescent="0.2">
      <c r="A1800">
        <v>20071000</v>
      </c>
      <c r="B1800" t="s">
        <v>1799</v>
      </c>
      <c r="C1800">
        <v>1000</v>
      </c>
      <c r="D1800">
        <v>1000</v>
      </c>
      <c r="E1800">
        <v>10000</v>
      </c>
      <c r="F1800">
        <v>81</v>
      </c>
      <c r="G1800">
        <v>0</v>
      </c>
      <c r="H1800">
        <v>0</v>
      </c>
      <c r="I1800">
        <v>0</v>
      </c>
      <c r="J1800">
        <v>81</v>
      </c>
      <c r="K1800">
        <v>0</v>
      </c>
      <c r="L1800">
        <v>0</v>
      </c>
      <c r="M1800">
        <v>0</v>
      </c>
      <c r="N1800">
        <v>0</v>
      </c>
      <c r="O1800">
        <v>4</v>
      </c>
      <c r="P1800">
        <v>20</v>
      </c>
      <c r="Q1800">
        <v>0</v>
      </c>
      <c r="R1800">
        <v>20</v>
      </c>
      <c r="S1800">
        <v>20</v>
      </c>
      <c r="T1800">
        <v>4</v>
      </c>
      <c r="U1800">
        <v>5</v>
      </c>
      <c r="V1800">
        <v>0</v>
      </c>
      <c r="W1800">
        <v>0</v>
      </c>
      <c r="X1800">
        <v>0</v>
      </c>
    </row>
    <row r="1801" spans="1:24" x14ac:dyDescent="0.2">
      <c r="A1801">
        <v>20071100</v>
      </c>
      <c r="B1801" t="s">
        <v>1800</v>
      </c>
      <c r="C1801">
        <v>1100</v>
      </c>
      <c r="D1801">
        <v>1100</v>
      </c>
      <c r="E1801">
        <v>10000</v>
      </c>
      <c r="F1801">
        <v>72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20</v>
      </c>
      <c r="Q1801">
        <v>0</v>
      </c>
      <c r="R1801">
        <v>0</v>
      </c>
      <c r="S1801">
        <v>0</v>
      </c>
      <c r="T1801">
        <v>4</v>
      </c>
      <c r="U1801">
        <v>5</v>
      </c>
      <c r="V1801">
        <v>0</v>
      </c>
      <c r="W1801">
        <v>0</v>
      </c>
      <c r="X1801">
        <v>0</v>
      </c>
    </row>
    <row r="1802" spans="1:24" x14ac:dyDescent="0.2">
      <c r="A1802">
        <v>20071200</v>
      </c>
      <c r="B1802" t="s">
        <v>1801</v>
      </c>
      <c r="C1802">
        <v>1200</v>
      </c>
      <c r="D1802">
        <v>1200</v>
      </c>
      <c r="E1802">
        <v>10000</v>
      </c>
      <c r="F1802">
        <v>72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20</v>
      </c>
      <c r="Q1802">
        <v>0</v>
      </c>
      <c r="R1802">
        <v>0</v>
      </c>
      <c r="S1802">
        <v>0</v>
      </c>
      <c r="T1802">
        <v>4</v>
      </c>
      <c r="U1802">
        <v>5</v>
      </c>
      <c r="V1802">
        <v>0</v>
      </c>
      <c r="W1802">
        <v>0</v>
      </c>
      <c r="X1802">
        <v>0</v>
      </c>
    </row>
    <row r="1803" spans="1:24" x14ac:dyDescent="0.2">
      <c r="A1803">
        <v>20071300</v>
      </c>
      <c r="B1803" t="s">
        <v>1802</v>
      </c>
      <c r="C1803">
        <v>1300</v>
      </c>
      <c r="D1803">
        <v>1300</v>
      </c>
      <c r="E1803">
        <v>10000</v>
      </c>
      <c r="F1803">
        <v>72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20</v>
      </c>
      <c r="Q1803">
        <v>0</v>
      </c>
      <c r="R1803">
        <v>0</v>
      </c>
      <c r="S1803">
        <v>0</v>
      </c>
      <c r="T1803">
        <v>4</v>
      </c>
      <c r="U1803">
        <v>5</v>
      </c>
      <c r="V1803">
        <v>0</v>
      </c>
      <c r="W1803">
        <v>0</v>
      </c>
      <c r="X1803">
        <v>0</v>
      </c>
    </row>
    <row r="1804" spans="1:24" x14ac:dyDescent="0.2">
      <c r="A1804">
        <v>20071400</v>
      </c>
      <c r="B1804" t="s">
        <v>1803</v>
      </c>
      <c r="C1804">
        <v>1400</v>
      </c>
      <c r="D1804">
        <v>1400</v>
      </c>
      <c r="E1804">
        <v>10014</v>
      </c>
      <c r="F1804">
        <v>81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20</v>
      </c>
      <c r="Q1804">
        <v>0</v>
      </c>
      <c r="R1804">
        <v>0</v>
      </c>
      <c r="S1804">
        <v>20</v>
      </c>
      <c r="T1804">
        <v>4</v>
      </c>
      <c r="U1804">
        <v>5</v>
      </c>
      <c r="V1804">
        <v>0</v>
      </c>
      <c r="W1804">
        <v>0</v>
      </c>
      <c r="X1804">
        <v>0</v>
      </c>
    </row>
    <row r="1805" spans="1:24" x14ac:dyDescent="0.2">
      <c r="A1805">
        <v>20071500</v>
      </c>
      <c r="B1805" t="s">
        <v>1804</v>
      </c>
      <c r="C1805">
        <v>1500</v>
      </c>
      <c r="D1805">
        <v>1500</v>
      </c>
      <c r="E1805">
        <v>10015</v>
      </c>
      <c r="F1805">
        <v>72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20</v>
      </c>
      <c r="Q1805">
        <v>0</v>
      </c>
      <c r="R1805">
        <v>0</v>
      </c>
      <c r="S1805">
        <v>0</v>
      </c>
      <c r="T1805">
        <v>4</v>
      </c>
      <c r="U1805">
        <v>5</v>
      </c>
      <c r="V1805">
        <v>0</v>
      </c>
      <c r="W1805">
        <v>0</v>
      </c>
      <c r="X1805">
        <v>0</v>
      </c>
    </row>
    <row r="1806" spans="1:24" x14ac:dyDescent="0.2">
      <c r="A1806">
        <v>20080000</v>
      </c>
      <c r="B1806" t="s">
        <v>1805</v>
      </c>
      <c r="C1806">
        <v>0</v>
      </c>
      <c r="D1806">
        <v>8000</v>
      </c>
      <c r="E1806">
        <v>10000</v>
      </c>
      <c r="F1806">
        <v>71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20</v>
      </c>
      <c r="Q1806">
        <v>0</v>
      </c>
      <c r="R1806">
        <v>0</v>
      </c>
      <c r="S1806">
        <v>0</v>
      </c>
      <c r="T1806">
        <v>4</v>
      </c>
      <c r="U1806">
        <v>5</v>
      </c>
      <c r="V1806">
        <v>0</v>
      </c>
      <c r="W1806">
        <v>0</v>
      </c>
      <c r="X1806">
        <v>0</v>
      </c>
    </row>
    <row r="1807" spans="1:24" x14ac:dyDescent="0.2">
      <c r="A1807">
        <v>20080100</v>
      </c>
      <c r="B1807" t="s">
        <v>1806</v>
      </c>
      <c r="C1807">
        <v>200</v>
      </c>
      <c r="D1807">
        <v>100</v>
      </c>
      <c r="E1807">
        <v>10000</v>
      </c>
      <c r="F1807">
        <v>71</v>
      </c>
      <c r="G1807">
        <v>0</v>
      </c>
      <c r="H1807">
        <v>0</v>
      </c>
      <c r="I1807">
        <v>0</v>
      </c>
      <c r="J1807">
        <v>0</v>
      </c>
      <c r="K1807">
        <v>1</v>
      </c>
      <c r="L1807">
        <v>0</v>
      </c>
      <c r="M1807">
        <v>0</v>
      </c>
      <c r="N1807">
        <v>0</v>
      </c>
      <c r="O1807">
        <v>0</v>
      </c>
      <c r="P1807">
        <v>20</v>
      </c>
      <c r="Q1807">
        <v>0</v>
      </c>
      <c r="R1807">
        <v>0</v>
      </c>
      <c r="S1807">
        <v>0</v>
      </c>
      <c r="T1807">
        <v>4</v>
      </c>
      <c r="U1807">
        <v>5</v>
      </c>
      <c r="V1807">
        <v>0</v>
      </c>
      <c r="W1807">
        <v>0</v>
      </c>
      <c r="X1807">
        <v>0</v>
      </c>
    </row>
    <row r="1808" spans="1:24" x14ac:dyDescent="0.2">
      <c r="A1808">
        <v>20080200</v>
      </c>
      <c r="B1808" t="s">
        <v>1807</v>
      </c>
      <c r="C1808">
        <v>100</v>
      </c>
      <c r="D1808">
        <v>200</v>
      </c>
      <c r="E1808">
        <v>10000</v>
      </c>
      <c r="F1808">
        <v>71</v>
      </c>
      <c r="G1808">
        <v>0</v>
      </c>
      <c r="H1808">
        <v>0</v>
      </c>
      <c r="I1808">
        <v>0</v>
      </c>
      <c r="J1808">
        <v>0</v>
      </c>
      <c r="K1808">
        <v>1</v>
      </c>
      <c r="L1808">
        <v>0</v>
      </c>
      <c r="M1808">
        <v>0</v>
      </c>
      <c r="N1808">
        <v>0</v>
      </c>
      <c r="O1808">
        <v>0</v>
      </c>
      <c r="P1808">
        <v>40</v>
      </c>
      <c r="Q1808">
        <v>0</v>
      </c>
      <c r="R1808">
        <v>0</v>
      </c>
      <c r="S1808">
        <v>0</v>
      </c>
      <c r="T1808">
        <v>4</v>
      </c>
      <c r="U1808">
        <v>5</v>
      </c>
      <c r="V1808">
        <v>0</v>
      </c>
      <c r="W1808">
        <v>0</v>
      </c>
      <c r="X1808">
        <v>0</v>
      </c>
    </row>
    <row r="1809" spans="1:24" x14ac:dyDescent="0.2">
      <c r="A1809">
        <v>20080300</v>
      </c>
      <c r="B1809" t="s">
        <v>1808</v>
      </c>
      <c r="C1809">
        <v>300</v>
      </c>
      <c r="D1809">
        <v>300</v>
      </c>
      <c r="E1809">
        <v>10000</v>
      </c>
      <c r="F1809">
        <v>71</v>
      </c>
      <c r="G1809">
        <v>0</v>
      </c>
      <c r="H1809">
        <v>0</v>
      </c>
      <c r="I1809">
        <v>0</v>
      </c>
      <c r="J1809">
        <v>0</v>
      </c>
      <c r="K1809">
        <v>8</v>
      </c>
      <c r="L1809">
        <v>0</v>
      </c>
      <c r="M1809">
        <v>0</v>
      </c>
      <c r="N1809">
        <v>0</v>
      </c>
      <c r="O1809">
        <v>0</v>
      </c>
      <c r="P1809">
        <v>20</v>
      </c>
      <c r="Q1809">
        <v>20</v>
      </c>
      <c r="R1809">
        <v>0</v>
      </c>
      <c r="S1809">
        <v>0</v>
      </c>
      <c r="T1809">
        <v>4</v>
      </c>
      <c r="U1809">
        <v>5</v>
      </c>
      <c r="V1809">
        <v>0</v>
      </c>
      <c r="W1809">
        <v>0</v>
      </c>
      <c r="X1809">
        <v>0</v>
      </c>
    </row>
    <row r="1810" spans="1:24" x14ac:dyDescent="0.2">
      <c r="A1810">
        <v>20080400</v>
      </c>
      <c r="B1810" t="s">
        <v>1809</v>
      </c>
      <c r="C1810">
        <v>500</v>
      </c>
      <c r="D1810">
        <v>500</v>
      </c>
      <c r="E1810">
        <v>10000</v>
      </c>
      <c r="F1810">
        <v>80</v>
      </c>
      <c r="G1810">
        <v>80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20</v>
      </c>
      <c r="Q1810">
        <v>0</v>
      </c>
      <c r="R1810">
        <v>20</v>
      </c>
      <c r="S1810">
        <v>0</v>
      </c>
      <c r="T1810">
        <v>4</v>
      </c>
      <c r="U1810">
        <v>5</v>
      </c>
      <c r="V1810">
        <v>0</v>
      </c>
      <c r="W1810">
        <v>0</v>
      </c>
      <c r="X1810">
        <v>0</v>
      </c>
    </row>
    <row r="1811" spans="1:24" x14ac:dyDescent="0.2">
      <c r="A1811">
        <v>20080500</v>
      </c>
      <c r="B1811" t="s">
        <v>1810</v>
      </c>
      <c r="C1811">
        <v>400</v>
      </c>
      <c r="D1811">
        <v>400</v>
      </c>
      <c r="E1811">
        <v>10000</v>
      </c>
      <c r="F1811">
        <v>80</v>
      </c>
      <c r="G1811">
        <v>80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20</v>
      </c>
      <c r="Q1811">
        <v>0</v>
      </c>
      <c r="R1811">
        <v>20</v>
      </c>
      <c r="S1811">
        <v>0</v>
      </c>
      <c r="T1811">
        <v>4</v>
      </c>
      <c r="U1811">
        <v>5</v>
      </c>
      <c r="V1811">
        <v>0</v>
      </c>
      <c r="W1811">
        <v>0</v>
      </c>
      <c r="X1811">
        <v>0</v>
      </c>
    </row>
    <row r="1812" spans="1:24" x14ac:dyDescent="0.2">
      <c r="A1812">
        <v>20080600</v>
      </c>
      <c r="B1812" t="s">
        <v>1811</v>
      </c>
      <c r="C1812">
        <v>600</v>
      </c>
      <c r="D1812">
        <v>600</v>
      </c>
      <c r="E1812">
        <v>10000</v>
      </c>
      <c r="F1812">
        <v>61</v>
      </c>
      <c r="G1812">
        <v>0</v>
      </c>
      <c r="H1812">
        <v>61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20</v>
      </c>
      <c r="Q1812">
        <v>0</v>
      </c>
      <c r="R1812">
        <v>0</v>
      </c>
      <c r="S1812">
        <v>0</v>
      </c>
      <c r="T1812">
        <v>4</v>
      </c>
      <c r="U1812">
        <v>5</v>
      </c>
      <c r="V1812">
        <v>0</v>
      </c>
      <c r="W1812">
        <v>0</v>
      </c>
      <c r="X1812">
        <v>0</v>
      </c>
    </row>
    <row r="1813" spans="1:24" x14ac:dyDescent="0.2">
      <c r="A1813">
        <v>20080700</v>
      </c>
      <c r="B1813" t="s">
        <v>1812</v>
      </c>
      <c r="C1813">
        <v>700</v>
      </c>
      <c r="D1813">
        <v>700</v>
      </c>
      <c r="E1813">
        <v>10000</v>
      </c>
      <c r="F1813">
        <v>80</v>
      </c>
      <c r="G1813">
        <v>0</v>
      </c>
      <c r="H1813">
        <v>80</v>
      </c>
      <c r="I1813">
        <v>0</v>
      </c>
      <c r="J1813">
        <v>0</v>
      </c>
      <c r="K1813">
        <v>0</v>
      </c>
      <c r="L1813">
        <v>0</v>
      </c>
      <c r="M1813">
        <v>4</v>
      </c>
      <c r="N1813">
        <v>0</v>
      </c>
      <c r="O1813">
        <v>0</v>
      </c>
      <c r="P1813">
        <v>20</v>
      </c>
      <c r="Q1813">
        <v>0</v>
      </c>
      <c r="R1813">
        <v>20</v>
      </c>
      <c r="S1813">
        <v>20</v>
      </c>
      <c r="T1813">
        <v>4</v>
      </c>
      <c r="U1813">
        <v>5</v>
      </c>
      <c r="V1813">
        <v>0</v>
      </c>
      <c r="W1813">
        <v>0</v>
      </c>
      <c r="X1813">
        <v>0</v>
      </c>
    </row>
    <row r="1814" spans="1:24" x14ac:dyDescent="0.2">
      <c r="A1814">
        <v>20080800</v>
      </c>
      <c r="B1814" t="s">
        <v>1813</v>
      </c>
      <c r="C1814">
        <v>800</v>
      </c>
      <c r="D1814">
        <v>800</v>
      </c>
      <c r="E1814">
        <v>10000</v>
      </c>
      <c r="F1814">
        <v>80</v>
      </c>
      <c r="G1814">
        <v>0</v>
      </c>
      <c r="H1814">
        <v>0</v>
      </c>
      <c r="I1814">
        <v>80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20</v>
      </c>
      <c r="Q1814">
        <v>0</v>
      </c>
      <c r="R1814">
        <v>0</v>
      </c>
      <c r="S1814">
        <v>20</v>
      </c>
      <c r="T1814">
        <v>4</v>
      </c>
      <c r="U1814">
        <v>5</v>
      </c>
      <c r="V1814">
        <v>0</v>
      </c>
      <c r="W1814">
        <v>0</v>
      </c>
      <c r="X1814">
        <v>0</v>
      </c>
    </row>
    <row r="1815" spans="1:24" x14ac:dyDescent="0.2">
      <c r="A1815">
        <v>20080900</v>
      </c>
      <c r="B1815" t="s">
        <v>1814</v>
      </c>
      <c r="C1815">
        <v>900</v>
      </c>
      <c r="D1815">
        <v>900</v>
      </c>
      <c r="E1815">
        <v>10000</v>
      </c>
      <c r="F1815">
        <v>61</v>
      </c>
      <c r="G1815">
        <v>0</v>
      </c>
      <c r="H1815">
        <v>0</v>
      </c>
      <c r="I1815">
        <v>0</v>
      </c>
      <c r="J1815">
        <v>61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20</v>
      </c>
      <c r="Q1815">
        <v>0</v>
      </c>
      <c r="R1815">
        <v>0</v>
      </c>
      <c r="S1815">
        <v>0</v>
      </c>
      <c r="T1815">
        <v>4</v>
      </c>
      <c r="U1815">
        <v>5</v>
      </c>
      <c r="V1815">
        <v>0</v>
      </c>
      <c r="W1815">
        <v>0</v>
      </c>
      <c r="X1815">
        <v>0</v>
      </c>
    </row>
    <row r="1816" spans="1:24" x14ac:dyDescent="0.2">
      <c r="A1816">
        <v>20081000</v>
      </c>
      <c r="B1816" t="s">
        <v>1815</v>
      </c>
      <c r="C1816">
        <v>1000</v>
      </c>
      <c r="D1816">
        <v>1000</v>
      </c>
      <c r="E1816">
        <v>10000</v>
      </c>
      <c r="F1816">
        <v>80</v>
      </c>
      <c r="G1816">
        <v>0</v>
      </c>
      <c r="H1816">
        <v>0</v>
      </c>
      <c r="I1816">
        <v>0</v>
      </c>
      <c r="J1816">
        <v>80</v>
      </c>
      <c r="K1816">
        <v>0</v>
      </c>
      <c r="L1816">
        <v>0</v>
      </c>
      <c r="M1816">
        <v>0</v>
      </c>
      <c r="N1816">
        <v>0</v>
      </c>
      <c r="O1816">
        <v>4</v>
      </c>
      <c r="P1816">
        <v>20</v>
      </c>
      <c r="Q1816">
        <v>0</v>
      </c>
      <c r="R1816">
        <v>20</v>
      </c>
      <c r="S1816">
        <v>20</v>
      </c>
      <c r="T1816">
        <v>4</v>
      </c>
      <c r="U1816">
        <v>5</v>
      </c>
      <c r="V1816">
        <v>0</v>
      </c>
      <c r="W1816">
        <v>0</v>
      </c>
      <c r="X1816">
        <v>0</v>
      </c>
    </row>
    <row r="1817" spans="1:24" x14ac:dyDescent="0.2">
      <c r="A1817">
        <v>20081100</v>
      </c>
      <c r="B1817" t="s">
        <v>1816</v>
      </c>
      <c r="C1817">
        <v>1100</v>
      </c>
      <c r="D1817">
        <v>1100</v>
      </c>
      <c r="E1817">
        <v>10000</v>
      </c>
      <c r="F1817">
        <v>71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20</v>
      </c>
      <c r="Q1817">
        <v>0</v>
      </c>
      <c r="R1817">
        <v>0</v>
      </c>
      <c r="S1817">
        <v>0</v>
      </c>
      <c r="T1817">
        <v>4</v>
      </c>
      <c r="U1817">
        <v>5</v>
      </c>
      <c r="V1817">
        <v>0</v>
      </c>
      <c r="W1817">
        <v>0</v>
      </c>
      <c r="X1817">
        <v>0</v>
      </c>
    </row>
    <row r="1818" spans="1:24" x14ac:dyDescent="0.2">
      <c r="A1818">
        <v>20081200</v>
      </c>
      <c r="B1818" t="s">
        <v>1817</v>
      </c>
      <c r="C1818">
        <v>1200</v>
      </c>
      <c r="D1818">
        <v>1200</v>
      </c>
      <c r="E1818">
        <v>10000</v>
      </c>
      <c r="F1818">
        <v>71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20</v>
      </c>
      <c r="Q1818">
        <v>0</v>
      </c>
      <c r="R1818">
        <v>0</v>
      </c>
      <c r="S1818">
        <v>0</v>
      </c>
      <c r="T1818">
        <v>4</v>
      </c>
      <c r="U1818">
        <v>5</v>
      </c>
      <c r="V1818">
        <v>0</v>
      </c>
      <c r="W1818">
        <v>0</v>
      </c>
      <c r="X1818">
        <v>0</v>
      </c>
    </row>
    <row r="1819" spans="1:24" x14ac:dyDescent="0.2">
      <c r="A1819">
        <v>20081300</v>
      </c>
      <c r="B1819" t="s">
        <v>1818</v>
      </c>
      <c r="C1819">
        <v>1300</v>
      </c>
      <c r="D1819">
        <v>1300</v>
      </c>
      <c r="E1819">
        <v>10000</v>
      </c>
      <c r="F1819">
        <v>71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20</v>
      </c>
      <c r="Q1819">
        <v>0</v>
      </c>
      <c r="R1819">
        <v>0</v>
      </c>
      <c r="S1819">
        <v>0</v>
      </c>
      <c r="T1819">
        <v>4</v>
      </c>
      <c r="U1819">
        <v>5</v>
      </c>
      <c r="V1819">
        <v>0</v>
      </c>
      <c r="W1819">
        <v>0</v>
      </c>
      <c r="X1819">
        <v>0</v>
      </c>
    </row>
    <row r="1820" spans="1:24" x14ac:dyDescent="0.2">
      <c r="A1820">
        <v>20081400</v>
      </c>
      <c r="B1820" t="s">
        <v>1819</v>
      </c>
      <c r="C1820">
        <v>1400</v>
      </c>
      <c r="D1820">
        <v>1400</v>
      </c>
      <c r="E1820">
        <v>10014</v>
      </c>
      <c r="F1820">
        <v>80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20</v>
      </c>
      <c r="Q1820">
        <v>0</v>
      </c>
      <c r="R1820">
        <v>0</v>
      </c>
      <c r="S1820">
        <v>20</v>
      </c>
      <c r="T1820">
        <v>4</v>
      </c>
      <c r="U1820">
        <v>5</v>
      </c>
      <c r="V1820">
        <v>0</v>
      </c>
      <c r="W1820">
        <v>0</v>
      </c>
      <c r="X1820">
        <v>0</v>
      </c>
    </row>
    <row r="1821" spans="1:24" x14ac:dyDescent="0.2">
      <c r="A1821">
        <v>20081500</v>
      </c>
      <c r="B1821" t="s">
        <v>1820</v>
      </c>
      <c r="C1821">
        <v>1500</v>
      </c>
      <c r="D1821">
        <v>1500</v>
      </c>
      <c r="E1821">
        <v>10015</v>
      </c>
      <c r="F1821">
        <v>71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20</v>
      </c>
      <c r="Q1821">
        <v>0</v>
      </c>
      <c r="R1821">
        <v>0</v>
      </c>
      <c r="S1821">
        <v>0</v>
      </c>
      <c r="T1821">
        <v>4</v>
      </c>
      <c r="U1821">
        <v>5</v>
      </c>
      <c r="V1821">
        <v>0</v>
      </c>
      <c r="W1821">
        <v>0</v>
      </c>
      <c r="X1821">
        <v>0</v>
      </c>
    </row>
    <row r="1822" spans="1:24" x14ac:dyDescent="0.2">
      <c r="A1822">
        <v>20110000</v>
      </c>
      <c r="B1822" t="s">
        <v>1821</v>
      </c>
      <c r="C1822">
        <v>0</v>
      </c>
      <c r="D1822">
        <v>8100</v>
      </c>
      <c r="E1822">
        <v>10000</v>
      </c>
      <c r="F1822">
        <v>78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30</v>
      </c>
      <c r="Q1822">
        <v>0</v>
      </c>
      <c r="R1822">
        <v>0</v>
      </c>
      <c r="S1822">
        <v>0</v>
      </c>
      <c r="T1822">
        <v>6</v>
      </c>
      <c r="U1822">
        <v>8</v>
      </c>
      <c r="V1822">
        <v>0</v>
      </c>
      <c r="W1822">
        <v>0</v>
      </c>
      <c r="X1822">
        <v>0</v>
      </c>
    </row>
    <row r="1823" spans="1:24" x14ac:dyDescent="0.2">
      <c r="A1823">
        <v>20110100</v>
      </c>
      <c r="B1823" t="s">
        <v>1822</v>
      </c>
      <c r="C1823">
        <v>200</v>
      </c>
      <c r="D1823">
        <v>100</v>
      </c>
      <c r="E1823">
        <v>10000</v>
      </c>
      <c r="F1823">
        <v>78</v>
      </c>
      <c r="G1823">
        <v>0</v>
      </c>
      <c r="H1823">
        <v>0</v>
      </c>
      <c r="I1823">
        <v>0</v>
      </c>
      <c r="J1823">
        <v>0</v>
      </c>
      <c r="K1823">
        <v>1</v>
      </c>
      <c r="L1823">
        <v>0</v>
      </c>
      <c r="M1823">
        <v>0</v>
      </c>
      <c r="N1823">
        <v>0</v>
      </c>
      <c r="O1823">
        <v>0</v>
      </c>
      <c r="P1823">
        <v>30</v>
      </c>
      <c r="Q1823">
        <v>0</v>
      </c>
      <c r="R1823">
        <v>0</v>
      </c>
      <c r="S1823">
        <v>0</v>
      </c>
      <c r="T1823">
        <v>6</v>
      </c>
      <c r="U1823">
        <v>8</v>
      </c>
      <c r="V1823">
        <v>0</v>
      </c>
      <c r="W1823">
        <v>0</v>
      </c>
      <c r="X1823">
        <v>0</v>
      </c>
    </row>
    <row r="1824" spans="1:24" x14ac:dyDescent="0.2">
      <c r="A1824">
        <v>20110200</v>
      </c>
      <c r="B1824" t="s">
        <v>1823</v>
      </c>
      <c r="C1824">
        <v>100</v>
      </c>
      <c r="D1824">
        <v>200</v>
      </c>
      <c r="E1824">
        <v>10000</v>
      </c>
      <c r="F1824">
        <v>78</v>
      </c>
      <c r="G1824">
        <v>0</v>
      </c>
      <c r="H1824">
        <v>0</v>
      </c>
      <c r="I1824">
        <v>0</v>
      </c>
      <c r="J1824">
        <v>0</v>
      </c>
      <c r="K1824">
        <v>1</v>
      </c>
      <c r="L1824">
        <v>0</v>
      </c>
      <c r="M1824">
        <v>0</v>
      </c>
      <c r="N1824">
        <v>0</v>
      </c>
      <c r="O1824">
        <v>0</v>
      </c>
      <c r="P1824">
        <v>60</v>
      </c>
      <c r="Q1824">
        <v>0</v>
      </c>
      <c r="R1824">
        <v>0</v>
      </c>
      <c r="S1824">
        <v>0</v>
      </c>
      <c r="T1824">
        <v>6</v>
      </c>
      <c r="U1824">
        <v>8</v>
      </c>
      <c r="V1824">
        <v>0</v>
      </c>
      <c r="W1824">
        <v>0</v>
      </c>
      <c r="X1824">
        <v>0</v>
      </c>
    </row>
    <row r="1825" spans="1:24" x14ac:dyDescent="0.2">
      <c r="A1825">
        <v>20110300</v>
      </c>
      <c r="B1825" t="s">
        <v>1824</v>
      </c>
      <c r="C1825">
        <v>300</v>
      </c>
      <c r="D1825">
        <v>300</v>
      </c>
      <c r="E1825">
        <v>10000</v>
      </c>
      <c r="F1825">
        <v>78</v>
      </c>
      <c r="G1825">
        <v>0</v>
      </c>
      <c r="H1825">
        <v>0</v>
      </c>
      <c r="I1825">
        <v>0</v>
      </c>
      <c r="J1825">
        <v>0</v>
      </c>
      <c r="K1825">
        <v>8</v>
      </c>
      <c r="L1825">
        <v>0</v>
      </c>
      <c r="M1825">
        <v>0</v>
      </c>
      <c r="N1825">
        <v>0</v>
      </c>
      <c r="O1825">
        <v>0</v>
      </c>
      <c r="P1825">
        <v>25</v>
      </c>
      <c r="Q1825">
        <v>25</v>
      </c>
      <c r="R1825">
        <v>0</v>
      </c>
      <c r="S1825">
        <v>0</v>
      </c>
      <c r="T1825">
        <v>6</v>
      </c>
      <c r="U1825">
        <v>8</v>
      </c>
      <c r="V1825">
        <v>0</v>
      </c>
      <c r="W1825">
        <v>0</v>
      </c>
      <c r="X1825">
        <v>0</v>
      </c>
    </row>
    <row r="1826" spans="1:24" x14ac:dyDescent="0.2">
      <c r="A1826">
        <v>20110400</v>
      </c>
      <c r="B1826" t="s">
        <v>1825</v>
      </c>
      <c r="C1826">
        <v>500</v>
      </c>
      <c r="D1826">
        <v>500</v>
      </c>
      <c r="E1826">
        <v>10000</v>
      </c>
      <c r="F1826">
        <v>87</v>
      </c>
      <c r="G1826">
        <v>87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30</v>
      </c>
      <c r="Q1826">
        <v>0</v>
      </c>
      <c r="R1826">
        <v>30</v>
      </c>
      <c r="S1826">
        <v>0</v>
      </c>
      <c r="T1826">
        <v>6</v>
      </c>
      <c r="U1826">
        <v>8</v>
      </c>
      <c r="V1826">
        <v>0</v>
      </c>
      <c r="W1826">
        <v>0</v>
      </c>
      <c r="X1826">
        <v>0</v>
      </c>
    </row>
    <row r="1827" spans="1:24" x14ac:dyDescent="0.2">
      <c r="A1827">
        <v>20110500</v>
      </c>
      <c r="B1827" t="s">
        <v>1826</v>
      </c>
      <c r="C1827">
        <v>400</v>
      </c>
      <c r="D1827">
        <v>400</v>
      </c>
      <c r="E1827">
        <v>10000</v>
      </c>
      <c r="F1827">
        <v>87</v>
      </c>
      <c r="G1827">
        <v>87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30</v>
      </c>
      <c r="Q1827">
        <v>0</v>
      </c>
      <c r="R1827">
        <v>30</v>
      </c>
      <c r="S1827">
        <v>0</v>
      </c>
      <c r="T1827">
        <v>6</v>
      </c>
      <c r="U1827">
        <v>8</v>
      </c>
      <c r="V1827">
        <v>0</v>
      </c>
      <c r="W1827">
        <v>0</v>
      </c>
      <c r="X1827">
        <v>0</v>
      </c>
    </row>
    <row r="1828" spans="1:24" x14ac:dyDescent="0.2">
      <c r="A1828">
        <v>20110600</v>
      </c>
      <c r="B1828" t="s">
        <v>1827</v>
      </c>
      <c r="C1828">
        <v>600</v>
      </c>
      <c r="D1828">
        <v>600</v>
      </c>
      <c r="E1828">
        <v>10000</v>
      </c>
      <c r="F1828">
        <v>68</v>
      </c>
      <c r="G1828">
        <v>0</v>
      </c>
      <c r="H1828">
        <v>68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30</v>
      </c>
      <c r="Q1828">
        <v>0</v>
      </c>
      <c r="R1828">
        <v>0</v>
      </c>
      <c r="S1828">
        <v>0</v>
      </c>
      <c r="T1828">
        <v>6</v>
      </c>
      <c r="U1828">
        <v>8</v>
      </c>
      <c r="V1828">
        <v>0</v>
      </c>
      <c r="W1828">
        <v>0</v>
      </c>
      <c r="X1828">
        <v>0</v>
      </c>
    </row>
    <row r="1829" spans="1:24" x14ac:dyDescent="0.2">
      <c r="A1829">
        <v>20110700</v>
      </c>
      <c r="B1829" t="s">
        <v>1828</v>
      </c>
      <c r="C1829">
        <v>700</v>
      </c>
      <c r="D1829">
        <v>700</v>
      </c>
      <c r="E1829">
        <v>10000</v>
      </c>
      <c r="F1829">
        <v>87</v>
      </c>
      <c r="G1829">
        <v>0</v>
      </c>
      <c r="H1829">
        <v>87</v>
      </c>
      <c r="I1829">
        <v>0</v>
      </c>
      <c r="J1829">
        <v>0</v>
      </c>
      <c r="K1829">
        <v>0</v>
      </c>
      <c r="L1829">
        <v>0</v>
      </c>
      <c r="M1829">
        <v>4</v>
      </c>
      <c r="N1829">
        <v>0</v>
      </c>
      <c r="O1829">
        <v>0</v>
      </c>
      <c r="P1829">
        <v>30</v>
      </c>
      <c r="Q1829">
        <v>0</v>
      </c>
      <c r="R1829">
        <v>30</v>
      </c>
      <c r="S1829">
        <v>30</v>
      </c>
      <c r="T1829">
        <v>6</v>
      </c>
      <c r="U1829">
        <v>8</v>
      </c>
      <c r="V1829">
        <v>0</v>
      </c>
      <c r="W1829">
        <v>0</v>
      </c>
      <c r="X1829">
        <v>0</v>
      </c>
    </row>
    <row r="1830" spans="1:24" x14ac:dyDescent="0.2">
      <c r="A1830">
        <v>20110800</v>
      </c>
      <c r="B1830" t="s">
        <v>1829</v>
      </c>
      <c r="C1830">
        <v>800</v>
      </c>
      <c r="D1830">
        <v>800</v>
      </c>
      <c r="E1830">
        <v>10000</v>
      </c>
      <c r="F1830">
        <v>87</v>
      </c>
      <c r="G1830">
        <v>0</v>
      </c>
      <c r="H1830">
        <v>0</v>
      </c>
      <c r="I1830">
        <v>87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30</v>
      </c>
      <c r="Q1830">
        <v>0</v>
      </c>
      <c r="R1830">
        <v>0</v>
      </c>
      <c r="S1830">
        <v>30</v>
      </c>
      <c r="T1830">
        <v>6</v>
      </c>
      <c r="U1830">
        <v>8</v>
      </c>
      <c r="V1830">
        <v>0</v>
      </c>
      <c r="W1830">
        <v>0</v>
      </c>
      <c r="X1830">
        <v>0</v>
      </c>
    </row>
    <row r="1831" spans="1:24" x14ac:dyDescent="0.2">
      <c r="A1831">
        <v>20110900</v>
      </c>
      <c r="B1831" t="s">
        <v>1830</v>
      </c>
      <c r="C1831">
        <v>900</v>
      </c>
      <c r="D1831">
        <v>900</v>
      </c>
      <c r="E1831">
        <v>10000</v>
      </c>
      <c r="F1831">
        <v>68</v>
      </c>
      <c r="G1831">
        <v>0</v>
      </c>
      <c r="H1831">
        <v>0</v>
      </c>
      <c r="I1831">
        <v>0</v>
      </c>
      <c r="J1831">
        <v>68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30</v>
      </c>
      <c r="Q1831">
        <v>0</v>
      </c>
      <c r="R1831">
        <v>0</v>
      </c>
      <c r="S1831">
        <v>0</v>
      </c>
      <c r="T1831">
        <v>6</v>
      </c>
      <c r="U1831">
        <v>8</v>
      </c>
      <c r="V1831">
        <v>0</v>
      </c>
      <c r="W1831">
        <v>0</v>
      </c>
      <c r="X1831">
        <v>0</v>
      </c>
    </row>
    <row r="1832" spans="1:24" x14ac:dyDescent="0.2">
      <c r="A1832">
        <v>20111000</v>
      </c>
      <c r="B1832" t="s">
        <v>1831</v>
      </c>
      <c r="C1832">
        <v>1000</v>
      </c>
      <c r="D1832">
        <v>1000</v>
      </c>
      <c r="E1832">
        <v>10000</v>
      </c>
      <c r="F1832">
        <v>87</v>
      </c>
      <c r="G1832">
        <v>0</v>
      </c>
      <c r="H1832">
        <v>0</v>
      </c>
      <c r="I1832">
        <v>0</v>
      </c>
      <c r="J1832">
        <v>87</v>
      </c>
      <c r="K1832">
        <v>0</v>
      </c>
      <c r="L1832">
        <v>0</v>
      </c>
      <c r="M1832">
        <v>0</v>
      </c>
      <c r="N1832">
        <v>0</v>
      </c>
      <c r="O1832">
        <v>4</v>
      </c>
      <c r="P1832">
        <v>30</v>
      </c>
      <c r="Q1832">
        <v>0</v>
      </c>
      <c r="R1832">
        <v>30</v>
      </c>
      <c r="S1832">
        <v>30</v>
      </c>
      <c r="T1832">
        <v>6</v>
      </c>
      <c r="U1832">
        <v>8</v>
      </c>
      <c r="V1832">
        <v>0</v>
      </c>
      <c r="W1832">
        <v>0</v>
      </c>
      <c r="X1832">
        <v>0</v>
      </c>
    </row>
    <row r="1833" spans="1:24" x14ac:dyDescent="0.2">
      <c r="A1833">
        <v>20111100</v>
      </c>
      <c r="B1833" t="s">
        <v>1832</v>
      </c>
      <c r="C1833">
        <v>1100</v>
      </c>
      <c r="D1833">
        <v>1100</v>
      </c>
      <c r="E1833">
        <v>10000</v>
      </c>
      <c r="F1833">
        <v>78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30</v>
      </c>
      <c r="Q1833">
        <v>0</v>
      </c>
      <c r="R1833">
        <v>0</v>
      </c>
      <c r="S1833">
        <v>0</v>
      </c>
      <c r="T1833">
        <v>6</v>
      </c>
      <c r="U1833">
        <v>8</v>
      </c>
      <c r="V1833">
        <v>0</v>
      </c>
      <c r="W1833">
        <v>0</v>
      </c>
      <c r="X1833">
        <v>0</v>
      </c>
    </row>
    <row r="1834" spans="1:24" x14ac:dyDescent="0.2">
      <c r="A1834">
        <v>20111200</v>
      </c>
      <c r="B1834" t="s">
        <v>1833</v>
      </c>
      <c r="C1834">
        <v>1200</v>
      </c>
      <c r="D1834">
        <v>1200</v>
      </c>
      <c r="E1834">
        <v>10000</v>
      </c>
      <c r="F1834">
        <v>78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30</v>
      </c>
      <c r="Q1834">
        <v>0</v>
      </c>
      <c r="R1834">
        <v>0</v>
      </c>
      <c r="S1834">
        <v>0</v>
      </c>
      <c r="T1834">
        <v>6</v>
      </c>
      <c r="U1834">
        <v>8</v>
      </c>
      <c r="V1834">
        <v>0</v>
      </c>
      <c r="W1834">
        <v>0</v>
      </c>
      <c r="X1834">
        <v>0</v>
      </c>
    </row>
    <row r="1835" spans="1:24" x14ac:dyDescent="0.2">
      <c r="A1835">
        <v>20111300</v>
      </c>
      <c r="B1835" t="s">
        <v>1834</v>
      </c>
      <c r="C1835">
        <v>1300</v>
      </c>
      <c r="D1835">
        <v>1300</v>
      </c>
      <c r="E1835">
        <v>10000</v>
      </c>
      <c r="F1835">
        <v>78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30</v>
      </c>
      <c r="Q1835">
        <v>0</v>
      </c>
      <c r="R1835">
        <v>0</v>
      </c>
      <c r="S1835">
        <v>0</v>
      </c>
      <c r="T1835">
        <v>6</v>
      </c>
      <c r="U1835">
        <v>8</v>
      </c>
      <c r="V1835">
        <v>0</v>
      </c>
      <c r="W1835">
        <v>0</v>
      </c>
      <c r="X1835">
        <v>0</v>
      </c>
    </row>
    <row r="1836" spans="1:24" x14ac:dyDescent="0.2">
      <c r="A1836">
        <v>20111400</v>
      </c>
      <c r="B1836" t="s">
        <v>1835</v>
      </c>
      <c r="C1836">
        <v>1400</v>
      </c>
      <c r="D1836">
        <v>1400</v>
      </c>
      <c r="E1836">
        <v>10014</v>
      </c>
      <c r="F1836">
        <v>87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30</v>
      </c>
      <c r="Q1836">
        <v>0</v>
      </c>
      <c r="R1836">
        <v>0</v>
      </c>
      <c r="S1836">
        <v>30</v>
      </c>
      <c r="T1836">
        <v>6</v>
      </c>
      <c r="U1836">
        <v>8</v>
      </c>
      <c r="V1836">
        <v>0</v>
      </c>
      <c r="W1836">
        <v>0</v>
      </c>
      <c r="X1836">
        <v>0</v>
      </c>
    </row>
    <row r="1837" spans="1:24" x14ac:dyDescent="0.2">
      <c r="A1837">
        <v>20111500</v>
      </c>
      <c r="B1837" t="s">
        <v>1836</v>
      </c>
      <c r="C1837">
        <v>1500</v>
      </c>
      <c r="D1837">
        <v>1500</v>
      </c>
      <c r="E1837">
        <v>10015</v>
      </c>
      <c r="F1837">
        <v>78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30</v>
      </c>
      <c r="Q1837">
        <v>0</v>
      </c>
      <c r="R1837">
        <v>0</v>
      </c>
      <c r="S1837">
        <v>0</v>
      </c>
      <c r="T1837">
        <v>6</v>
      </c>
      <c r="U1837">
        <v>8</v>
      </c>
      <c r="V1837">
        <v>0</v>
      </c>
      <c r="W1837">
        <v>0</v>
      </c>
      <c r="X1837">
        <v>0</v>
      </c>
    </row>
    <row r="1838" spans="1:24" x14ac:dyDescent="0.2">
      <c r="A1838">
        <v>20120000</v>
      </c>
      <c r="B1838" t="s">
        <v>1837</v>
      </c>
      <c r="C1838">
        <v>0</v>
      </c>
      <c r="D1838">
        <v>8100</v>
      </c>
      <c r="E1838">
        <v>10000</v>
      </c>
      <c r="F1838">
        <v>80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30</v>
      </c>
      <c r="Q1838">
        <v>0</v>
      </c>
      <c r="R1838">
        <v>0</v>
      </c>
      <c r="S1838">
        <v>0</v>
      </c>
      <c r="T1838">
        <v>6</v>
      </c>
      <c r="U1838">
        <v>12</v>
      </c>
      <c r="V1838">
        <v>0</v>
      </c>
      <c r="W1838">
        <v>0</v>
      </c>
      <c r="X1838">
        <v>0</v>
      </c>
    </row>
    <row r="1839" spans="1:24" x14ac:dyDescent="0.2">
      <c r="A1839">
        <v>20120100</v>
      </c>
      <c r="B1839" t="s">
        <v>1838</v>
      </c>
      <c r="C1839">
        <v>200</v>
      </c>
      <c r="D1839">
        <v>100</v>
      </c>
      <c r="E1839">
        <v>10000</v>
      </c>
      <c r="F1839">
        <v>80</v>
      </c>
      <c r="G1839">
        <v>0</v>
      </c>
      <c r="H1839">
        <v>0</v>
      </c>
      <c r="I1839">
        <v>0</v>
      </c>
      <c r="J1839">
        <v>0</v>
      </c>
      <c r="K1839">
        <v>1</v>
      </c>
      <c r="L1839">
        <v>0</v>
      </c>
      <c r="M1839">
        <v>0</v>
      </c>
      <c r="N1839">
        <v>0</v>
      </c>
      <c r="O1839">
        <v>0</v>
      </c>
      <c r="P1839">
        <v>30</v>
      </c>
      <c r="Q1839">
        <v>0</v>
      </c>
      <c r="R1839">
        <v>0</v>
      </c>
      <c r="S1839">
        <v>0</v>
      </c>
      <c r="T1839">
        <v>6</v>
      </c>
      <c r="U1839">
        <v>12</v>
      </c>
      <c r="V1839">
        <v>0</v>
      </c>
      <c r="W1839">
        <v>0</v>
      </c>
      <c r="X1839">
        <v>0</v>
      </c>
    </row>
    <row r="1840" spans="1:24" x14ac:dyDescent="0.2">
      <c r="A1840">
        <v>20120200</v>
      </c>
      <c r="B1840" t="s">
        <v>1839</v>
      </c>
      <c r="C1840">
        <v>100</v>
      </c>
      <c r="D1840">
        <v>200</v>
      </c>
      <c r="E1840">
        <v>10000</v>
      </c>
      <c r="F1840">
        <v>80</v>
      </c>
      <c r="G1840">
        <v>0</v>
      </c>
      <c r="H1840">
        <v>0</v>
      </c>
      <c r="I1840">
        <v>0</v>
      </c>
      <c r="J1840">
        <v>0</v>
      </c>
      <c r="K1840">
        <v>1</v>
      </c>
      <c r="L1840">
        <v>0</v>
      </c>
      <c r="M1840">
        <v>0</v>
      </c>
      <c r="N1840">
        <v>0</v>
      </c>
      <c r="O1840">
        <v>0</v>
      </c>
      <c r="P1840">
        <v>60</v>
      </c>
      <c r="Q1840">
        <v>0</v>
      </c>
      <c r="R1840">
        <v>0</v>
      </c>
      <c r="S1840">
        <v>0</v>
      </c>
      <c r="T1840">
        <v>6</v>
      </c>
      <c r="U1840">
        <v>12</v>
      </c>
      <c r="V1840">
        <v>0</v>
      </c>
      <c r="W1840">
        <v>0</v>
      </c>
      <c r="X1840">
        <v>0</v>
      </c>
    </row>
    <row r="1841" spans="1:24" x14ac:dyDescent="0.2">
      <c r="A1841">
        <v>20120300</v>
      </c>
      <c r="B1841" t="s">
        <v>1840</v>
      </c>
      <c r="C1841">
        <v>300</v>
      </c>
      <c r="D1841">
        <v>300</v>
      </c>
      <c r="E1841">
        <v>10000</v>
      </c>
      <c r="F1841">
        <v>80</v>
      </c>
      <c r="G1841">
        <v>0</v>
      </c>
      <c r="H1841">
        <v>0</v>
      </c>
      <c r="I1841">
        <v>0</v>
      </c>
      <c r="J1841">
        <v>0</v>
      </c>
      <c r="K1841">
        <v>8</v>
      </c>
      <c r="L1841">
        <v>0</v>
      </c>
      <c r="M1841">
        <v>0</v>
      </c>
      <c r="N1841">
        <v>0</v>
      </c>
      <c r="O1841">
        <v>0</v>
      </c>
      <c r="P1841">
        <v>25</v>
      </c>
      <c r="Q1841">
        <v>25</v>
      </c>
      <c r="R1841">
        <v>0</v>
      </c>
      <c r="S1841">
        <v>0</v>
      </c>
      <c r="T1841">
        <v>6</v>
      </c>
      <c r="U1841">
        <v>12</v>
      </c>
      <c r="V1841">
        <v>0</v>
      </c>
      <c r="W1841">
        <v>0</v>
      </c>
      <c r="X1841">
        <v>0</v>
      </c>
    </row>
    <row r="1842" spans="1:24" x14ac:dyDescent="0.2">
      <c r="A1842">
        <v>20120400</v>
      </c>
      <c r="B1842" t="s">
        <v>1841</v>
      </c>
      <c r="C1842">
        <v>500</v>
      </c>
      <c r="D1842">
        <v>500</v>
      </c>
      <c r="E1842">
        <v>10000</v>
      </c>
      <c r="F1842">
        <v>89</v>
      </c>
      <c r="G1842">
        <v>89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30</v>
      </c>
      <c r="Q1842">
        <v>0</v>
      </c>
      <c r="R1842">
        <v>30</v>
      </c>
      <c r="S1842">
        <v>0</v>
      </c>
      <c r="T1842">
        <v>6</v>
      </c>
      <c r="U1842">
        <v>12</v>
      </c>
      <c r="V1842">
        <v>0</v>
      </c>
      <c r="W1842">
        <v>0</v>
      </c>
      <c r="X1842">
        <v>0</v>
      </c>
    </row>
    <row r="1843" spans="1:24" x14ac:dyDescent="0.2">
      <c r="A1843">
        <v>20120500</v>
      </c>
      <c r="B1843" t="s">
        <v>1842</v>
      </c>
      <c r="C1843">
        <v>400</v>
      </c>
      <c r="D1843">
        <v>400</v>
      </c>
      <c r="E1843">
        <v>10000</v>
      </c>
      <c r="F1843">
        <v>89</v>
      </c>
      <c r="G1843">
        <v>89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30</v>
      </c>
      <c r="Q1843">
        <v>0</v>
      </c>
      <c r="R1843">
        <v>30</v>
      </c>
      <c r="S1843">
        <v>0</v>
      </c>
      <c r="T1843">
        <v>6</v>
      </c>
      <c r="U1843">
        <v>12</v>
      </c>
      <c r="V1843">
        <v>0</v>
      </c>
      <c r="W1843">
        <v>0</v>
      </c>
      <c r="X1843">
        <v>0</v>
      </c>
    </row>
    <row r="1844" spans="1:24" x14ac:dyDescent="0.2">
      <c r="A1844">
        <v>20120600</v>
      </c>
      <c r="B1844" t="s">
        <v>1843</v>
      </c>
      <c r="C1844">
        <v>600</v>
      </c>
      <c r="D1844">
        <v>600</v>
      </c>
      <c r="E1844">
        <v>10000</v>
      </c>
      <c r="F1844">
        <v>70</v>
      </c>
      <c r="G1844">
        <v>0</v>
      </c>
      <c r="H1844">
        <v>70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30</v>
      </c>
      <c r="Q1844">
        <v>0</v>
      </c>
      <c r="R1844">
        <v>0</v>
      </c>
      <c r="S1844">
        <v>0</v>
      </c>
      <c r="T1844">
        <v>6</v>
      </c>
      <c r="U1844">
        <v>12</v>
      </c>
      <c r="V1844">
        <v>0</v>
      </c>
      <c r="W1844">
        <v>0</v>
      </c>
      <c r="X1844">
        <v>0</v>
      </c>
    </row>
    <row r="1845" spans="1:24" x14ac:dyDescent="0.2">
      <c r="A1845">
        <v>20120700</v>
      </c>
      <c r="B1845" t="s">
        <v>1844</v>
      </c>
      <c r="C1845">
        <v>700</v>
      </c>
      <c r="D1845">
        <v>700</v>
      </c>
      <c r="E1845">
        <v>10000</v>
      </c>
      <c r="F1845">
        <v>89</v>
      </c>
      <c r="G1845">
        <v>0</v>
      </c>
      <c r="H1845">
        <v>89</v>
      </c>
      <c r="I1845">
        <v>0</v>
      </c>
      <c r="J1845">
        <v>0</v>
      </c>
      <c r="K1845">
        <v>0</v>
      </c>
      <c r="L1845">
        <v>0</v>
      </c>
      <c r="M1845">
        <v>4</v>
      </c>
      <c r="N1845">
        <v>0</v>
      </c>
      <c r="O1845">
        <v>0</v>
      </c>
      <c r="P1845">
        <v>30</v>
      </c>
      <c r="Q1845">
        <v>0</v>
      </c>
      <c r="R1845">
        <v>30</v>
      </c>
      <c r="S1845">
        <v>30</v>
      </c>
      <c r="T1845">
        <v>6</v>
      </c>
      <c r="U1845">
        <v>12</v>
      </c>
      <c r="V1845">
        <v>0</v>
      </c>
      <c r="W1845">
        <v>0</v>
      </c>
      <c r="X1845">
        <v>0</v>
      </c>
    </row>
    <row r="1846" spans="1:24" x14ac:dyDescent="0.2">
      <c r="A1846">
        <v>20120800</v>
      </c>
      <c r="B1846" t="s">
        <v>1845</v>
      </c>
      <c r="C1846">
        <v>800</v>
      </c>
      <c r="D1846">
        <v>800</v>
      </c>
      <c r="E1846">
        <v>10000</v>
      </c>
      <c r="F1846">
        <v>89</v>
      </c>
      <c r="G1846">
        <v>0</v>
      </c>
      <c r="H1846">
        <v>0</v>
      </c>
      <c r="I1846">
        <v>89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30</v>
      </c>
      <c r="Q1846">
        <v>0</v>
      </c>
      <c r="R1846">
        <v>0</v>
      </c>
      <c r="S1846">
        <v>30</v>
      </c>
      <c r="T1846">
        <v>6</v>
      </c>
      <c r="U1846">
        <v>12</v>
      </c>
      <c r="V1846">
        <v>0</v>
      </c>
      <c r="W1846">
        <v>0</v>
      </c>
      <c r="X1846">
        <v>0</v>
      </c>
    </row>
    <row r="1847" spans="1:24" x14ac:dyDescent="0.2">
      <c r="A1847">
        <v>20120900</v>
      </c>
      <c r="B1847" t="s">
        <v>1846</v>
      </c>
      <c r="C1847">
        <v>900</v>
      </c>
      <c r="D1847">
        <v>900</v>
      </c>
      <c r="E1847">
        <v>10000</v>
      </c>
      <c r="F1847">
        <v>70</v>
      </c>
      <c r="G1847">
        <v>0</v>
      </c>
      <c r="H1847">
        <v>0</v>
      </c>
      <c r="I1847">
        <v>0</v>
      </c>
      <c r="J1847">
        <v>70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30</v>
      </c>
      <c r="Q1847">
        <v>0</v>
      </c>
      <c r="R1847">
        <v>0</v>
      </c>
      <c r="S1847">
        <v>0</v>
      </c>
      <c r="T1847">
        <v>6</v>
      </c>
      <c r="U1847">
        <v>12</v>
      </c>
      <c r="V1847">
        <v>0</v>
      </c>
      <c r="W1847">
        <v>0</v>
      </c>
      <c r="X1847">
        <v>0</v>
      </c>
    </row>
    <row r="1848" spans="1:24" x14ac:dyDescent="0.2">
      <c r="A1848">
        <v>20121000</v>
      </c>
      <c r="B1848" t="s">
        <v>1847</v>
      </c>
      <c r="C1848">
        <v>1000</v>
      </c>
      <c r="D1848">
        <v>1000</v>
      </c>
      <c r="E1848">
        <v>10000</v>
      </c>
      <c r="F1848">
        <v>89</v>
      </c>
      <c r="G1848">
        <v>0</v>
      </c>
      <c r="H1848">
        <v>0</v>
      </c>
      <c r="I1848">
        <v>0</v>
      </c>
      <c r="J1848">
        <v>89</v>
      </c>
      <c r="K1848">
        <v>0</v>
      </c>
      <c r="L1848">
        <v>0</v>
      </c>
      <c r="M1848">
        <v>0</v>
      </c>
      <c r="N1848">
        <v>0</v>
      </c>
      <c r="O1848">
        <v>4</v>
      </c>
      <c r="P1848">
        <v>30</v>
      </c>
      <c r="Q1848">
        <v>0</v>
      </c>
      <c r="R1848">
        <v>30</v>
      </c>
      <c r="S1848">
        <v>30</v>
      </c>
      <c r="T1848">
        <v>6</v>
      </c>
      <c r="U1848">
        <v>12</v>
      </c>
      <c r="V1848">
        <v>0</v>
      </c>
      <c r="W1848">
        <v>0</v>
      </c>
      <c r="X1848">
        <v>0</v>
      </c>
    </row>
    <row r="1849" spans="1:24" x14ac:dyDescent="0.2">
      <c r="A1849">
        <v>20121100</v>
      </c>
      <c r="B1849" t="s">
        <v>1848</v>
      </c>
      <c r="C1849">
        <v>1100</v>
      </c>
      <c r="D1849">
        <v>1100</v>
      </c>
      <c r="E1849">
        <v>10000</v>
      </c>
      <c r="F1849">
        <v>80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30</v>
      </c>
      <c r="Q1849">
        <v>0</v>
      </c>
      <c r="R1849">
        <v>0</v>
      </c>
      <c r="S1849">
        <v>0</v>
      </c>
      <c r="T1849">
        <v>6</v>
      </c>
      <c r="U1849">
        <v>12</v>
      </c>
      <c r="V1849">
        <v>0</v>
      </c>
      <c r="W1849">
        <v>0</v>
      </c>
      <c r="X1849">
        <v>0</v>
      </c>
    </row>
    <row r="1850" spans="1:24" x14ac:dyDescent="0.2">
      <c r="A1850">
        <v>20121200</v>
      </c>
      <c r="B1850" t="s">
        <v>1849</v>
      </c>
      <c r="C1850">
        <v>1200</v>
      </c>
      <c r="D1850">
        <v>1200</v>
      </c>
      <c r="E1850">
        <v>10000</v>
      </c>
      <c r="F1850">
        <v>80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30</v>
      </c>
      <c r="Q1850">
        <v>0</v>
      </c>
      <c r="R1850">
        <v>0</v>
      </c>
      <c r="S1850">
        <v>0</v>
      </c>
      <c r="T1850">
        <v>6</v>
      </c>
      <c r="U1850">
        <v>12</v>
      </c>
      <c r="V1850">
        <v>0</v>
      </c>
      <c r="W1850">
        <v>0</v>
      </c>
      <c r="X1850">
        <v>0</v>
      </c>
    </row>
    <row r="1851" spans="1:24" x14ac:dyDescent="0.2">
      <c r="A1851">
        <v>20121300</v>
      </c>
      <c r="B1851" t="s">
        <v>1850</v>
      </c>
      <c r="C1851">
        <v>1300</v>
      </c>
      <c r="D1851">
        <v>1300</v>
      </c>
      <c r="E1851">
        <v>10000</v>
      </c>
      <c r="F1851">
        <v>80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30</v>
      </c>
      <c r="Q1851">
        <v>0</v>
      </c>
      <c r="R1851">
        <v>0</v>
      </c>
      <c r="S1851">
        <v>0</v>
      </c>
      <c r="T1851">
        <v>6</v>
      </c>
      <c r="U1851">
        <v>12</v>
      </c>
      <c r="V1851">
        <v>0</v>
      </c>
      <c r="W1851">
        <v>0</v>
      </c>
      <c r="X1851">
        <v>0</v>
      </c>
    </row>
    <row r="1852" spans="1:24" x14ac:dyDescent="0.2">
      <c r="A1852">
        <v>20121400</v>
      </c>
      <c r="B1852" t="s">
        <v>1851</v>
      </c>
      <c r="C1852">
        <v>1400</v>
      </c>
      <c r="D1852">
        <v>1400</v>
      </c>
      <c r="E1852">
        <v>10014</v>
      </c>
      <c r="F1852">
        <v>89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30</v>
      </c>
      <c r="Q1852">
        <v>0</v>
      </c>
      <c r="R1852">
        <v>0</v>
      </c>
      <c r="S1852">
        <v>30</v>
      </c>
      <c r="T1852">
        <v>6</v>
      </c>
      <c r="U1852">
        <v>12</v>
      </c>
      <c r="V1852">
        <v>0</v>
      </c>
      <c r="W1852">
        <v>0</v>
      </c>
      <c r="X1852">
        <v>0</v>
      </c>
    </row>
    <row r="1853" spans="1:24" x14ac:dyDescent="0.2">
      <c r="A1853">
        <v>20121500</v>
      </c>
      <c r="B1853" t="s">
        <v>1852</v>
      </c>
      <c r="C1853">
        <v>1500</v>
      </c>
      <c r="D1853">
        <v>1500</v>
      </c>
      <c r="E1853">
        <v>10015</v>
      </c>
      <c r="F1853">
        <v>80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30</v>
      </c>
      <c r="Q1853">
        <v>0</v>
      </c>
      <c r="R1853">
        <v>0</v>
      </c>
      <c r="S1853">
        <v>0</v>
      </c>
      <c r="T1853">
        <v>6</v>
      </c>
      <c r="U1853">
        <v>12</v>
      </c>
      <c r="V1853">
        <v>0</v>
      </c>
      <c r="W1853">
        <v>0</v>
      </c>
      <c r="X1853">
        <v>0</v>
      </c>
    </row>
    <row r="1854" spans="1:24" x14ac:dyDescent="0.2">
      <c r="A1854">
        <v>20130000</v>
      </c>
      <c r="B1854" t="s">
        <v>1853</v>
      </c>
      <c r="C1854">
        <v>0</v>
      </c>
      <c r="D1854">
        <v>8000</v>
      </c>
      <c r="E1854">
        <v>10000</v>
      </c>
      <c r="F1854">
        <v>78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20</v>
      </c>
      <c r="Q1854">
        <v>0</v>
      </c>
      <c r="R1854">
        <v>0</v>
      </c>
      <c r="S1854">
        <v>0</v>
      </c>
      <c r="T1854">
        <v>4</v>
      </c>
      <c r="U1854">
        <v>5</v>
      </c>
      <c r="V1854">
        <v>0</v>
      </c>
      <c r="W1854">
        <v>0</v>
      </c>
      <c r="X1854">
        <v>0</v>
      </c>
    </row>
    <row r="1855" spans="1:24" x14ac:dyDescent="0.2">
      <c r="A1855">
        <v>20130100</v>
      </c>
      <c r="B1855" t="s">
        <v>1854</v>
      </c>
      <c r="C1855">
        <v>200</v>
      </c>
      <c r="D1855">
        <v>100</v>
      </c>
      <c r="E1855">
        <v>10000</v>
      </c>
      <c r="F1855">
        <v>78</v>
      </c>
      <c r="G1855">
        <v>0</v>
      </c>
      <c r="H1855">
        <v>0</v>
      </c>
      <c r="I1855">
        <v>0</v>
      </c>
      <c r="J1855">
        <v>0</v>
      </c>
      <c r="K1855">
        <v>1</v>
      </c>
      <c r="L1855">
        <v>0</v>
      </c>
      <c r="M1855">
        <v>0</v>
      </c>
      <c r="N1855">
        <v>0</v>
      </c>
      <c r="O1855">
        <v>0</v>
      </c>
      <c r="P1855">
        <v>20</v>
      </c>
      <c r="Q1855">
        <v>0</v>
      </c>
      <c r="R1855">
        <v>0</v>
      </c>
      <c r="S1855">
        <v>0</v>
      </c>
      <c r="T1855">
        <v>4</v>
      </c>
      <c r="U1855">
        <v>5</v>
      </c>
      <c r="V1855">
        <v>0</v>
      </c>
      <c r="W1855">
        <v>0</v>
      </c>
      <c r="X1855">
        <v>0</v>
      </c>
    </row>
    <row r="1856" spans="1:24" x14ac:dyDescent="0.2">
      <c r="A1856">
        <v>20130200</v>
      </c>
      <c r="B1856" t="s">
        <v>1855</v>
      </c>
      <c r="C1856">
        <v>100</v>
      </c>
      <c r="D1856">
        <v>200</v>
      </c>
      <c r="E1856">
        <v>10000</v>
      </c>
      <c r="F1856">
        <v>78</v>
      </c>
      <c r="G1856">
        <v>0</v>
      </c>
      <c r="H1856">
        <v>0</v>
      </c>
      <c r="I1856">
        <v>0</v>
      </c>
      <c r="J1856">
        <v>0</v>
      </c>
      <c r="K1856">
        <v>1</v>
      </c>
      <c r="L1856">
        <v>0</v>
      </c>
      <c r="M1856">
        <v>0</v>
      </c>
      <c r="N1856">
        <v>0</v>
      </c>
      <c r="O1856">
        <v>0</v>
      </c>
      <c r="P1856">
        <v>40</v>
      </c>
      <c r="Q1856">
        <v>0</v>
      </c>
      <c r="R1856">
        <v>0</v>
      </c>
      <c r="S1856">
        <v>0</v>
      </c>
      <c r="T1856">
        <v>4</v>
      </c>
      <c r="U1856">
        <v>5</v>
      </c>
      <c r="V1856">
        <v>0</v>
      </c>
      <c r="W1856">
        <v>0</v>
      </c>
      <c r="X1856">
        <v>0</v>
      </c>
    </row>
    <row r="1857" spans="1:24" x14ac:dyDescent="0.2">
      <c r="A1857">
        <v>20130300</v>
      </c>
      <c r="B1857" t="s">
        <v>1856</v>
      </c>
      <c r="C1857">
        <v>300</v>
      </c>
      <c r="D1857">
        <v>300</v>
      </c>
      <c r="E1857">
        <v>10000</v>
      </c>
      <c r="F1857">
        <v>78</v>
      </c>
      <c r="G1857">
        <v>0</v>
      </c>
      <c r="H1857">
        <v>0</v>
      </c>
      <c r="I1857">
        <v>0</v>
      </c>
      <c r="J1857">
        <v>0</v>
      </c>
      <c r="K1857">
        <v>8</v>
      </c>
      <c r="L1857">
        <v>0</v>
      </c>
      <c r="M1857">
        <v>0</v>
      </c>
      <c r="N1857">
        <v>0</v>
      </c>
      <c r="O1857">
        <v>0</v>
      </c>
      <c r="P1857">
        <v>20</v>
      </c>
      <c r="Q1857">
        <v>20</v>
      </c>
      <c r="R1857">
        <v>0</v>
      </c>
      <c r="S1857">
        <v>0</v>
      </c>
      <c r="T1857">
        <v>4</v>
      </c>
      <c r="U1857">
        <v>5</v>
      </c>
      <c r="V1857">
        <v>0</v>
      </c>
      <c r="W1857">
        <v>0</v>
      </c>
      <c r="X1857">
        <v>0</v>
      </c>
    </row>
    <row r="1858" spans="1:24" x14ac:dyDescent="0.2">
      <c r="A1858">
        <v>20130400</v>
      </c>
      <c r="B1858" t="s">
        <v>1857</v>
      </c>
      <c r="C1858">
        <v>500</v>
      </c>
      <c r="D1858">
        <v>500</v>
      </c>
      <c r="E1858">
        <v>10000</v>
      </c>
      <c r="F1858">
        <v>87</v>
      </c>
      <c r="G1858">
        <v>87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20</v>
      </c>
      <c r="Q1858">
        <v>0</v>
      </c>
      <c r="R1858">
        <v>20</v>
      </c>
      <c r="S1858">
        <v>0</v>
      </c>
      <c r="T1858">
        <v>4</v>
      </c>
      <c r="U1858">
        <v>5</v>
      </c>
      <c r="V1858">
        <v>0</v>
      </c>
      <c r="W1858">
        <v>0</v>
      </c>
      <c r="X1858">
        <v>0</v>
      </c>
    </row>
    <row r="1859" spans="1:24" x14ac:dyDescent="0.2">
      <c r="A1859">
        <v>20130500</v>
      </c>
      <c r="B1859" t="s">
        <v>1858</v>
      </c>
      <c r="C1859">
        <v>400</v>
      </c>
      <c r="D1859">
        <v>400</v>
      </c>
      <c r="E1859">
        <v>10000</v>
      </c>
      <c r="F1859">
        <v>87</v>
      </c>
      <c r="G1859">
        <v>87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20</v>
      </c>
      <c r="Q1859">
        <v>0</v>
      </c>
      <c r="R1859">
        <v>20</v>
      </c>
      <c r="S1859">
        <v>0</v>
      </c>
      <c r="T1859">
        <v>4</v>
      </c>
      <c r="U1859">
        <v>5</v>
      </c>
      <c r="V1859">
        <v>0</v>
      </c>
      <c r="W1859">
        <v>0</v>
      </c>
      <c r="X1859">
        <v>0</v>
      </c>
    </row>
    <row r="1860" spans="1:24" x14ac:dyDescent="0.2">
      <c r="A1860">
        <v>20130600</v>
      </c>
      <c r="B1860" t="s">
        <v>1859</v>
      </c>
      <c r="C1860">
        <v>600</v>
      </c>
      <c r="D1860">
        <v>600</v>
      </c>
      <c r="E1860">
        <v>10000</v>
      </c>
      <c r="F1860">
        <v>68</v>
      </c>
      <c r="G1860">
        <v>0</v>
      </c>
      <c r="H1860">
        <v>68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20</v>
      </c>
      <c r="Q1860">
        <v>0</v>
      </c>
      <c r="R1860">
        <v>0</v>
      </c>
      <c r="S1860">
        <v>0</v>
      </c>
      <c r="T1860">
        <v>4</v>
      </c>
      <c r="U1860">
        <v>5</v>
      </c>
      <c r="V1860">
        <v>0</v>
      </c>
      <c r="W1860">
        <v>0</v>
      </c>
      <c r="X1860">
        <v>0</v>
      </c>
    </row>
    <row r="1861" spans="1:24" x14ac:dyDescent="0.2">
      <c r="A1861">
        <v>20130700</v>
      </c>
      <c r="B1861" t="s">
        <v>1860</v>
      </c>
      <c r="C1861">
        <v>700</v>
      </c>
      <c r="D1861">
        <v>700</v>
      </c>
      <c r="E1861">
        <v>10000</v>
      </c>
      <c r="F1861">
        <v>87</v>
      </c>
      <c r="G1861">
        <v>0</v>
      </c>
      <c r="H1861">
        <v>87</v>
      </c>
      <c r="I1861">
        <v>0</v>
      </c>
      <c r="J1861">
        <v>0</v>
      </c>
      <c r="K1861">
        <v>0</v>
      </c>
      <c r="L1861">
        <v>0</v>
      </c>
      <c r="M1861">
        <v>4</v>
      </c>
      <c r="N1861">
        <v>0</v>
      </c>
      <c r="O1861">
        <v>0</v>
      </c>
      <c r="P1861">
        <v>20</v>
      </c>
      <c r="Q1861">
        <v>0</v>
      </c>
      <c r="R1861">
        <v>20</v>
      </c>
      <c r="S1861">
        <v>20</v>
      </c>
      <c r="T1861">
        <v>4</v>
      </c>
      <c r="U1861">
        <v>5</v>
      </c>
      <c r="V1861">
        <v>0</v>
      </c>
      <c r="W1861">
        <v>0</v>
      </c>
      <c r="X1861">
        <v>0</v>
      </c>
    </row>
    <row r="1862" spans="1:24" x14ac:dyDescent="0.2">
      <c r="A1862">
        <v>20130800</v>
      </c>
      <c r="B1862" t="s">
        <v>1861</v>
      </c>
      <c r="C1862">
        <v>800</v>
      </c>
      <c r="D1862">
        <v>800</v>
      </c>
      <c r="E1862">
        <v>10000</v>
      </c>
      <c r="F1862">
        <v>87</v>
      </c>
      <c r="G1862">
        <v>0</v>
      </c>
      <c r="H1862">
        <v>0</v>
      </c>
      <c r="I1862">
        <v>87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20</v>
      </c>
      <c r="Q1862">
        <v>0</v>
      </c>
      <c r="R1862">
        <v>0</v>
      </c>
      <c r="S1862">
        <v>20</v>
      </c>
      <c r="T1862">
        <v>4</v>
      </c>
      <c r="U1862">
        <v>5</v>
      </c>
      <c r="V1862">
        <v>0</v>
      </c>
      <c r="W1862">
        <v>0</v>
      </c>
      <c r="X1862">
        <v>0</v>
      </c>
    </row>
    <row r="1863" spans="1:24" x14ac:dyDescent="0.2">
      <c r="A1863">
        <v>20130900</v>
      </c>
      <c r="B1863" t="s">
        <v>1862</v>
      </c>
      <c r="C1863">
        <v>900</v>
      </c>
      <c r="D1863">
        <v>900</v>
      </c>
      <c r="E1863">
        <v>10000</v>
      </c>
      <c r="F1863">
        <v>68</v>
      </c>
      <c r="G1863">
        <v>0</v>
      </c>
      <c r="H1863">
        <v>0</v>
      </c>
      <c r="I1863">
        <v>0</v>
      </c>
      <c r="J1863">
        <v>68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20</v>
      </c>
      <c r="Q1863">
        <v>0</v>
      </c>
      <c r="R1863">
        <v>0</v>
      </c>
      <c r="S1863">
        <v>0</v>
      </c>
      <c r="T1863">
        <v>4</v>
      </c>
      <c r="U1863">
        <v>5</v>
      </c>
      <c r="V1863">
        <v>0</v>
      </c>
      <c r="W1863">
        <v>0</v>
      </c>
      <c r="X1863">
        <v>0</v>
      </c>
    </row>
    <row r="1864" spans="1:24" x14ac:dyDescent="0.2">
      <c r="A1864">
        <v>20131000</v>
      </c>
      <c r="B1864" t="s">
        <v>1863</v>
      </c>
      <c r="C1864">
        <v>1000</v>
      </c>
      <c r="D1864">
        <v>1000</v>
      </c>
      <c r="E1864">
        <v>10000</v>
      </c>
      <c r="F1864">
        <v>87</v>
      </c>
      <c r="G1864">
        <v>0</v>
      </c>
      <c r="H1864">
        <v>0</v>
      </c>
      <c r="I1864">
        <v>0</v>
      </c>
      <c r="J1864">
        <v>87</v>
      </c>
      <c r="K1864">
        <v>0</v>
      </c>
      <c r="L1864">
        <v>0</v>
      </c>
      <c r="M1864">
        <v>0</v>
      </c>
      <c r="N1864">
        <v>0</v>
      </c>
      <c r="O1864">
        <v>4</v>
      </c>
      <c r="P1864">
        <v>20</v>
      </c>
      <c r="Q1864">
        <v>0</v>
      </c>
      <c r="R1864">
        <v>20</v>
      </c>
      <c r="S1864">
        <v>20</v>
      </c>
      <c r="T1864">
        <v>4</v>
      </c>
      <c r="U1864">
        <v>5</v>
      </c>
      <c r="V1864">
        <v>0</v>
      </c>
      <c r="W1864">
        <v>0</v>
      </c>
      <c r="X1864">
        <v>0</v>
      </c>
    </row>
    <row r="1865" spans="1:24" x14ac:dyDescent="0.2">
      <c r="A1865">
        <v>20131100</v>
      </c>
      <c r="B1865" t="s">
        <v>1864</v>
      </c>
      <c r="C1865">
        <v>1100</v>
      </c>
      <c r="D1865">
        <v>1100</v>
      </c>
      <c r="E1865">
        <v>10000</v>
      </c>
      <c r="F1865">
        <v>78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20</v>
      </c>
      <c r="Q1865">
        <v>0</v>
      </c>
      <c r="R1865">
        <v>0</v>
      </c>
      <c r="S1865">
        <v>0</v>
      </c>
      <c r="T1865">
        <v>4</v>
      </c>
      <c r="U1865">
        <v>5</v>
      </c>
      <c r="V1865">
        <v>0</v>
      </c>
      <c r="W1865">
        <v>0</v>
      </c>
      <c r="X1865">
        <v>0</v>
      </c>
    </row>
    <row r="1866" spans="1:24" x14ac:dyDescent="0.2">
      <c r="A1866">
        <v>20131200</v>
      </c>
      <c r="B1866" t="s">
        <v>1865</v>
      </c>
      <c r="C1866">
        <v>1200</v>
      </c>
      <c r="D1866">
        <v>1200</v>
      </c>
      <c r="E1866">
        <v>10000</v>
      </c>
      <c r="F1866">
        <v>78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20</v>
      </c>
      <c r="Q1866">
        <v>0</v>
      </c>
      <c r="R1866">
        <v>0</v>
      </c>
      <c r="S1866">
        <v>0</v>
      </c>
      <c r="T1866">
        <v>4</v>
      </c>
      <c r="U1866">
        <v>5</v>
      </c>
      <c r="V1866">
        <v>0</v>
      </c>
      <c r="W1866">
        <v>0</v>
      </c>
      <c r="X1866">
        <v>0</v>
      </c>
    </row>
    <row r="1867" spans="1:24" x14ac:dyDescent="0.2">
      <c r="A1867">
        <v>20131300</v>
      </c>
      <c r="B1867" t="s">
        <v>1866</v>
      </c>
      <c r="C1867">
        <v>1300</v>
      </c>
      <c r="D1867">
        <v>1300</v>
      </c>
      <c r="E1867">
        <v>10000</v>
      </c>
      <c r="F1867">
        <v>78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20</v>
      </c>
      <c r="Q1867">
        <v>0</v>
      </c>
      <c r="R1867">
        <v>0</v>
      </c>
      <c r="S1867">
        <v>0</v>
      </c>
      <c r="T1867">
        <v>4</v>
      </c>
      <c r="U1867">
        <v>5</v>
      </c>
      <c r="V1867">
        <v>0</v>
      </c>
      <c r="W1867">
        <v>0</v>
      </c>
      <c r="X1867">
        <v>0</v>
      </c>
    </row>
    <row r="1868" spans="1:24" x14ac:dyDescent="0.2">
      <c r="A1868">
        <v>20131400</v>
      </c>
      <c r="B1868" t="s">
        <v>1867</v>
      </c>
      <c r="C1868">
        <v>1400</v>
      </c>
      <c r="D1868">
        <v>1400</v>
      </c>
      <c r="E1868">
        <v>10014</v>
      </c>
      <c r="F1868">
        <v>87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20</v>
      </c>
      <c r="Q1868">
        <v>0</v>
      </c>
      <c r="R1868">
        <v>0</v>
      </c>
      <c r="S1868">
        <v>20</v>
      </c>
      <c r="T1868">
        <v>4</v>
      </c>
      <c r="U1868">
        <v>5</v>
      </c>
      <c r="V1868">
        <v>0</v>
      </c>
      <c r="W1868">
        <v>0</v>
      </c>
      <c r="X1868">
        <v>0</v>
      </c>
    </row>
    <row r="1869" spans="1:24" x14ac:dyDescent="0.2">
      <c r="A1869">
        <v>20131500</v>
      </c>
      <c r="B1869" t="s">
        <v>1868</v>
      </c>
      <c r="C1869">
        <v>1500</v>
      </c>
      <c r="D1869">
        <v>1500</v>
      </c>
      <c r="E1869">
        <v>10015</v>
      </c>
      <c r="F1869">
        <v>78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20</v>
      </c>
      <c r="Q1869">
        <v>0</v>
      </c>
      <c r="R1869">
        <v>0</v>
      </c>
      <c r="S1869">
        <v>0</v>
      </c>
      <c r="T1869">
        <v>4</v>
      </c>
      <c r="U1869">
        <v>5</v>
      </c>
      <c r="V1869">
        <v>0</v>
      </c>
      <c r="W1869">
        <v>0</v>
      </c>
      <c r="X1869">
        <v>0</v>
      </c>
    </row>
    <row r="1870" spans="1:24" x14ac:dyDescent="0.2">
      <c r="A1870">
        <v>20150000</v>
      </c>
      <c r="B1870" t="s">
        <v>1869</v>
      </c>
      <c r="C1870">
        <v>2200</v>
      </c>
      <c r="D1870">
        <v>8300</v>
      </c>
      <c r="E1870">
        <v>10000</v>
      </c>
      <c r="F1870">
        <v>125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37</v>
      </c>
      <c r="Q1870">
        <v>0</v>
      </c>
      <c r="R1870">
        <v>0</v>
      </c>
      <c r="S1870">
        <v>0</v>
      </c>
      <c r="T1870">
        <v>8</v>
      </c>
      <c r="U1870">
        <v>40</v>
      </c>
      <c r="V1870">
        <v>0</v>
      </c>
      <c r="W1870">
        <v>0</v>
      </c>
      <c r="X1870">
        <v>0</v>
      </c>
    </row>
    <row r="1871" spans="1:24" x14ac:dyDescent="0.2">
      <c r="A1871">
        <v>20160000</v>
      </c>
      <c r="B1871" t="s">
        <v>1870</v>
      </c>
      <c r="C1871">
        <v>0</v>
      </c>
      <c r="D1871">
        <v>8000</v>
      </c>
      <c r="E1871">
        <v>10000</v>
      </c>
      <c r="F1871">
        <v>69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20</v>
      </c>
      <c r="Q1871">
        <v>0</v>
      </c>
      <c r="R1871">
        <v>0</v>
      </c>
      <c r="S1871">
        <v>0</v>
      </c>
      <c r="T1871">
        <v>4</v>
      </c>
      <c r="U1871">
        <v>8</v>
      </c>
      <c r="V1871">
        <v>11</v>
      </c>
      <c r="W1871">
        <v>0</v>
      </c>
      <c r="X1871">
        <v>0</v>
      </c>
    </row>
    <row r="1872" spans="1:24" x14ac:dyDescent="0.2">
      <c r="A1872">
        <v>20160100</v>
      </c>
      <c r="B1872" t="s">
        <v>1871</v>
      </c>
      <c r="C1872">
        <v>200</v>
      </c>
      <c r="D1872">
        <v>100</v>
      </c>
      <c r="E1872">
        <v>10000</v>
      </c>
      <c r="F1872">
        <v>69</v>
      </c>
      <c r="G1872">
        <v>0</v>
      </c>
      <c r="H1872">
        <v>0</v>
      </c>
      <c r="I1872">
        <v>0</v>
      </c>
      <c r="J1872">
        <v>0</v>
      </c>
      <c r="K1872">
        <v>1</v>
      </c>
      <c r="L1872">
        <v>0</v>
      </c>
      <c r="M1872">
        <v>0</v>
      </c>
      <c r="N1872">
        <v>0</v>
      </c>
      <c r="O1872">
        <v>0</v>
      </c>
      <c r="P1872">
        <v>20</v>
      </c>
      <c r="Q1872">
        <v>0</v>
      </c>
      <c r="R1872">
        <v>0</v>
      </c>
      <c r="S1872">
        <v>0</v>
      </c>
      <c r="T1872">
        <v>4</v>
      </c>
      <c r="U1872">
        <v>8</v>
      </c>
      <c r="V1872">
        <v>11</v>
      </c>
      <c r="W1872">
        <v>0</v>
      </c>
      <c r="X1872">
        <v>0</v>
      </c>
    </row>
    <row r="1873" spans="1:24" x14ac:dyDescent="0.2">
      <c r="A1873">
        <v>20160200</v>
      </c>
      <c r="B1873" t="s">
        <v>1872</v>
      </c>
      <c r="C1873">
        <v>100</v>
      </c>
      <c r="D1873">
        <v>200</v>
      </c>
      <c r="E1873">
        <v>10000</v>
      </c>
      <c r="F1873">
        <v>69</v>
      </c>
      <c r="G1873">
        <v>0</v>
      </c>
      <c r="H1873">
        <v>0</v>
      </c>
      <c r="I1873">
        <v>0</v>
      </c>
      <c r="J1873">
        <v>0</v>
      </c>
      <c r="K1873">
        <v>2</v>
      </c>
      <c r="L1873">
        <v>0</v>
      </c>
      <c r="M1873">
        <v>0</v>
      </c>
      <c r="N1873">
        <v>0</v>
      </c>
      <c r="O1873">
        <v>0</v>
      </c>
      <c r="P1873">
        <v>20</v>
      </c>
      <c r="Q1873">
        <v>0</v>
      </c>
      <c r="R1873">
        <v>0</v>
      </c>
      <c r="S1873">
        <v>0</v>
      </c>
      <c r="T1873">
        <v>4</v>
      </c>
      <c r="U1873">
        <v>8</v>
      </c>
      <c r="V1873">
        <v>11</v>
      </c>
      <c r="W1873">
        <v>0</v>
      </c>
      <c r="X1873">
        <v>0</v>
      </c>
    </row>
    <row r="1874" spans="1:24" x14ac:dyDescent="0.2">
      <c r="A1874">
        <v>20160300</v>
      </c>
      <c r="B1874" t="s">
        <v>1873</v>
      </c>
      <c r="C1874">
        <v>300</v>
      </c>
      <c r="D1874">
        <v>300</v>
      </c>
      <c r="E1874">
        <v>10000</v>
      </c>
      <c r="F1874">
        <v>69</v>
      </c>
      <c r="G1874">
        <v>0</v>
      </c>
      <c r="H1874">
        <v>0</v>
      </c>
      <c r="I1874">
        <v>0</v>
      </c>
      <c r="J1874">
        <v>0</v>
      </c>
      <c r="K1874">
        <v>8</v>
      </c>
      <c r="L1874">
        <v>0</v>
      </c>
      <c r="M1874">
        <v>0</v>
      </c>
      <c r="N1874">
        <v>0</v>
      </c>
      <c r="O1874">
        <v>0</v>
      </c>
      <c r="P1874">
        <v>20</v>
      </c>
      <c r="Q1874">
        <v>20</v>
      </c>
      <c r="R1874">
        <v>0</v>
      </c>
      <c r="S1874">
        <v>0</v>
      </c>
      <c r="T1874">
        <v>4</v>
      </c>
      <c r="U1874">
        <v>8</v>
      </c>
      <c r="V1874">
        <v>11</v>
      </c>
      <c r="W1874">
        <v>0</v>
      </c>
      <c r="X1874">
        <v>0</v>
      </c>
    </row>
    <row r="1875" spans="1:24" x14ac:dyDescent="0.2">
      <c r="A1875">
        <v>20160400</v>
      </c>
      <c r="B1875" t="s">
        <v>1874</v>
      </c>
      <c r="C1875">
        <v>500</v>
      </c>
      <c r="D1875">
        <v>500</v>
      </c>
      <c r="E1875">
        <v>10000</v>
      </c>
      <c r="F1875">
        <v>78</v>
      </c>
      <c r="G1875">
        <v>78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20</v>
      </c>
      <c r="Q1875">
        <v>0</v>
      </c>
      <c r="R1875">
        <v>20</v>
      </c>
      <c r="S1875">
        <v>0</v>
      </c>
      <c r="T1875">
        <v>4</v>
      </c>
      <c r="U1875">
        <v>8</v>
      </c>
      <c r="V1875">
        <v>11</v>
      </c>
      <c r="W1875">
        <v>0</v>
      </c>
      <c r="X1875">
        <v>0</v>
      </c>
    </row>
    <row r="1876" spans="1:24" x14ac:dyDescent="0.2">
      <c r="A1876">
        <v>20160500</v>
      </c>
      <c r="B1876" t="s">
        <v>1875</v>
      </c>
      <c r="C1876">
        <v>400</v>
      </c>
      <c r="D1876">
        <v>400</v>
      </c>
      <c r="E1876">
        <v>10000</v>
      </c>
      <c r="F1876">
        <v>78</v>
      </c>
      <c r="G1876">
        <v>78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20</v>
      </c>
      <c r="Q1876">
        <v>0</v>
      </c>
      <c r="R1876">
        <v>20</v>
      </c>
      <c r="S1876">
        <v>0</v>
      </c>
      <c r="T1876">
        <v>4</v>
      </c>
      <c r="U1876">
        <v>8</v>
      </c>
      <c r="V1876">
        <v>11</v>
      </c>
      <c r="W1876">
        <v>0</v>
      </c>
      <c r="X1876">
        <v>0</v>
      </c>
    </row>
    <row r="1877" spans="1:24" x14ac:dyDescent="0.2">
      <c r="A1877">
        <v>20160600</v>
      </c>
      <c r="B1877" t="s">
        <v>1876</v>
      </c>
      <c r="C1877">
        <v>600</v>
      </c>
      <c r="D1877">
        <v>600</v>
      </c>
      <c r="E1877">
        <v>10000</v>
      </c>
      <c r="F1877">
        <v>59</v>
      </c>
      <c r="G1877">
        <v>0</v>
      </c>
      <c r="H1877">
        <v>59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20</v>
      </c>
      <c r="Q1877">
        <v>0</v>
      </c>
      <c r="R1877">
        <v>0</v>
      </c>
      <c r="S1877">
        <v>0</v>
      </c>
      <c r="T1877">
        <v>4</v>
      </c>
      <c r="U1877">
        <v>8</v>
      </c>
      <c r="V1877">
        <v>11</v>
      </c>
      <c r="W1877">
        <v>0</v>
      </c>
      <c r="X1877">
        <v>0</v>
      </c>
    </row>
    <row r="1878" spans="1:24" x14ac:dyDescent="0.2">
      <c r="A1878">
        <v>20160700</v>
      </c>
      <c r="B1878" t="s">
        <v>1877</v>
      </c>
      <c r="C1878">
        <v>700</v>
      </c>
      <c r="D1878">
        <v>700</v>
      </c>
      <c r="E1878">
        <v>10000</v>
      </c>
      <c r="F1878">
        <v>78</v>
      </c>
      <c r="G1878">
        <v>0</v>
      </c>
      <c r="H1878">
        <v>78</v>
      </c>
      <c r="I1878">
        <v>0</v>
      </c>
      <c r="J1878">
        <v>0</v>
      </c>
      <c r="K1878">
        <v>0</v>
      </c>
      <c r="L1878">
        <v>0</v>
      </c>
      <c r="M1878">
        <v>4</v>
      </c>
      <c r="N1878">
        <v>0</v>
      </c>
      <c r="O1878">
        <v>0</v>
      </c>
      <c r="P1878">
        <v>20</v>
      </c>
      <c r="Q1878">
        <v>0</v>
      </c>
      <c r="R1878">
        <v>20</v>
      </c>
      <c r="S1878">
        <v>20</v>
      </c>
      <c r="T1878">
        <v>4</v>
      </c>
      <c r="U1878">
        <v>8</v>
      </c>
      <c r="V1878">
        <v>11</v>
      </c>
      <c r="W1878">
        <v>0</v>
      </c>
      <c r="X1878">
        <v>0</v>
      </c>
    </row>
    <row r="1879" spans="1:24" x14ac:dyDescent="0.2">
      <c r="A1879">
        <v>20160800</v>
      </c>
      <c r="B1879" t="s">
        <v>1878</v>
      </c>
      <c r="C1879">
        <v>800</v>
      </c>
      <c r="D1879">
        <v>800</v>
      </c>
      <c r="E1879">
        <v>10000</v>
      </c>
      <c r="F1879">
        <v>78</v>
      </c>
      <c r="G1879">
        <v>0</v>
      </c>
      <c r="H1879">
        <v>0</v>
      </c>
      <c r="I1879">
        <v>78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20</v>
      </c>
      <c r="Q1879">
        <v>0</v>
      </c>
      <c r="R1879">
        <v>0</v>
      </c>
      <c r="S1879">
        <v>20</v>
      </c>
      <c r="T1879">
        <v>4</v>
      </c>
      <c r="U1879">
        <v>8</v>
      </c>
      <c r="V1879">
        <v>11</v>
      </c>
      <c r="W1879">
        <v>0</v>
      </c>
      <c r="X1879">
        <v>0</v>
      </c>
    </row>
    <row r="1880" spans="1:24" x14ac:dyDescent="0.2">
      <c r="A1880">
        <v>20160900</v>
      </c>
      <c r="B1880" t="s">
        <v>1879</v>
      </c>
      <c r="C1880">
        <v>900</v>
      </c>
      <c r="D1880">
        <v>900</v>
      </c>
      <c r="E1880">
        <v>10000</v>
      </c>
      <c r="F1880">
        <v>59</v>
      </c>
      <c r="G1880">
        <v>0</v>
      </c>
      <c r="H1880">
        <v>0</v>
      </c>
      <c r="I1880">
        <v>0</v>
      </c>
      <c r="J1880">
        <v>59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20</v>
      </c>
      <c r="Q1880">
        <v>0</v>
      </c>
      <c r="R1880">
        <v>0</v>
      </c>
      <c r="S1880">
        <v>0</v>
      </c>
      <c r="T1880">
        <v>4</v>
      </c>
      <c r="U1880">
        <v>8</v>
      </c>
      <c r="V1880">
        <v>11</v>
      </c>
      <c r="W1880">
        <v>0</v>
      </c>
      <c r="X1880">
        <v>0</v>
      </c>
    </row>
    <row r="1881" spans="1:24" x14ac:dyDescent="0.2">
      <c r="A1881">
        <v>20161000</v>
      </c>
      <c r="B1881" t="s">
        <v>1880</v>
      </c>
      <c r="C1881">
        <v>1000</v>
      </c>
      <c r="D1881">
        <v>1000</v>
      </c>
      <c r="E1881">
        <v>10000</v>
      </c>
      <c r="F1881">
        <v>78</v>
      </c>
      <c r="G1881">
        <v>0</v>
      </c>
      <c r="H1881">
        <v>0</v>
      </c>
      <c r="I1881">
        <v>0</v>
      </c>
      <c r="J1881">
        <v>78</v>
      </c>
      <c r="K1881">
        <v>0</v>
      </c>
      <c r="L1881">
        <v>0</v>
      </c>
      <c r="M1881">
        <v>0</v>
      </c>
      <c r="N1881">
        <v>0</v>
      </c>
      <c r="O1881">
        <v>4</v>
      </c>
      <c r="P1881">
        <v>20</v>
      </c>
      <c r="Q1881">
        <v>0</v>
      </c>
      <c r="R1881">
        <v>20</v>
      </c>
      <c r="S1881">
        <v>20</v>
      </c>
      <c r="T1881">
        <v>4</v>
      </c>
      <c r="U1881">
        <v>8</v>
      </c>
      <c r="V1881">
        <v>11</v>
      </c>
      <c r="W1881">
        <v>0</v>
      </c>
      <c r="X1881">
        <v>0</v>
      </c>
    </row>
    <row r="1882" spans="1:24" x14ac:dyDescent="0.2">
      <c r="A1882">
        <v>20161100</v>
      </c>
      <c r="B1882" t="s">
        <v>1881</v>
      </c>
      <c r="C1882">
        <v>1100</v>
      </c>
      <c r="D1882">
        <v>1100</v>
      </c>
      <c r="E1882">
        <v>10000</v>
      </c>
      <c r="F1882">
        <v>69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20</v>
      </c>
      <c r="Q1882">
        <v>0</v>
      </c>
      <c r="R1882">
        <v>0</v>
      </c>
      <c r="S1882">
        <v>0</v>
      </c>
      <c r="T1882">
        <v>4</v>
      </c>
      <c r="U1882">
        <v>8</v>
      </c>
      <c r="V1882">
        <v>11</v>
      </c>
      <c r="W1882">
        <v>0</v>
      </c>
      <c r="X1882">
        <v>0</v>
      </c>
    </row>
    <row r="1883" spans="1:24" x14ac:dyDescent="0.2">
      <c r="A1883">
        <v>20161200</v>
      </c>
      <c r="B1883" t="s">
        <v>1882</v>
      </c>
      <c r="C1883">
        <v>1200</v>
      </c>
      <c r="D1883">
        <v>1200</v>
      </c>
      <c r="E1883">
        <v>10000</v>
      </c>
      <c r="F1883">
        <v>69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20</v>
      </c>
      <c r="Q1883">
        <v>0</v>
      </c>
      <c r="R1883">
        <v>0</v>
      </c>
      <c r="S1883">
        <v>0</v>
      </c>
      <c r="T1883">
        <v>4</v>
      </c>
      <c r="U1883">
        <v>8</v>
      </c>
      <c r="V1883">
        <v>11</v>
      </c>
      <c r="W1883">
        <v>0</v>
      </c>
      <c r="X1883">
        <v>0</v>
      </c>
    </row>
    <row r="1884" spans="1:24" x14ac:dyDescent="0.2">
      <c r="A1884">
        <v>20161300</v>
      </c>
      <c r="B1884" t="s">
        <v>1883</v>
      </c>
      <c r="C1884">
        <v>1300</v>
      </c>
      <c r="D1884">
        <v>1300</v>
      </c>
      <c r="E1884">
        <v>10000</v>
      </c>
      <c r="F1884">
        <v>69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20</v>
      </c>
      <c r="Q1884">
        <v>0</v>
      </c>
      <c r="R1884">
        <v>0</v>
      </c>
      <c r="S1884">
        <v>0</v>
      </c>
      <c r="T1884">
        <v>4</v>
      </c>
      <c r="U1884">
        <v>8</v>
      </c>
      <c r="V1884">
        <v>11</v>
      </c>
      <c r="W1884">
        <v>0</v>
      </c>
      <c r="X1884">
        <v>0</v>
      </c>
    </row>
    <row r="1885" spans="1:24" x14ac:dyDescent="0.2">
      <c r="A1885">
        <v>20161400</v>
      </c>
      <c r="B1885" t="s">
        <v>1884</v>
      </c>
      <c r="C1885">
        <v>1400</v>
      </c>
      <c r="D1885">
        <v>1400</v>
      </c>
      <c r="E1885">
        <v>10014</v>
      </c>
      <c r="F1885">
        <v>78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20</v>
      </c>
      <c r="Q1885">
        <v>0</v>
      </c>
      <c r="R1885">
        <v>0</v>
      </c>
      <c r="S1885">
        <v>20</v>
      </c>
      <c r="T1885">
        <v>4</v>
      </c>
      <c r="U1885">
        <v>8</v>
      </c>
      <c r="V1885">
        <v>11</v>
      </c>
      <c r="W1885">
        <v>0</v>
      </c>
      <c r="X1885">
        <v>0</v>
      </c>
    </row>
    <row r="1886" spans="1:24" x14ac:dyDescent="0.2">
      <c r="A1886">
        <v>20161500</v>
      </c>
      <c r="B1886" t="s">
        <v>1885</v>
      </c>
      <c r="C1886">
        <v>1500</v>
      </c>
      <c r="D1886">
        <v>1500</v>
      </c>
      <c r="E1886">
        <v>10015</v>
      </c>
      <c r="F1886">
        <v>69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20</v>
      </c>
      <c r="Q1886">
        <v>0</v>
      </c>
      <c r="R1886">
        <v>0</v>
      </c>
      <c r="S1886">
        <v>0</v>
      </c>
      <c r="T1886">
        <v>4</v>
      </c>
      <c r="U1886">
        <v>8</v>
      </c>
      <c r="V1886">
        <v>11</v>
      </c>
      <c r="W1886">
        <v>0</v>
      </c>
      <c r="X1886">
        <v>0</v>
      </c>
    </row>
    <row r="1887" spans="1:24" x14ac:dyDescent="0.2">
      <c r="A1887">
        <v>20170000</v>
      </c>
      <c r="B1887" t="s">
        <v>1886</v>
      </c>
      <c r="C1887">
        <v>0</v>
      </c>
      <c r="D1887">
        <v>8000</v>
      </c>
      <c r="E1887">
        <v>10000</v>
      </c>
      <c r="F1887">
        <v>69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20</v>
      </c>
      <c r="Q1887">
        <v>0</v>
      </c>
      <c r="R1887">
        <v>0</v>
      </c>
      <c r="S1887">
        <v>0</v>
      </c>
      <c r="T1887">
        <v>4</v>
      </c>
      <c r="U1887">
        <v>8</v>
      </c>
      <c r="V1887">
        <v>0</v>
      </c>
      <c r="W1887">
        <v>0</v>
      </c>
      <c r="X1887">
        <v>0</v>
      </c>
    </row>
    <row r="1888" spans="1:24" x14ac:dyDescent="0.2">
      <c r="A1888">
        <v>20170100</v>
      </c>
      <c r="B1888" t="s">
        <v>1887</v>
      </c>
      <c r="C1888">
        <v>200</v>
      </c>
      <c r="D1888">
        <v>100</v>
      </c>
      <c r="E1888">
        <v>10000</v>
      </c>
      <c r="F1888">
        <v>69</v>
      </c>
      <c r="G1888">
        <v>0</v>
      </c>
      <c r="H1888">
        <v>0</v>
      </c>
      <c r="I1888">
        <v>0</v>
      </c>
      <c r="J1888">
        <v>0</v>
      </c>
      <c r="K1888">
        <v>1</v>
      </c>
      <c r="L1888">
        <v>0</v>
      </c>
      <c r="M1888">
        <v>0</v>
      </c>
      <c r="N1888">
        <v>0</v>
      </c>
      <c r="O1888">
        <v>0</v>
      </c>
      <c r="P1888">
        <v>20</v>
      </c>
      <c r="Q1888">
        <v>0</v>
      </c>
      <c r="R1888">
        <v>0</v>
      </c>
      <c r="S1888">
        <v>0</v>
      </c>
      <c r="T1888">
        <v>4</v>
      </c>
      <c r="U1888">
        <v>8</v>
      </c>
      <c r="V1888">
        <v>0</v>
      </c>
      <c r="W1888">
        <v>0</v>
      </c>
      <c r="X1888">
        <v>0</v>
      </c>
    </row>
    <row r="1889" spans="1:24" x14ac:dyDescent="0.2">
      <c r="A1889">
        <v>20170200</v>
      </c>
      <c r="B1889" t="s">
        <v>1888</v>
      </c>
      <c r="C1889">
        <v>100</v>
      </c>
      <c r="D1889">
        <v>200</v>
      </c>
      <c r="E1889">
        <v>10000</v>
      </c>
      <c r="F1889">
        <v>69</v>
      </c>
      <c r="G1889">
        <v>0</v>
      </c>
      <c r="H1889">
        <v>0</v>
      </c>
      <c r="I1889">
        <v>0</v>
      </c>
      <c r="J1889">
        <v>0</v>
      </c>
      <c r="K1889">
        <v>1</v>
      </c>
      <c r="L1889">
        <v>0</v>
      </c>
      <c r="M1889">
        <v>0</v>
      </c>
      <c r="N1889">
        <v>0</v>
      </c>
      <c r="O1889">
        <v>0</v>
      </c>
      <c r="P1889">
        <v>20</v>
      </c>
      <c r="Q1889">
        <v>0</v>
      </c>
      <c r="R1889">
        <v>0</v>
      </c>
      <c r="S1889">
        <v>0</v>
      </c>
      <c r="T1889">
        <v>4</v>
      </c>
      <c r="U1889">
        <v>8</v>
      </c>
      <c r="V1889">
        <v>0</v>
      </c>
      <c r="W1889">
        <v>0</v>
      </c>
      <c r="X1889">
        <v>0</v>
      </c>
    </row>
    <row r="1890" spans="1:24" x14ac:dyDescent="0.2">
      <c r="A1890">
        <v>20170300</v>
      </c>
      <c r="B1890" t="s">
        <v>1889</v>
      </c>
      <c r="C1890">
        <v>300</v>
      </c>
      <c r="D1890">
        <v>300</v>
      </c>
      <c r="E1890">
        <v>10000</v>
      </c>
      <c r="F1890">
        <v>69</v>
      </c>
      <c r="G1890">
        <v>0</v>
      </c>
      <c r="H1890">
        <v>0</v>
      </c>
      <c r="I1890">
        <v>0</v>
      </c>
      <c r="J1890">
        <v>0</v>
      </c>
      <c r="K1890">
        <v>8</v>
      </c>
      <c r="L1890">
        <v>0</v>
      </c>
      <c r="M1890">
        <v>0</v>
      </c>
      <c r="N1890">
        <v>0</v>
      </c>
      <c r="O1890">
        <v>0</v>
      </c>
      <c r="P1890">
        <v>20</v>
      </c>
      <c r="Q1890">
        <v>20</v>
      </c>
      <c r="R1890">
        <v>0</v>
      </c>
      <c r="S1890">
        <v>0</v>
      </c>
      <c r="T1890">
        <v>4</v>
      </c>
      <c r="U1890">
        <v>8</v>
      </c>
      <c r="V1890">
        <v>0</v>
      </c>
      <c r="W1890">
        <v>0</v>
      </c>
      <c r="X1890">
        <v>0</v>
      </c>
    </row>
    <row r="1891" spans="1:24" x14ac:dyDescent="0.2">
      <c r="A1891">
        <v>20170400</v>
      </c>
      <c r="B1891" t="s">
        <v>1890</v>
      </c>
      <c r="C1891">
        <v>500</v>
      </c>
      <c r="D1891">
        <v>500</v>
      </c>
      <c r="E1891">
        <v>10000</v>
      </c>
      <c r="F1891">
        <v>78</v>
      </c>
      <c r="G1891">
        <v>78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20</v>
      </c>
      <c r="Q1891">
        <v>0</v>
      </c>
      <c r="R1891">
        <v>20</v>
      </c>
      <c r="S1891">
        <v>0</v>
      </c>
      <c r="T1891">
        <v>4</v>
      </c>
      <c r="U1891">
        <v>8</v>
      </c>
      <c r="V1891">
        <v>0</v>
      </c>
      <c r="W1891">
        <v>0</v>
      </c>
      <c r="X1891">
        <v>0</v>
      </c>
    </row>
    <row r="1892" spans="1:24" x14ac:dyDescent="0.2">
      <c r="A1892">
        <v>20170500</v>
      </c>
      <c r="B1892" t="s">
        <v>1891</v>
      </c>
      <c r="C1892">
        <v>400</v>
      </c>
      <c r="D1892">
        <v>400</v>
      </c>
      <c r="E1892">
        <v>10000</v>
      </c>
      <c r="F1892">
        <v>78</v>
      </c>
      <c r="G1892">
        <v>78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20</v>
      </c>
      <c r="Q1892">
        <v>0</v>
      </c>
      <c r="R1892">
        <v>20</v>
      </c>
      <c r="S1892">
        <v>0</v>
      </c>
      <c r="T1892">
        <v>4</v>
      </c>
      <c r="U1892">
        <v>8</v>
      </c>
      <c r="V1892">
        <v>0</v>
      </c>
      <c r="W1892">
        <v>0</v>
      </c>
      <c r="X1892">
        <v>0</v>
      </c>
    </row>
    <row r="1893" spans="1:24" x14ac:dyDescent="0.2">
      <c r="A1893">
        <v>20170600</v>
      </c>
      <c r="B1893" t="s">
        <v>1892</v>
      </c>
      <c r="C1893">
        <v>600</v>
      </c>
      <c r="D1893">
        <v>600</v>
      </c>
      <c r="E1893">
        <v>10000</v>
      </c>
      <c r="F1893">
        <v>59</v>
      </c>
      <c r="G1893">
        <v>0</v>
      </c>
      <c r="H1893">
        <v>59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20</v>
      </c>
      <c r="Q1893">
        <v>0</v>
      </c>
      <c r="R1893">
        <v>0</v>
      </c>
      <c r="S1893">
        <v>0</v>
      </c>
      <c r="T1893">
        <v>4</v>
      </c>
      <c r="U1893">
        <v>8</v>
      </c>
      <c r="V1893">
        <v>0</v>
      </c>
      <c r="W1893">
        <v>0</v>
      </c>
      <c r="X1893">
        <v>0</v>
      </c>
    </row>
    <row r="1894" spans="1:24" x14ac:dyDescent="0.2">
      <c r="A1894">
        <v>20170700</v>
      </c>
      <c r="B1894" t="s">
        <v>1893</v>
      </c>
      <c r="C1894">
        <v>700</v>
      </c>
      <c r="D1894">
        <v>700</v>
      </c>
      <c r="E1894">
        <v>10000</v>
      </c>
      <c r="F1894">
        <v>78</v>
      </c>
      <c r="G1894">
        <v>0</v>
      </c>
      <c r="H1894">
        <v>78</v>
      </c>
      <c r="I1894">
        <v>0</v>
      </c>
      <c r="J1894">
        <v>0</v>
      </c>
      <c r="K1894">
        <v>0</v>
      </c>
      <c r="L1894">
        <v>0</v>
      </c>
      <c r="M1894">
        <v>4</v>
      </c>
      <c r="N1894">
        <v>0</v>
      </c>
      <c r="O1894">
        <v>0</v>
      </c>
      <c r="P1894">
        <v>20</v>
      </c>
      <c r="Q1894">
        <v>0</v>
      </c>
      <c r="R1894">
        <v>20</v>
      </c>
      <c r="S1894">
        <v>20</v>
      </c>
      <c r="T1894">
        <v>4</v>
      </c>
      <c r="U1894">
        <v>8</v>
      </c>
      <c r="V1894">
        <v>0</v>
      </c>
      <c r="W1894">
        <v>0</v>
      </c>
      <c r="X1894">
        <v>0</v>
      </c>
    </row>
    <row r="1895" spans="1:24" x14ac:dyDescent="0.2">
      <c r="A1895">
        <v>20170800</v>
      </c>
      <c r="B1895" t="s">
        <v>1894</v>
      </c>
      <c r="C1895">
        <v>800</v>
      </c>
      <c r="D1895">
        <v>800</v>
      </c>
      <c r="E1895">
        <v>10000</v>
      </c>
      <c r="F1895">
        <v>78</v>
      </c>
      <c r="G1895">
        <v>0</v>
      </c>
      <c r="H1895">
        <v>0</v>
      </c>
      <c r="I1895">
        <v>78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20</v>
      </c>
      <c r="Q1895">
        <v>0</v>
      </c>
      <c r="R1895">
        <v>0</v>
      </c>
      <c r="S1895">
        <v>20</v>
      </c>
      <c r="T1895">
        <v>4</v>
      </c>
      <c r="U1895">
        <v>8</v>
      </c>
      <c r="V1895">
        <v>0</v>
      </c>
      <c r="W1895">
        <v>0</v>
      </c>
      <c r="X1895">
        <v>0</v>
      </c>
    </row>
    <row r="1896" spans="1:24" x14ac:dyDescent="0.2">
      <c r="A1896">
        <v>20170900</v>
      </c>
      <c r="B1896" t="s">
        <v>1895</v>
      </c>
      <c r="C1896">
        <v>900</v>
      </c>
      <c r="D1896">
        <v>900</v>
      </c>
      <c r="E1896">
        <v>10000</v>
      </c>
      <c r="F1896">
        <v>59</v>
      </c>
      <c r="G1896">
        <v>0</v>
      </c>
      <c r="H1896">
        <v>0</v>
      </c>
      <c r="I1896">
        <v>0</v>
      </c>
      <c r="J1896">
        <v>59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20</v>
      </c>
      <c r="Q1896">
        <v>0</v>
      </c>
      <c r="R1896">
        <v>0</v>
      </c>
      <c r="S1896">
        <v>0</v>
      </c>
      <c r="T1896">
        <v>4</v>
      </c>
      <c r="U1896">
        <v>8</v>
      </c>
      <c r="V1896">
        <v>0</v>
      </c>
      <c r="W1896">
        <v>0</v>
      </c>
      <c r="X1896">
        <v>0</v>
      </c>
    </row>
    <row r="1897" spans="1:24" x14ac:dyDescent="0.2">
      <c r="A1897">
        <v>20171000</v>
      </c>
      <c r="B1897" t="s">
        <v>1896</v>
      </c>
      <c r="C1897">
        <v>1000</v>
      </c>
      <c r="D1897">
        <v>1000</v>
      </c>
      <c r="E1897">
        <v>10000</v>
      </c>
      <c r="F1897">
        <v>78</v>
      </c>
      <c r="G1897">
        <v>0</v>
      </c>
      <c r="H1897">
        <v>0</v>
      </c>
      <c r="I1897">
        <v>0</v>
      </c>
      <c r="J1897">
        <v>78</v>
      </c>
      <c r="K1897">
        <v>0</v>
      </c>
      <c r="L1897">
        <v>0</v>
      </c>
      <c r="M1897">
        <v>0</v>
      </c>
      <c r="N1897">
        <v>0</v>
      </c>
      <c r="O1897">
        <v>4</v>
      </c>
      <c r="P1897">
        <v>20</v>
      </c>
      <c r="Q1897">
        <v>0</v>
      </c>
      <c r="R1897">
        <v>20</v>
      </c>
      <c r="S1897">
        <v>20</v>
      </c>
      <c r="T1897">
        <v>4</v>
      </c>
      <c r="U1897">
        <v>8</v>
      </c>
      <c r="V1897">
        <v>0</v>
      </c>
      <c r="W1897">
        <v>0</v>
      </c>
      <c r="X1897">
        <v>0</v>
      </c>
    </row>
    <row r="1898" spans="1:24" x14ac:dyDescent="0.2">
      <c r="A1898">
        <v>20171100</v>
      </c>
      <c r="B1898" t="s">
        <v>1897</v>
      </c>
      <c r="C1898">
        <v>1100</v>
      </c>
      <c r="D1898">
        <v>1100</v>
      </c>
      <c r="E1898">
        <v>10000</v>
      </c>
      <c r="F1898">
        <v>69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20</v>
      </c>
      <c r="Q1898">
        <v>0</v>
      </c>
      <c r="R1898">
        <v>0</v>
      </c>
      <c r="S1898">
        <v>0</v>
      </c>
      <c r="T1898">
        <v>4</v>
      </c>
      <c r="U1898">
        <v>8</v>
      </c>
      <c r="V1898">
        <v>0</v>
      </c>
      <c r="W1898">
        <v>0</v>
      </c>
      <c r="X1898">
        <v>0</v>
      </c>
    </row>
    <row r="1899" spans="1:24" x14ac:dyDescent="0.2">
      <c r="A1899">
        <v>20171200</v>
      </c>
      <c r="B1899" t="s">
        <v>1898</v>
      </c>
      <c r="C1899">
        <v>1200</v>
      </c>
      <c r="D1899">
        <v>1200</v>
      </c>
      <c r="E1899">
        <v>10000</v>
      </c>
      <c r="F1899">
        <v>69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20</v>
      </c>
      <c r="Q1899">
        <v>0</v>
      </c>
      <c r="R1899">
        <v>0</v>
      </c>
      <c r="S1899">
        <v>0</v>
      </c>
      <c r="T1899">
        <v>4</v>
      </c>
      <c r="U1899">
        <v>8</v>
      </c>
      <c r="V1899">
        <v>0</v>
      </c>
      <c r="W1899">
        <v>0</v>
      </c>
      <c r="X1899">
        <v>0</v>
      </c>
    </row>
    <row r="1900" spans="1:24" x14ac:dyDescent="0.2">
      <c r="A1900">
        <v>20171300</v>
      </c>
      <c r="B1900" t="s">
        <v>1899</v>
      </c>
      <c r="C1900">
        <v>1300</v>
      </c>
      <c r="D1900">
        <v>1300</v>
      </c>
      <c r="E1900">
        <v>10000</v>
      </c>
      <c r="F1900">
        <v>69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20</v>
      </c>
      <c r="Q1900">
        <v>0</v>
      </c>
      <c r="R1900">
        <v>0</v>
      </c>
      <c r="S1900">
        <v>0</v>
      </c>
      <c r="T1900">
        <v>4</v>
      </c>
      <c r="U1900">
        <v>8</v>
      </c>
      <c r="V1900">
        <v>0</v>
      </c>
      <c r="W1900">
        <v>0</v>
      </c>
      <c r="X1900">
        <v>0</v>
      </c>
    </row>
    <row r="1901" spans="1:24" x14ac:dyDescent="0.2">
      <c r="A1901">
        <v>20171400</v>
      </c>
      <c r="B1901" t="s">
        <v>1900</v>
      </c>
      <c r="C1901">
        <v>1400</v>
      </c>
      <c r="D1901">
        <v>1400</v>
      </c>
      <c r="E1901">
        <v>10014</v>
      </c>
      <c r="F1901">
        <v>78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20</v>
      </c>
      <c r="Q1901">
        <v>0</v>
      </c>
      <c r="R1901">
        <v>0</v>
      </c>
      <c r="S1901">
        <v>20</v>
      </c>
      <c r="T1901">
        <v>4</v>
      </c>
      <c r="U1901">
        <v>8</v>
      </c>
      <c r="V1901">
        <v>0</v>
      </c>
      <c r="W1901">
        <v>0</v>
      </c>
      <c r="X1901">
        <v>0</v>
      </c>
    </row>
    <row r="1902" spans="1:24" x14ac:dyDescent="0.2">
      <c r="A1902">
        <v>20171500</v>
      </c>
      <c r="B1902" t="s">
        <v>1901</v>
      </c>
      <c r="C1902">
        <v>1500</v>
      </c>
      <c r="D1902">
        <v>1500</v>
      </c>
      <c r="E1902">
        <v>10015</v>
      </c>
      <c r="F1902">
        <v>69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20</v>
      </c>
      <c r="Q1902">
        <v>0</v>
      </c>
      <c r="R1902">
        <v>0</v>
      </c>
      <c r="S1902">
        <v>0</v>
      </c>
      <c r="T1902">
        <v>4</v>
      </c>
      <c r="U1902">
        <v>8</v>
      </c>
      <c r="V1902">
        <v>0</v>
      </c>
      <c r="W1902">
        <v>0</v>
      </c>
      <c r="X1902">
        <v>0</v>
      </c>
    </row>
    <row r="1903" spans="1:24" x14ac:dyDescent="0.2">
      <c r="A1903">
        <v>20180000</v>
      </c>
      <c r="B1903" t="s">
        <v>1902</v>
      </c>
      <c r="C1903">
        <v>0</v>
      </c>
      <c r="D1903">
        <v>8000</v>
      </c>
      <c r="E1903">
        <v>10000</v>
      </c>
      <c r="F1903">
        <v>74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20</v>
      </c>
      <c r="Q1903">
        <v>0</v>
      </c>
      <c r="R1903">
        <v>0</v>
      </c>
      <c r="S1903">
        <v>0</v>
      </c>
      <c r="T1903">
        <v>4</v>
      </c>
      <c r="U1903">
        <v>10</v>
      </c>
      <c r="V1903">
        <v>0</v>
      </c>
      <c r="W1903">
        <v>0</v>
      </c>
      <c r="X1903">
        <v>0</v>
      </c>
    </row>
    <row r="1904" spans="1:24" x14ac:dyDescent="0.2">
      <c r="A1904">
        <v>20180100</v>
      </c>
      <c r="B1904" t="s">
        <v>1903</v>
      </c>
      <c r="C1904">
        <v>200</v>
      </c>
      <c r="D1904">
        <v>100</v>
      </c>
      <c r="E1904">
        <v>10000</v>
      </c>
      <c r="F1904">
        <v>74</v>
      </c>
      <c r="G1904">
        <v>0</v>
      </c>
      <c r="H1904">
        <v>0</v>
      </c>
      <c r="I1904">
        <v>0</v>
      </c>
      <c r="J1904">
        <v>0</v>
      </c>
      <c r="K1904">
        <v>1</v>
      </c>
      <c r="L1904">
        <v>0</v>
      </c>
      <c r="M1904">
        <v>0</v>
      </c>
      <c r="N1904">
        <v>0</v>
      </c>
      <c r="O1904">
        <v>0</v>
      </c>
      <c r="P1904">
        <v>20</v>
      </c>
      <c r="Q1904">
        <v>0</v>
      </c>
      <c r="R1904">
        <v>0</v>
      </c>
      <c r="S1904">
        <v>0</v>
      </c>
      <c r="T1904">
        <v>4</v>
      </c>
      <c r="U1904">
        <v>10</v>
      </c>
      <c r="V1904">
        <v>0</v>
      </c>
      <c r="W1904">
        <v>0</v>
      </c>
      <c r="X1904">
        <v>0</v>
      </c>
    </row>
    <row r="1905" spans="1:24" x14ac:dyDescent="0.2">
      <c r="A1905">
        <v>20180200</v>
      </c>
      <c r="B1905" t="s">
        <v>1904</v>
      </c>
      <c r="C1905">
        <v>100</v>
      </c>
      <c r="D1905">
        <v>200</v>
      </c>
      <c r="E1905">
        <v>10000</v>
      </c>
      <c r="F1905">
        <v>74</v>
      </c>
      <c r="G1905">
        <v>0</v>
      </c>
      <c r="H1905">
        <v>0</v>
      </c>
      <c r="I1905">
        <v>0</v>
      </c>
      <c r="J1905">
        <v>0</v>
      </c>
      <c r="K1905">
        <v>1</v>
      </c>
      <c r="L1905">
        <v>0</v>
      </c>
      <c r="M1905">
        <v>0</v>
      </c>
      <c r="N1905">
        <v>0</v>
      </c>
      <c r="O1905">
        <v>0</v>
      </c>
      <c r="P1905">
        <v>20</v>
      </c>
      <c r="Q1905">
        <v>0</v>
      </c>
      <c r="R1905">
        <v>0</v>
      </c>
      <c r="S1905">
        <v>0</v>
      </c>
      <c r="T1905">
        <v>4</v>
      </c>
      <c r="U1905">
        <v>10</v>
      </c>
      <c r="V1905">
        <v>0</v>
      </c>
      <c r="W1905">
        <v>0</v>
      </c>
      <c r="X1905">
        <v>0</v>
      </c>
    </row>
    <row r="1906" spans="1:24" x14ac:dyDescent="0.2">
      <c r="A1906">
        <v>20180300</v>
      </c>
      <c r="B1906" t="s">
        <v>1905</v>
      </c>
      <c r="C1906">
        <v>300</v>
      </c>
      <c r="D1906">
        <v>300</v>
      </c>
      <c r="E1906">
        <v>10000</v>
      </c>
      <c r="F1906">
        <v>74</v>
      </c>
      <c r="G1906">
        <v>0</v>
      </c>
      <c r="H1906">
        <v>0</v>
      </c>
      <c r="I1906">
        <v>0</v>
      </c>
      <c r="J1906">
        <v>0</v>
      </c>
      <c r="K1906">
        <v>8</v>
      </c>
      <c r="L1906">
        <v>0</v>
      </c>
      <c r="M1906">
        <v>0</v>
      </c>
      <c r="N1906">
        <v>0</v>
      </c>
      <c r="O1906">
        <v>0</v>
      </c>
      <c r="P1906">
        <v>20</v>
      </c>
      <c r="Q1906">
        <v>20</v>
      </c>
      <c r="R1906">
        <v>0</v>
      </c>
      <c r="S1906">
        <v>0</v>
      </c>
      <c r="T1906">
        <v>4</v>
      </c>
      <c r="U1906">
        <v>10</v>
      </c>
      <c r="V1906">
        <v>0</v>
      </c>
      <c r="W1906">
        <v>0</v>
      </c>
      <c r="X1906">
        <v>0</v>
      </c>
    </row>
    <row r="1907" spans="1:24" x14ac:dyDescent="0.2">
      <c r="A1907">
        <v>20180400</v>
      </c>
      <c r="B1907" t="s">
        <v>1906</v>
      </c>
      <c r="C1907">
        <v>500</v>
      </c>
      <c r="D1907">
        <v>500</v>
      </c>
      <c r="E1907">
        <v>10000</v>
      </c>
      <c r="F1907">
        <v>83</v>
      </c>
      <c r="G1907">
        <v>83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20</v>
      </c>
      <c r="Q1907">
        <v>0</v>
      </c>
      <c r="R1907">
        <v>20</v>
      </c>
      <c r="S1907">
        <v>0</v>
      </c>
      <c r="T1907">
        <v>4</v>
      </c>
      <c r="U1907">
        <v>10</v>
      </c>
      <c r="V1907">
        <v>0</v>
      </c>
      <c r="W1907">
        <v>0</v>
      </c>
      <c r="X1907">
        <v>0</v>
      </c>
    </row>
    <row r="1908" spans="1:24" x14ac:dyDescent="0.2">
      <c r="A1908">
        <v>20180500</v>
      </c>
      <c r="B1908" t="s">
        <v>1907</v>
      </c>
      <c r="C1908">
        <v>400</v>
      </c>
      <c r="D1908">
        <v>400</v>
      </c>
      <c r="E1908">
        <v>10000</v>
      </c>
      <c r="F1908">
        <v>83</v>
      </c>
      <c r="G1908">
        <v>83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20</v>
      </c>
      <c r="Q1908">
        <v>0</v>
      </c>
      <c r="R1908">
        <v>20</v>
      </c>
      <c r="S1908">
        <v>0</v>
      </c>
      <c r="T1908">
        <v>4</v>
      </c>
      <c r="U1908">
        <v>10</v>
      </c>
      <c r="V1908">
        <v>0</v>
      </c>
      <c r="W1908">
        <v>0</v>
      </c>
      <c r="X1908">
        <v>0</v>
      </c>
    </row>
    <row r="1909" spans="1:24" x14ac:dyDescent="0.2">
      <c r="A1909">
        <v>20180600</v>
      </c>
      <c r="B1909" t="s">
        <v>1908</v>
      </c>
      <c r="C1909">
        <v>600</v>
      </c>
      <c r="D1909">
        <v>600</v>
      </c>
      <c r="E1909">
        <v>10000</v>
      </c>
      <c r="F1909">
        <v>64</v>
      </c>
      <c r="G1909">
        <v>0</v>
      </c>
      <c r="H1909">
        <v>64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20</v>
      </c>
      <c r="Q1909">
        <v>0</v>
      </c>
      <c r="R1909">
        <v>0</v>
      </c>
      <c r="S1909">
        <v>0</v>
      </c>
      <c r="T1909">
        <v>4</v>
      </c>
      <c r="U1909">
        <v>10</v>
      </c>
      <c r="V1909">
        <v>0</v>
      </c>
      <c r="W1909">
        <v>0</v>
      </c>
      <c r="X1909">
        <v>0</v>
      </c>
    </row>
    <row r="1910" spans="1:24" x14ac:dyDescent="0.2">
      <c r="A1910">
        <v>20180700</v>
      </c>
      <c r="B1910" t="s">
        <v>1909</v>
      </c>
      <c r="C1910">
        <v>700</v>
      </c>
      <c r="D1910">
        <v>700</v>
      </c>
      <c r="E1910">
        <v>10000</v>
      </c>
      <c r="F1910">
        <v>83</v>
      </c>
      <c r="G1910">
        <v>0</v>
      </c>
      <c r="H1910">
        <v>83</v>
      </c>
      <c r="I1910">
        <v>0</v>
      </c>
      <c r="J1910">
        <v>0</v>
      </c>
      <c r="K1910">
        <v>0</v>
      </c>
      <c r="L1910">
        <v>0</v>
      </c>
      <c r="M1910">
        <v>4</v>
      </c>
      <c r="N1910">
        <v>0</v>
      </c>
      <c r="O1910">
        <v>0</v>
      </c>
      <c r="P1910">
        <v>20</v>
      </c>
      <c r="Q1910">
        <v>0</v>
      </c>
      <c r="R1910">
        <v>20</v>
      </c>
      <c r="S1910">
        <v>20</v>
      </c>
      <c r="T1910">
        <v>4</v>
      </c>
      <c r="U1910">
        <v>10</v>
      </c>
      <c r="V1910">
        <v>0</v>
      </c>
      <c r="W1910">
        <v>0</v>
      </c>
      <c r="X1910">
        <v>0</v>
      </c>
    </row>
    <row r="1911" spans="1:24" x14ac:dyDescent="0.2">
      <c r="A1911">
        <v>20180800</v>
      </c>
      <c r="B1911" t="s">
        <v>1910</v>
      </c>
      <c r="C1911">
        <v>800</v>
      </c>
      <c r="D1911">
        <v>800</v>
      </c>
      <c r="E1911">
        <v>10000</v>
      </c>
      <c r="F1911">
        <v>83</v>
      </c>
      <c r="G1911">
        <v>0</v>
      </c>
      <c r="H1911">
        <v>0</v>
      </c>
      <c r="I1911">
        <v>83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20</v>
      </c>
      <c r="Q1911">
        <v>0</v>
      </c>
      <c r="R1911">
        <v>0</v>
      </c>
      <c r="S1911">
        <v>20</v>
      </c>
      <c r="T1911">
        <v>4</v>
      </c>
      <c r="U1911">
        <v>10</v>
      </c>
      <c r="V1911">
        <v>0</v>
      </c>
      <c r="W1911">
        <v>0</v>
      </c>
      <c r="X1911">
        <v>0</v>
      </c>
    </row>
    <row r="1912" spans="1:24" x14ac:dyDescent="0.2">
      <c r="A1912">
        <v>20180900</v>
      </c>
      <c r="B1912" t="s">
        <v>1911</v>
      </c>
      <c r="C1912">
        <v>900</v>
      </c>
      <c r="D1912">
        <v>900</v>
      </c>
      <c r="E1912">
        <v>10000</v>
      </c>
      <c r="F1912">
        <v>64</v>
      </c>
      <c r="G1912">
        <v>0</v>
      </c>
      <c r="H1912">
        <v>0</v>
      </c>
      <c r="I1912">
        <v>0</v>
      </c>
      <c r="J1912">
        <v>64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20</v>
      </c>
      <c r="Q1912">
        <v>0</v>
      </c>
      <c r="R1912">
        <v>0</v>
      </c>
      <c r="S1912">
        <v>0</v>
      </c>
      <c r="T1912">
        <v>4</v>
      </c>
      <c r="U1912">
        <v>10</v>
      </c>
      <c r="V1912">
        <v>0</v>
      </c>
      <c r="W1912">
        <v>0</v>
      </c>
      <c r="X1912">
        <v>0</v>
      </c>
    </row>
    <row r="1913" spans="1:24" x14ac:dyDescent="0.2">
      <c r="A1913">
        <v>20181000</v>
      </c>
      <c r="B1913" t="s">
        <v>1912</v>
      </c>
      <c r="C1913">
        <v>1000</v>
      </c>
      <c r="D1913">
        <v>1000</v>
      </c>
      <c r="E1913">
        <v>10000</v>
      </c>
      <c r="F1913">
        <v>83</v>
      </c>
      <c r="G1913">
        <v>0</v>
      </c>
      <c r="H1913">
        <v>0</v>
      </c>
      <c r="I1913">
        <v>0</v>
      </c>
      <c r="J1913">
        <v>83</v>
      </c>
      <c r="K1913">
        <v>0</v>
      </c>
      <c r="L1913">
        <v>0</v>
      </c>
      <c r="M1913">
        <v>0</v>
      </c>
      <c r="N1913">
        <v>0</v>
      </c>
      <c r="O1913">
        <v>4</v>
      </c>
      <c r="P1913">
        <v>20</v>
      </c>
      <c r="Q1913">
        <v>0</v>
      </c>
      <c r="R1913">
        <v>20</v>
      </c>
      <c r="S1913">
        <v>20</v>
      </c>
      <c r="T1913">
        <v>4</v>
      </c>
      <c r="U1913">
        <v>10</v>
      </c>
      <c r="V1913">
        <v>0</v>
      </c>
      <c r="W1913">
        <v>0</v>
      </c>
      <c r="X1913">
        <v>0</v>
      </c>
    </row>
    <row r="1914" spans="1:24" x14ac:dyDescent="0.2">
      <c r="A1914">
        <v>20181100</v>
      </c>
      <c r="B1914" t="s">
        <v>1913</v>
      </c>
      <c r="C1914">
        <v>1100</v>
      </c>
      <c r="D1914">
        <v>1100</v>
      </c>
      <c r="E1914">
        <v>10000</v>
      </c>
      <c r="F1914">
        <v>74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</v>
      </c>
      <c r="Q1914">
        <v>0</v>
      </c>
      <c r="R1914">
        <v>0</v>
      </c>
      <c r="S1914">
        <v>0</v>
      </c>
      <c r="T1914">
        <v>4</v>
      </c>
      <c r="U1914">
        <v>10</v>
      </c>
      <c r="V1914">
        <v>0</v>
      </c>
      <c r="W1914">
        <v>0</v>
      </c>
      <c r="X1914">
        <v>0</v>
      </c>
    </row>
    <row r="1915" spans="1:24" x14ac:dyDescent="0.2">
      <c r="A1915">
        <v>20181200</v>
      </c>
      <c r="B1915" t="s">
        <v>1914</v>
      </c>
      <c r="C1915">
        <v>1200</v>
      </c>
      <c r="D1915">
        <v>1200</v>
      </c>
      <c r="E1915">
        <v>10000</v>
      </c>
      <c r="F1915">
        <v>74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20</v>
      </c>
      <c r="Q1915">
        <v>0</v>
      </c>
      <c r="R1915">
        <v>0</v>
      </c>
      <c r="S1915">
        <v>0</v>
      </c>
      <c r="T1915">
        <v>4</v>
      </c>
      <c r="U1915">
        <v>10</v>
      </c>
      <c r="V1915">
        <v>0</v>
      </c>
      <c r="W1915">
        <v>0</v>
      </c>
      <c r="X1915">
        <v>0</v>
      </c>
    </row>
    <row r="1916" spans="1:24" x14ac:dyDescent="0.2">
      <c r="A1916">
        <v>20181300</v>
      </c>
      <c r="B1916" t="s">
        <v>1915</v>
      </c>
      <c r="C1916">
        <v>1300</v>
      </c>
      <c r="D1916">
        <v>1300</v>
      </c>
      <c r="E1916">
        <v>10000</v>
      </c>
      <c r="F1916">
        <v>74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20</v>
      </c>
      <c r="Q1916">
        <v>0</v>
      </c>
      <c r="R1916">
        <v>0</v>
      </c>
      <c r="S1916">
        <v>0</v>
      </c>
      <c r="T1916">
        <v>4</v>
      </c>
      <c r="U1916">
        <v>10</v>
      </c>
      <c r="V1916">
        <v>0</v>
      </c>
      <c r="W1916">
        <v>0</v>
      </c>
      <c r="X1916">
        <v>0</v>
      </c>
    </row>
    <row r="1917" spans="1:24" x14ac:dyDescent="0.2">
      <c r="A1917">
        <v>20181400</v>
      </c>
      <c r="B1917" t="s">
        <v>1916</v>
      </c>
      <c r="C1917">
        <v>1400</v>
      </c>
      <c r="D1917">
        <v>1400</v>
      </c>
      <c r="E1917">
        <v>10014</v>
      </c>
      <c r="F1917">
        <v>83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20</v>
      </c>
      <c r="Q1917">
        <v>0</v>
      </c>
      <c r="R1917">
        <v>0</v>
      </c>
      <c r="S1917">
        <v>20</v>
      </c>
      <c r="T1917">
        <v>4</v>
      </c>
      <c r="U1917">
        <v>10</v>
      </c>
      <c r="V1917">
        <v>0</v>
      </c>
      <c r="W1917">
        <v>0</v>
      </c>
      <c r="X1917">
        <v>0</v>
      </c>
    </row>
    <row r="1918" spans="1:24" x14ac:dyDescent="0.2">
      <c r="A1918">
        <v>20181500</v>
      </c>
      <c r="B1918" t="s">
        <v>1917</v>
      </c>
      <c r="C1918">
        <v>1500</v>
      </c>
      <c r="D1918">
        <v>1500</v>
      </c>
      <c r="E1918">
        <v>10015</v>
      </c>
      <c r="F1918">
        <v>74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20</v>
      </c>
      <c r="Q1918">
        <v>0</v>
      </c>
      <c r="R1918">
        <v>0</v>
      </c>
      <c r="S1918">
        <v>0</v>
      </c>
      <c r="T1918">
        <v>4</v>
      </c>
      <c r="U1918">
        <v>10</v>
      </c>
      <c r="V1918">
        <v>0</v>
      </c>
      <c r="W1918">
        <v>0</v>
      </c>
      <c r="X1918">
        <v>0</v>
      </c>
    </row>
    <row r="1919" spans="1:24" x14ac:dyDescent="0.2">
      <c r="A1919">
        <v>20190000</v>
      </c>
      <c r="B1919" t="s">
        <v>1918</v>
      </c>
      <c r="C1919">
        <v>0</v>
      </c>
      <c r="D1919">
        <v>8000</v>
      </c>
      <c r="E1919">
        <v>10000</v>
      </c>
      <c r="F1919">
        <v>69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20</v>
      </c>
      <c r="Q1919">
        <v>0</v>
      </c>
      <c r="R1919">
        <v>0</v>
      </c>
      <c r="S1919">
        <v>0</v>
      </c>
      <c r="T1919">
        <v>4</v>
      </c>
      <c r="U1919">
        <v>10</v>
      </c>
      <c r="V1919">
        <v>0</v>
      </c>
      <c r="W1919">
        <v>0</v>
      </c>
      <c r="X1919">
        <v>0</v>
      </c>
    </row>
    <row r="1920" spans="1:24" x14ac:dyDescent="0.2">
      <c r="A1920">
        <v>20190100</v>
      </c>
      <c r="B1920" t="s">
        <v>1919</v>
      </c>
      <c r="C1920">
        <v>200</v>
      </c>
      <c r="D1920">
        <v>100</v>
      </c>
      <c r="E1920">
        <v>10000</v>
      </c>
      <c r="F1920">
        <v>69</v>
      </c>
      <c r="G1920">
        <v>0</v>
      </c>
      <c r="H1920">
        <v>0</v>
      </c>
      <c r="I1920">
        <v>0</v>
      </c>
      <c r="J1920">
        <v>0</v>
      </c>
      <c r="K1920">
        <v>1</v>
      </c>
      <c r="L1920">
        <v>0</v>
      </c>
      <c r="M1920">
        <v>0</v>
      </c>
      <c r="N1920">
        <v>0</v>
      </c>
      <c r="O1920">
        <v>0</v>
      </c>
      <c r="P1920">
        <v>20</v>
      </c>
      <c r="Q1920">
        <v>0</v>
      </c>
      <c r="R1920">
        <v>0</v>
      </c>
      <c r="S1920">
        <v>0</v>
      </c>
      <c r="T1920">
        <v>4</v>
      </c>
      <c r="U1920">
        <v>10</v>
      </c>
      <c r="V1920">
        <v>0</v>
      </c>
      <c r="W1920">
        <v>0</v>
      </c>
      <c r="X1920">
        <v>0</v>
      </c>
    </row>
    <row r="1921" spans="1:24" x14ac:dyDescent="0.2">
      <c r="A1921">
        <v>20190200</v>
      </c>
      <c r="B1921" t="s">
        <v>1920</v>
      </c>
      <c r="C1921">
        <v>100</v>
      </c>
      <c r="D1921">
        <v>200</v>
      </c>
      <c r="E1921">
        <v>10000</v>
      </c>
      <c r="F1921">
        <v>69</v>
      </c>
      <c r="G1921">
        <v>0</v>
      </c>
      <c r="H1921">
        <v>0</v>
      </c>
      <c r="I1921">
        <v>0</v>
      </c>
      <c r="J1921">
        <v>0</v>
      </c>
      <c r="K1921">
        <v>1</v>
      </c>
      <c r="L1921">
        <v>0</v>
      </c>
      <c r="M1921">
        <v>0</v>
      </c>
      <c r="N1921">
        <v>0</v>
      </c>
      <c r="O1921">
        <v>0</v>
      </c>
      <c r="P1921">
        <v>20</v>
      </c>
      <c r="Q1921">
        <v>0</v>
      </c>
      <c r="R1921">
        <v>0</v>
      </c>
      <c r="S1921">
        <v>0</v>
      </c>
      <c r="T1921">
        <v>4</v>
      </c>
      <c r="U1921">
        <v>10</v>
      </c>
      <c r="V1921">
        <v>0</v>
      </c>
      <c r="W1921">
        <v>0</v>
      </c>
      <c r="X1921">
        <v>0</v>
      </c>
    </row>
    <row r="1922" spans="1:24" x14ac:dyDescent="0.2">
      <c r="A1922">
        <v>20190300</v>
      </c>
      <c r="B1922" t="s">
        <v>1921</v>
      </c>
      <c r="C1922">
        <v>300</v>
      </c>
      <c r="D1922">
        <v>300</v>
      </c>
      <c r="E1922">
        <v>10000</v>
      </c>
      <c r="F1922">
        <v>69</v>
      </c>
      <c r="G1922">
        <v>0</v>
      </c>
      <c r="H1922">
        <v>0</v>
      </c>
      <c r="I1922">
        <v>0</v>
      </c>
      <c r="J1922">
        <v>0</v>
      </c>
      <c r="K1922">
        <v>8</v>
      </c>
      <c r="L1922">
        <v>0</v>
      </c>
      <c r="M1922">
        <v>0</v>
      </c>
      <c r="N1922">
        <v>0</v>
      </c>
      <c r="O1922">
        <v>0</v>
      </c>
      <c r="P1922">
        <v>20</v>
      </c>
      <c r="Q1922">
        <v>20</v>
      </c>
      <c r="R1922">
        <v>0</v>
      </c>
      <c r="S1922">
        <v>0</v>
      </c>
      <c r="T1922">
        <v>4</v>
      </c>
      <c r="U1922">
        <v>10</v>
      </c>
      <c r="V1922">
        <v>0</v>
      </c>
      <c r="W1922">
        <v>0</v>
      </c>
      <c r="X1922">
        <v>0</v>
      </c>
    </row>
    <row r="1923" spans="1:24" x14ac:dyDescent="0.2">
      <c r="A1923">
        <v>20190400</v>
      </c>
      <c r="B1923" t="s">
        <v>1922</v>
      </c>
      <c r="C1923">
        <v>500</v>
      </c>
      <c r="D1923">
        <v>500</v>
      </c>
      <c r="E1923">
        <v>10000</v>
      </c>
      <c r="F1923">
        <v>78</v>
      </c>
      <c r="G1923">
        <v>78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20</v>
      </c>
      <c r="Q1923">
        <v>0</v>
      </c>
      <c r="R1923">
        <v>20</v>
      </c>
      <c r="S1923">
        <v>0</v>
      </c>
      <c r="T1923">
        <v>4</v>
      </c>
      <c r="U1923">
        <v>10</v>
      </c>
      <c r="V1923">
        <v>0</v>
      </c>
      <c r="W1923">
        <v>0</v>
      </c>
      <c r="X1923">
        <v>0</v>
      </c>
    </row>
    <row r="1924" spans="1:24" x14ac:dyDescent="0.2">
      <c r="A1924">
        <v>20190500</v>
      </c>
      <c r="B1924" t="s">
        <v>1923</v>
      </c>
      <c r="C1924">
        <v>400</v>
      </c>
      <c r="D1924">
        <v>400</v>
      </c>
      <c r="E1924">
        <v>10000</v>
      </c>
      <c r="F1924">
        <v>78</v>
      </c>
      <c r="G1924">
        <v>78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20</v>
      </c>
      <c r="Q1924">
        <v>0</v>
      </c>
      <c r="R1924">
        <v>20</v>
      </c>
      <c r="S1924">
        <v>0</v>
      </c>
      <c r="T1924">
        <v>4</v>
      </c>
      <c r="U1924">
        <v>10</v>
      </c>
      <c r="V1924">
        <v>0</v>
      </c>
      <c r="W1924">
        <v>0</v>
      </c>
      <c r="X1924">
        <v>0</v>
      </c>
    </row>
    <row r="1925" spans="1:24" x14ac:dyDescent="0.2">
      <c r="A1925">
        <v>20190600</v>
      </c>
      <c r="B1925" t="s">
        <v>1924</v>
      </c>
      <c r="C1925">
        <v>600</v>
      </c>
      <c r="D1925">
        <v>600</v>
      </c>
      <c r="E1925">
        <v>10000</v>
      </c>
      <c r="F1925">
        <v>59</v>
      </c>
      <c r="G1925">
        <v>0</v>
      </c>
      <c r="H1925">
        <v>59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20</v>
      </c>
      <c r="Q1925">
        <v>0</v>
      </c>
      <c r="R1925">
        <v>0</v>
      </c>
      <c r="S1925">
        <v>0</v>
      </c>
      <c r="T1925">
        <v>4</v>
      </c>
      <c r="U1925">
        <v>10</v>
      </c>
      <c r="V1925">
        <v>0</v>
      </c>
      <c r="W1925">
        <v>0</v>
      </c>
      <c r="X1925">
        <v>0</v>
      </c>
    </row>
    <row r="1926" spans="1:24" x14ac:dyDescent="0.2">
      <c r="A1926">
        <v>20190700</v>
      </c>
      <c r="B1926" t="s">
        <v>1925</v>
      </c>
      <c r="C1926">
        <v>700</v>
      </c>
      <c r="D1926">
        <v>700</v>
      </c>
      <c r="E1926">
        <v>10000</v>
      </c>
      <c r="F1926">
        <v>78</v>
      </c>
      <c r="G1926">
        <v>0</v>
      </c>
      <c r="H1926">
        <v>78</v>
      </c>
      <c r="I1926">
        <v>0</v>
      </c>
      <c r="J1926">
        <v>0</v>
      </c>
      <c r="K1926">
        <v>0</v>
      </c>
      <c r="L1926">
        <v>0</v>
      </c>
      <c r="M1926">
        <v>4</v>
      </c>
      <c r="N1926">
        <v>0</v>
      </c>
      <c r="O1926">
        <v>0</v>
      </c>
      <c r="P1926">
        <v>20</v>
      </c>
      <c r="Q1926">
        <v>0</v>
      </c>
      <c r="R1926">
        <v>20</v>
      </c>
      <c r="S1926">
        <v>20</v>
      </c>
      <c r="T1926">
        <v>4</v>
      </c>
      <c r="U1926">
        <v>10</v>
      </c>
      <c r="V1926">
        <v>0</v>
      </c>
      <c r="W1926">
        <v>0</v>
      </c>
      <c r="X1926">
        <v>0</v>
      </c>
    </row>
    <row r="1927" spans="1:24" x14ac:dyDescent="0.2">
      <c r="A1927">
        <v>20190800</v>
      </c>
      <c r="B1927" t="s">
        <v>1926</v>
      </c>
      <c r="C1927">
        <v>800</v>
      </c>
      <c r="D1927">
        <v>800</v>
      </c>
      <c r="E1927">
        <v>10000</v>
      </c>
      <c r="F1927">
        <v>78</v>
      </c>
      <c r="G1927">
        <v>0</v>
      </c>
      <c r="H1927">
        <v>0</v>
      </c>
      <c r="I1927">
        <v>78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20</v>
      </c>
      <c r="Q1927">
        <v>0</v>
      </c>
      <c r="R1927">
        <v>0</v>
      </c>
      <c r="S1927">
        <v>20</v>
      </c>
      <c r="T1927">
        <v>4</v>
      </c>
      <c r="U1927">
        <v>10</v>
      </c>
      <c r="V1927">
        <v>0</v>
      </c>
      <c r="W1927">
        <v>0</v>
      </c>
      <c r="X1927">
        <v>0</v>
      </c>
    </row>
    <row r="1928" spans="1:24" x14ac:dyDescent="0.2">
      <c r="A1928">
        <v>20190900</v>
      </c>
      <c r="B1928" t="s">
        <v>1927</v>
      </c>
      <c r="C1928">
        <v>900</v>
      </c>
      <c r="D1928">
        <v>900</v>
      </c>
      <c r="E1928">
        <v>10000</v>
      </c>
      <c r="F1928">
        <v>59</v>
      </c>
      <c r="G1928">
        <v>0</v>
      </c>
      <c r="H1928">
        <v>0</v>
      </c>
      <c r="I1928">
        <v>0</v>
      </c>
      <c r="J1928">
        <v>59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20</v>
      </c>
      <c r="Q1928">
        <v>0</v>
      </c>
      <c r="R1928">
        <v>0</v>
      </c>
      <c r="S1928">
        <v>0</v>
      </c>
      <c r="T1928">
        <v>4</v>
      </c>
      <c r="U1928">
        <v>10</v>
      </c>
      <c r="V1928">
        <v>0</v>
      </c>
      <c r="W1928">
        <v>0</v>
      </c>
      <c r="X1928">
        <v>0</v>
      </c>
    </row>
    <row r="1929" spans="1:24" x14ac:dyDescent="0.2">
      <c r="A1929">
        <v>20191000</v>
      </c>
      <c r="B1929" t="s">
        <v>1928</v>
      </c>
      <c r="C1929">
        <v>1000</v>
      </c>
      <c r="D1929">
        <v>1000</v>
      </c>
      <c r="E1929">
        <v>10000</v>
      </c>
      <c r="F1929">
        <v>78</v>
      </c>
      <c r="G1929">
        <v>0</v>
      </c>
      <c r="H1929">
        <v>0</v>
      </c>
      <c r="I1929">
        <v>0</v>
      </c>
      <c r="J1929">
        <v>78</v>
      </c>
      <c r="K1929">
        <v>0</v>
      </c>
      <c r="L1929">
        <v>0</v>
      </c>
      <c r="M1929">
        <v>0</v>
      </c>
      <c r="N1929">
        <v>0</v>
      </c>
      <c r="O1929">
        <v>4</v>
      </c>
      <c r="P1929">
        <v>20</v>
      </c>
      <c r="Q1929">
        <v>0</v>
      </c>
      <c r="R1929">
        <v>20</v>
      </c>
      <c r="S1929">
        <v>20</v>
      </c>
      <c r="T1929">
        <v>4</v>
      </c>
      <c r="U1929">
        <v>10</v>
      </c>
      <c r="V1929">
        <v>0</v>
      </c>
      <c r="W1929">
        <v>0</v>
      </c>
      <c r="X1929">
        <v>0</v>
      </c>
    </row>
    <row r="1930" spans="1:24" x14ac:dyDescent="0.2">
      <c r="A1930">
        <v>20191100</v>
      </c>
      <c r="B1930" t="s">
        <v>1929</v>
      </c>
      <c r="C1930">
        <v>1100</v>
      </c>
      <c r="D1930">
        <v>1100</v>
      </c>
      <c r="E1930">
        <v>10000</v>
      </c>
      <c r="F1930">
        <v>69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20</v>
      </c>
      <c r="Q1930">
        <v>0</v>
      </c>
      <c r="R1930">
        <v>0</v>
      </c>
      <c r="S1930">
        <v>0</v>
      </c>
      <c r="T1930">
        <v>4</v>
      </c>
      <c r="U1930">
        <v>10</v>
      </c>
      <c r="V1930">
        <v>0</v>
      </c>
      <c r="W1930">
        <v>0</v>
      </c>
      <c r="X1930">
        <v>0</v>
      </c>
    </row>
    <row r="1931" spans="1:24" x14ac:dyDescent="0.2">
      <c r="A1931">
        <v>20191200</v>
      </c>
      <c r="B1931" t="s">
        <v>1930</v>
      </c>
      <c r="C1931">
        <v>1200</v>
      </c>
      <c r="D1931">
        <v>1200</v>
      </c>
      <c r="E1931">
        <v>10000</v>
      </c>
      <c r="F1931">
        <v>69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20</v>
      </c>
      <c r="Q1931">
        <v>0</v>
      </c>
      <c r="R1931">
        <v>0</v>
      </c>
      <c r="S1931">
        <v>0</v>
      </c>
      <c r="T1931">
        <v>4</v>
      </c>
      <c r="U1931">
        <v>10</v>
      </c>
      <c r="V1931">
        <v>0</v>
      </c>
      <c r="W1931">
        <v>0</v>
      </c>
      <c r="X1931">
        <v>0</v>
      </c>
    </row>
    <row r="1932" spans="1:24" x14ac:dyDescent="0.2">
      <c r="A1932">
        <v>20191300</v>
      </c>
      <c r="B1932" t="s">
        <v>1931</v>
      </c>
      <c r="C1932">
        <v>1300</v>
      </c>
      <c r="D1932">
        <v>1300</v>
      </c>
      <c r="E1932">
        <v>10000</v>
      </c>
      <c r="F1932">
        <v>69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20</v>
      </c>
      <c r="Q1932">
        <v>0</v>
      </c>
      <c r="R1932">
        <v>0</v>
      </c>
      <c r="S1932">
        <v>0</v>
      </c>
      <c r="T1932">
        <v>4</v>
      </c>
      <c r="U1932">
        <v>10</v>
      </c>
      <c r="V1932">
        <v>0</v>
      </c>
      <c r="W1932">
        <v>0</v>
      </c>
      <c r="X1932">
        <v>0</v>
      </c>
    </row>
    <row r="1933" spans="1:24" x14ac:dyDescent="0.2">
      <c r="A1933">
        <v>20191400</v>
      </c>
      <c r="B1933" t="s">
        <v>1932</v>
      </c>
      <c r="C1933">
        <v>1400</v>
      </c>
      <c r="D1933">
        <v>1400</v>
      </c>
      <c r="E1933">
        <v>10014</v>
      </c>
      <c r="F1933">
        <v>78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20</v>
      </c>
      <c r="Q1933">
        <v>0</v>
      </c>
      <c r="R1933">
        <v>0</v>
      </c>
      <c r="S1933">
        <v>20</v>
      </c>
      <c r="T1933">
        <v>4</v>
      </c>
      <c r="U1933">
        <v>10</v>
      </c>
      <c r="V1933">
        <v>0</v>
      </c>
      <c r="W1933">
        <v>0</v>
      </c>
      <c r="X1933">
        <v>0</v>
      </c>
    </row>
    <row r="1934" spans="1:24" x14ac:dyDescent="0.2">
      <c r="A1934">
        <v>20191500</v>
      </c>
      <c r="B1934" t="s">
        <v>1933</v>
      </c>
      <c r="C1934">
        <v>1500</v>
      </c>
      <c r="D1934">
        <v>1500</v>
      </c>
      <c r="E1934">
        <v>10015</v>
      </c>
      <c r="F1934">
        <v>69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20</v>
      </c>
      <c r="Q1934">
        <v>0</v>
      </c>
      <c r="R1934">
        <v>0</v>
      </c>
      <c r="S1934">
        <v>0</v>
      </c>
      <c r="T1934">
        <v>4</v>
      </c>
      <c r="U1934">
        <v>10</v>
      </c>
      <c r="V1934">
        <v>0</v>
      </c>
      <c r="W1934">
        <v>0</v>
      </c>
      <c r="X1934">
        <v>0</v>
      </c>
    </row>
    <row r="1935" spans="1:24" x14ac:dyDescent="0.2">
      <c r="A1935">
        <v>20200000</v>
      </c>
      <c r="B1935" t="s">
        <v>1934</v>
      </c>
      <c r="C1935">
        <v>0</v>
      </c>
      <c r="D1935">
        <v>8000</v>
      </c>
      <c r="E1935">
        <v>10000</v>
      </c>
      <c r="F1935">
        <v>69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20</v>
      </c>
      <c r="Q1935">
        <v>0</v>
      </c>
      <c r="R1935">
        <v>0</v>
      </c>
      <c r="S1935">
        <v>0</v>
      </c>
      <c r="T1935">
        <v>4</v>
      </c>
      <c r="U1935">
        <v>10</v>
      </c>
      <c r="V1935">
        <v>0</v>
      </c>
      <c r="W1935">
        <v>0</v>
      </c>
      <c r="X1935">
        <v>0</v>
      </c>
    </row>
    <row r="1936" spans="1:24" x14ac:dyDescent="0.2">
      <c r="A1936">
        <v>20200100</v>
      </c>
      <c r="B1936" t="s">
        <v>1935</v>
      </c>
      <c r="C1936">
        <v>200</v>
      </c>
      <c r="D1936">
        <v>100</v>
      </c>
      <c r="E1936">
        <v>10000</v>
      </c>
      <c r="F1936">
        <v>69</v>
      </c>
      <c r="G1936">
        <v>0</v>
      </c>
      <c r="H1936">
        <v>0</v>
      </c>
      <c r="I1936">
        <v>0</v>
      </c>
      <c r="J1936">
        <v>0</v>
      </c>
      <c r="K1936">
        <v>1</v>
      </c>
      <c r="L1936">
        <v>0</v>
      </c>
      <c r="M1936">
        <v>0</v>
      </c>
      <c r="N1936">
        <v>0</v>
      </c>
      <c r="O1936">
        <v>0</v>
      </c>
      <c r="P1936">
        <v>20</v>
      </c>
      <c r="Q1936">
        <v>0</v>
      </c>
      <c r="R1936">
        <v>0</v>
      </c>
      <c r="S1936">
        <v>0</v>
      </c>
      <c r="T1936">
        <v>4</v>
      </c>
      <c r="U1936">
        <v>10</v>
      </c>
      <c r="V1936">
        <v>0</v>
      </c>
      <c r="W1936">
        <v>0</v>
      </c>
      <c r="X1936">
        <v>0</v>
      </c>
    </row>
    <row r="1937" spans="1:24" x14ac:dyDescent="0.2">
      <c r="A1937">
        <v>20200200</v>
      </c>
      <c r="B1937" t="s">
        <v>1936</v>
      </c>
      <c r="C1937">
        <v>100</v>
      </c>
      <c r="D1937">
        <v>200</v>
      </c>
      <c r="E1937">
        <v>10000</v>
      </c>
      <c r="F1937">
        <v>69</v>
      </c>
      <c r="G1937">
        <v>0</v>
      </c>
      <c r="H1937">
        <v>0</v>
      </c>
      <c r="I1937">
        <v>0</v>
      </c>
      <c r="J1937">
        <v>0</v>
      </c>
      <c r="K1937">
        <v>1</v>
      </c>
      <c r="L1937">
        <v>0</v>
      </c>
      <c r="M1937">
        <v>0</v>
      </c>
      <c r="N1937">
        <v>0</v>
      </c>
      <c r="O1937">
        <v>0</v>
      </c>
      <c r="P1937">
        <v>20</v>
      </c>
      <c r="Q1937">
        <v>0</v>
      </c>
      <c r="R1937">
        <v>0</v>
      </c>
      <c r="S1937">
        <v>0</v>
      </c>
      <c r="T1937">
        <v>4</v>
      </c>
      <c r="U1937">
        <v>10</v>
      </c>
      <c r="V1937">
        <v>0</v>
      </c>
      <c r="W1937">
        <v>0</v>
      </c>
      <c r="X1937">
        <v>0</v>
      </c>
    </row>
    <row r="1938" spans="1:24" x14ac:dyDescent="0.2">
      <c r="A1938">
        <v>20200300</v>
      </c>
      <c r="B1938" t="s">
        <v>1937</v>
      </c>
      <c r="C1938">
        <v>300</v>
      </c>
      <c r="D1938">
        <v>300</v>
      </c>
      <c r="E1938">
        <v>10000</v>
      </c>
      <c r="F1938">
        <v>69</v>
      </c>
      <c r="G1938">
        <v>0</v>
      </c>
      <c r="H1938">
        <v>0</v>
      </c>
      <c r="I1938">
        <v>0</v>
      </c>
      <c r="J1938">
        <v>0</v>
      </c>
      <c r="K1938">
        <v>8</v>
      </c>
      <c r="L1938">
        <v>0</v>
      </c>
      <c r="M1938">
        <v>0</v>
      </c>
      <c r="N1938">
        <v>0</v>
      </c>
      <c r="O1938">
        <v>0</v>
      </c>
      <c r="P1938">
        <v>20</v>
      </c>
      <c r="Q1938">
        <v>20</v>
      </c>
      <c r="R1938">
        <v>0</v>
      </c>
      <c r="S1938">
        <v>0</v>
      </c>
      <c r="T1938">
        <v>4</v>
      </c>
      <c r="U1938">
        <v>10</v>
      </c>
      <c r="V1938">
        <v>0</v>
      </c>
      <c r="W1938">
        <v>0</v>
      </c>
      <c r="X1938">
        <v>0</v>
      </c>
    </row>
    <row r="1939" spans="1:24" x14ac:dyDescent="0.2">
      <c r="A1939">
        <v>20200400</v>
      </c>
      <c r="B1939" t="s">
        <v>1938</v>
      </c>
      <c r="C1939">
        <v>500</v>
      </c>
      <c r="D1939">
        <v>500</v>
      </c>
      <c r="E1939">
        <v>10000</v>
      </c>
      <c r="F1939">
        <v>78</v>
      </c>
      <c r="G1939">
        <v>78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20</v>
      </c>
      <c r="Q1939">
        <v>0</v>
      </c>
      <c r="R1939">
        <v>20</v>
      </c>
      <c r="S1939">
        <v>0</v>
      </c>
      <c r="T1939">
        <v>4</v>
      </c>
      <c r="U1939">
        <v>10</v>
      </c>
      <c r="V1939">
        <v>0</v>
      </c>
      <c r="W1939">
        <v>0</v>
      </c>
      <c r="X1939">
        <v>0</v>
      </c>
    </row>
    <row r="1940" spans="1:24" x14ac:dyDescent="0.2">
      <c r="A1940">
        <v>20200500</v>
      </c>
      <c r="B1940" t="s">
        <v>1939</v>
      </c>
      <c r="C1940">
        <v>400</v>
      </c>
      <c r="D1940">
        <v>400</v>
      </c>
      <c r="E1940">
        <v>10000</v>
      </c>
      <c r="F1940">
        <v>78</v>
      </c>
      <c r="G1940">
        <v>78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20</v>
      </c>
      <c r="Q1940">
        <v>0</v>
      </c>
      <c r="R1940">
        <v>20</v>
      </c>
      <c r="S1940">
        <v>0</v>
      </c>
      <c r="T1940">
        <v>4</v>
      </c>
      <c r="U1940">
        <v>10</v>
      </c>
      <c r="V1940">
        <v>0</v>
      </c>
      <c r="W1940">
        <v>0</v>
      </c>
      <c r="X1940">
        <v>0</v>
      </c>
    </row>
    <row r="1941" spans="1:24" x14ac:dyDescent="0.2">
      <c r="A1941">
        <v>20200600</v>
      </c>
      <c r="B1941" t="s">
        <v>1940</v>
      </c>
      <c r="C1941">
        <v>600</v>
      </c>
      <c r="D1941">
        <v>600</v>
      </c>
      <c r="E1941">
        <v>10000</v>
      </c>
      <c r="F1941">
        <v>59</v>
      </c>
      <c r="G1941">
        <v>0</v>
      </c>
      <c r="H1941">
        <v>59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20</v>
      </c>
      <c r="Q1941">
        <v>0</v>
      </c>
      <c r="R1941">
        <v>0</v>
      </c>
      <c r="S1941">
        <v>0</v>
      </c>
      <c r="T1941">
        <v>4</v>
      </c>
      <c r="U1941">
        <v>10</v>
      </c>
      <c r="V1941">
        <v>0</v>
      </c>
      <c r="W1941">
        <v>0</v>
      </c>
      <c r="X1941">
        <v>0</v>
      </c>
    </row>
    <row r="1942" spans="1:24" x14ac:dyDescent="0.2">
      <c r="A1942">
        <v>20200700</v>
      </c>
      <c r="B1942" t="s">
        <v>1941</v>
      </c>
      <c r="C1942">
        <v>700</v>
      </c>
      <c r="D1942">
        <v>700</v>
      </c>
      <c r="E1942">
        <v>10000</v>
      </c>
      <c r="F1942">
        <v>78</v>
      </c>
      <c r="G1942">
        <v>0</v>
      </c>
      <c r="H1942">
        <v>78</v>
      </c>
      <c r="I1942">
        <v>0</v>
      </c>
      <c r="J1942">
        <v>0</v>
      </c>
      <c r="K1942">
        <v>0</v>
      </c>
      <c r="L1942">
        <v>0</v>
      </c>
      <c r="M1942">
        <v>4</v>
      </c>
      <c r="N1942">
        <v>0</v>
      </c>
      <c r="O1942">
        <v>0</v>
      </c>
      <c r="P1942">
        <v>20</v>
      </c>
      <c r="Q1942">
        <v>0</v>
      </c>
      <c r="R1942">
        <v>20</v>
      </c>
      <c r="S1942">
        <v>20</v>
      </c>
      <c r="T1942">
        <v>4</v>
      </c>
      <c r="U1942">
        <v>10</v>
      </c>
      <c r="V1942">
        <v>0</v>
      </c>
      <c r="W1942">
        <v>0</v>
      </c>
      <c r="X1942">
        <v>0</v>
      </c>
    </row>
    <row r="1943" spans="1:24" x14ac:dyDescent="0.2">
      <c r="A1943">
        <v>20200800</v>
      </c>
      <c r="B1943" t="s">
        <v>1942</v>
      </c>
      <c r="C1943">
        <v>800</v>
      </c>
      <c r="D1943">
        <v>800</v>
      </c>
      <c r="E1943">
        <v>10000</v>
      </c>
      <c r="F1943">
        <v>78</v>
      </c>
      <c r="G1943">
        <v>0</v>
      </c>
      <c r="H1943">
        <v>0</v>
      </c>
      <c r="I1943">
        <v>78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20</v>
      </c>
      <c r="Q1943">
        <v>0</v>
      </c>
      <c r="R1943">
        <v>0</v>
      </c>
      <c r="S1943">
        <v>20</v>
      </c>
      <c r="T1943">
        <v>4</v>
      </c>
      <c r="U1943">
        <v>10</v>
      </c>
      <c r="V1943">
        <v>0</v>
      </c>
      <c r="W1943">
        <v>0</v>
      </c>
      <c r="X1943">
        <v>0</v>
      </c>
    </row>
    <row r="1944" spans="1:24" x14ac:dyDescent="0.2">
      <c r="A1944">
        <v>20200900</v>
      </c>
      <c r="B1944" t="s">
        <v>1943</v>
      </c>
      <c r="C1944">
        <v>900</v>
      </c>
      <c r="D1944">
        <v>900</v>
      </c>
      <c r="E1944">
        <v>10000</v>
      </c>
      <c r="F1944">
        <v>59</v>
      </c>
      <c r="G1944">
        <v>0</v>
      </c>
      <c r="H1944">
        <v>0</v>
      </c>
      <c r="I1944">
        <v>0</v>
      </c>
      <c r="J1944">
        <v>59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20</v>
      </c>
      <c r="Q1944">
        <v>0</v>
      </c>
      <c r="R1944">
        <v>0</v>
      </c>
      <c r="S1944">
        <v>0</v>
      </c>
      <c r="T1944">
        <v>4</v>
      </c>
      <c r="U1944">
        <v>10</v>
      </c>
      <c r="V1944">
        <v>0</v>
      </c>
      <c r="W1944">
        <v>0</v>
      </c>
      <c r="X1944">
        <v>0</v>
      </c>
    </row>
    <row r="1945" spans="1:24" x14ac:dyDescent="0.2">
      <c r="A1945">
        <v>20201000</v>
      </c>
      <c r="B1945" t="s">
        <v>1944</v>
      </c>
      <c r="C1945">
        <v>1000</v>
      </c>
      <c r="D1945">
        <v>1000</v>
      </c>
      <c r="E1945">
        <v>10000</v>
      </c>
      <c r="F1945">
        <v>78</v>
      </c>
      <c r="G1945">
        <v>0</v>
      </c>
      <c r="H1945">
        <v>0</v>
      </c>
      <c r="I1945">
        <v>0</v>
      </c>
      <c r="J1945">
        <v>78</v>
      </c>
      <c r="K1945">
        <v>0</v>
      </c>
      <c r="L1945">
        <v>0</v>
      </c>
      <c r="M1945">
        <v>0</v>
      </c>
      <c r="N1945">
        <v>0</v>
      </c>
      <c r="O1945">
        <v>4</v>
      </c>
      <c r="P1945">
        <v>20</v>
      </c>
      <c r="Q1945">
        <v>0</v>
      </c>
      <c r="R1945">
        <v>20</v>
      </c>
      <c r="S1945">
        <v>20</v>
      </c>
      <c r="T1945">
        <v>4</v>
      </c>
      <c r="U1945">
        <v>10</v>
      </c>
      <c r="V1945">
        <v>0</v>
      </c>
      <c r="W1945">
        <v>0</v>
      </c>
      <c r="X1945">
        <v>0</v>
      </c>
    </row>
    <row r="1946" spans="1:24" x14ac:dyDescent="0.2">
      <c r="A1946">
        <v>20201100</v>
      </c>
      <c r="B1946" t="s">
        <v>1945</v>
      </c>
      <c r="C1946">
        <v>1100</v>
      </c>
      <c r="D1946">
        <v>1100</v>
      </c>
      <c r="E1946">
        <v>10000</v>
      </c>
      <c r="F1946">
        <v>69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20</v>
      </c>
      <c r="Q1946">
        <v>0</v>
      </c>
      <c r="R1946">
        <v>0</v>
      </c>
      <c r="S1946">
        <v>0</v>
      </c>
      <c r="T1946">
        <v>4</v>
      </c>
      <c r="U1946">
        <v>10</v>
      </c>
      <c r="V1946">
        <v>0</v>
      </c>
      <c r="W1946">
        <v>0</v>
      </c>
      <c r="X1946">
        <v>0</v>
      </c>
    </row>
    <row r="1947" spans="1:24" x14ac:dyDescent="0.2">
      <c r="A1947">
        <v>20201200</v>
      </c>
      <c r="B1947" t="s">
        <v>1946</v>
      </c>
      <c r="C1947">
        <v>1200</v>
      </c>
      <c r="D1947">
        <v>1200</v>
      </c>
      <c r="E1947">
        <v>10000</v>
      </c>
      <c r="F1947">
        <v>69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20</v>
      </c>
      <c r="Q1947">
        <v>0</v>
      </c>
      <c r="R1947">
        <v>0</v>
      </c>
      <c r="S1947">
        <v>0</v>
      </c>
      <c r="T1947">
        <v>4</v>
      </c>
      <c r="U1947">
        <v>10</v>
      </c>
      <c r="V1947">
        <v>0</v>
      </c>
      <c r="W1947">
        <v>0</v>
      </c>
      <c r="X1947">
        <v>0</v>
      </c>
    </row>
    <row r="1948" spans="1:24" x14ac:dyDescent="0.2">
      <c r="A1948">
        <v>20201300</v>
      </c>
      <c r="B1948" t="s">
        <v>1947</v>
      </c>
      <c r="C1948">
        <v>1300</v>
      </c>
      <c r="D1948">
        <v>1300</v>
      </c>
      <c r="E1948">
        <v>10000</v>
      </c>
      <c r="F1948">
        <v>69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20</v>
      </c>
      <c r="Q1948">
        <v>0</v>
      </c>
      <c r="R1948">
        <v>0</v>
      </c>
      <c r="S1948">
        <v>0</v>
      </c>
      <c r="T1948">
        <v>4</v>
      </c>
      <c r="U1948">
        <v>10</v>
      </c>
      <c r="V1948">
        <v>0</v>
      </c>
      <c r="W1948">
        <v>0</v>
      </c>
      <c r="X1948">
        <v>0</v>
      </c>
    </row>
    <row r="1949" spans="1:24" x14ac:dyDescent="0.2">
      <c r="A1949">
        <v>20201400</v>
      </c>
      <c r="B1949" t="s">
        <v>1948</v>
      </c>
      <c r="C1949">
        <v>1400</v>
      </c>
      <c r="D1949">
        <v>1400</v>
      </c>
      <c r="E1949">
        <v>10014</v>
      </c>
      <c r="F1949">
        <v>78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20</v>
      </c>
      <c r="Q1949">
        <v>0</v>
      </c>
      <c r="R1949">
        <v>0</v>
      </c>
      <c r="S1949">
        <v>20</v>
      </c>
      <c r="T1949">
        <v>4</v>
      </c>
      <c r="U1949">
        <v>10</v>
      </c>
      <c r="V1949">
        <v>0</v>
      </c>
      <c r="W1949">
        <v>0</v>
      </c>
      <c r="X1949">
        <v>0</v>
      </c>
    </row>
    <row r="1950" spans="1:24" x14ac:dyDescent="0.2">
      <c r="A1950">
        <v>20201500</v>
      </c>
      <c r="B1950" t="s">
        <v>1949</v>
      </c>
      <c r="C1950">
        <v>1500</v>
      </c>
      <c r="D1950">
        <v>1500</v>
      </c>
      <c r="E1950">
        <v>10015</v>
      </c>
      <c r="F1950">
        <v>69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20</v>
      </c>
      <c r="Q1950">
        <v>0</v>
      </c>
      <c r="R1950">
        <v>0</v>
      </c>
      <c r="S1950">
        <v>0</v>
      </c>
      <c r="T1950">
        <v>4</v>
      </c>
      <c r="U1950">
        <v>10</v>
      </c>
      <c r="V1950">
        <v>0</v>
      </c>
      <c r="W1950">
        <v>0</v>
      </c>
      <c r="X1950">
        <v>0</v>
      </c>
    </row>
    <row r="1951" spans="1:24" x14ac:dyDescent="0.2">
      <c r="A1951">
        <v>20210000</v>
      </c>
      <c r="B1951" t="s">
        <v>1950</v>
      </c>
      <c r="C1951">
        <v>0</v>
      </c>
      <c r="D1951">
        <v>8000</v>
      </c>
      <c r="E1951">
        <v>10000</v>
      </c>
      <c r="F1951">
        <v>53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19</v>
      </c>
      <c r="Q1951">
        <v>0</v>
      </c>
      <c r="R1951">
        <v>0</v>
      </c>
      <c r="S1951">
        <v>0</v>
      </c>
      <c r="T1951">
        <v>4</v>
      </c>
      <c r="U1951">
        <v>8</v>
      </c>
      <c r="V1951">
        <v>0</v>
      </c>
      <c r="W1951">
        <v>0</v>
      </c>
      <c r="X1951">
        <v>0</v>
      </c>
    </row>
    <row r="1952" spans="1:24" x14ac:dyDescent="0.2">
      <c r="A1952">
        <v>20210100</v>
      </c>
      <c r="B1952" t="s">
        <v>1951</v>
      </c>
      <c r="C1952">
        <v>200</v>
      </c>
      <c r="D1952">
        <v>100</v>
      </c>
      <c r="E1952">
        <v>10000</v>
      </c>
      <c r="F1952">
        <v>53</v>
      </c>
      <c r="G1952">
        <v>0</v>
      </c>
      <c r="H1952">
        <v>0</v>
      </c>
      <c r="I1952">
        <v>0</v>
      </c>
      <c r="J1952">
        <v>0</v>
      </c>
      <c r="K1952">
        <v>1</v>
      </c>
      <c r="L1952">
        <v>0</v>
      </c>
      <c r="M1952">
        <v>0</v>
      </c>
      <c r="N1952">
        <v>0</v>
      </c>
      <c r="O1952">
        <v>0</v>
      </c>
      <c r="P1952">
        <v>19</v>
      </c>
      <c r="Q1952">
        <v>0</v>
      </c>
      <c r="R1952">
        <v>0</v>
      </c>
      <c r="S1952">
        <v>0</v>
      </c>
      <c r="T1952">
        <v>4</v>
      </c>
      <c r="U1952">
        <v>8</v>
      </c>
      <c r="V1952">
        <v>0</v>
      </c>
      <c r="W1952">
        <v>0</v>
      </c>
      <c r="X1952">
        <v>0</v>
      </c>
    </row>
    <row r="1953" spans="1:24" x14ac:dyDescent="0.2">
      <c r="A1953">
        <v>20210200</v>
      </c>
      <c r="B1953" t="s">
        <v>1952</v>
      </c>
      <c r="C1953">
        <v>100</v>
      </c>
      <c r="D1953">
        <v>200</v>
      </c>
      <c r="E1953">
        <v>10000</v>
      </c>
      <c r="F1953">
        <v>53</v>
      </c>
      <c r="G1953">
        <v>0</v>
      </c>
      <c r="H1953">
        <v>0</v>
      </c>
      <c r="I1953">
        <v>0</v>
      </c>
      <c r="J1953">
        <v>0</v>
      </c>
      <c r="K1953">
        <v>1</v>
      </c>
      <c r="L1953">
        <v>0</v>
      </c>
      <c r="M1953">
        <v>0</v>
      </c>
      <c r="N1953">
        <v>0</v>
      </c>
      <c r="O1953">
        <v>0</v>
      </c>
      <c r="P1953">
        <v>19</v>
      </c>
      <c r="Q1953">
        <v>0</v>
      </c>
      <c r="R1953">
        <v>0</v>
      </c>
      <c r="S1953">
        <v>0</v>
      </c>
      <c r="T1953">
        <v>4</v>
      </c>
      <c r="U1953">
        <v>8</v>
      </c>
      <c r="V1953">
        <v>0</v>
      </c>
      <c r="W1953">
        <v>0</v>
      </c>
      <c r="X1953">
        <v>0</v>
      </c>
    </row>
    <row r="1954" spans="1:24" x14ac:dyDescent="0.2">
      <c r="A1954">
        <v>20210300</v>
      </c>
      <c r="B1954" t="s">
        <v>1953</v>
      </c>
      <c r="C1954">
        <v>300</v>
      </c>
      <c r="D1954">
        <v>300</v>
      </c>
      <c r="E1954">
        <v>10000</v>
      </c>
      <c r="F1954">
        <v>53</v>
      </c>
      <c r="G1954">
        <v>0</v>
      </c>
      <c r="H1954">
        <v>0</v>
      </c>
      <c r="I1954">
        <v>0</v>
      </c>
      <c r="J1954">
        <v>0</v>
      </c>
      <c r="K1954">
        <v>8</v>
      </c>
      <c r="L1954">
        <v>0</v>
      </c>
      <c r="M1954">
        <v>0</v>
      </c>
      <c r="N1954">
        <v>0</v>
      </c>
      <c r="O1954">
        <v>0</v>
      </c>
      <c r="P1954">
        <v>19</v>
      </c>
      <c r="Q1954">
        <v>19</v>
      </c>
      <c r="R1954">
        <v>0</v>
      </c>
      <c r="S1954">
        <v>0</v>
      </c>
      <c r="T1954">
        <v>4</v>
      </c>
      <c r="U1954">
        <v>8</v>
      </c>
      <c r="V1954">
        <v>0</v>
      </c>
      <c r="W1954">
        <v>0</v>
      </c>
      <c r="X1954">
        <v>0</v>
      </c>
    </row>
    <row r="1955" spans="1:24" x14ac:dyDescent="0.2">
      <c r="A1955">
        <v>20210400</v>
      </c>
      <c r="B1955" t="s">
        <v>1954</v>
      </c>
      <c r="C1955">
        <v>500</v>
      </c>
      <c r="D1955">
        <v>500</v>
      </c>
      <c r="E1955">
        <v>10000</v>
      </c>
      <c r="F1955">
        <v>65</v>
      </c>
      <c r="G1955">
        <v>65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19</v>
      </c>
      <c r="Q1955">
        <v>0</v>
      </c>
      <c r="R1955">
        <v>19</v>
      </c>
      <c r="S1955">
        <v>0</v>
      </c>
      <c r="T1955">
        <v>4</v>
      </c>
      <c r="U1955">
        <v>8</v>
      </c>
      <c r="V1955">
        <v>0</v>
      </c>
      <c r="W1955">
        <v>0</v>
      </c>
      <c r="X1955">
        <v>0</v>
      </c>
    </row>
    <row r="1956" spans="1:24" x14ac:dyDescent="0.2">
      <c r="A1956">
        <v>20210500</v>
      </c>
      <c r="B1956" t="s">
        <v>1955</v>
      </c>
      <c r="C1956">
        <v>400</v>
      </c>
      <c r="D1956">
        <v>400</v>
      </c>
      <c r="E1956">
        <v>10000</v>
      </c>
      <c r="F1956">
        <v>65</v>
      </c>
      <c r="G1956">
        <v>65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19</v>
      </c>
      <c r="Q1956">
        <v>0</v>
      </c>
      <c r="R1956">
        <v>19</v>
      </c>
      <c r="S1956">
        <v>0</v>
      </c>
      <c r="T1956">
        <v>4</v>
      </c>
      <c r="U1956">
        <v>8</v>
      </c>
      <c r="V1956">
        <v>0</v>
      </c>
      <c r="W1956">
        <v>0</v>
      </c>
      <c r="X1956">
        <v>0</v>
      </c>
    </row>
    <row r="1957" spans="1:24" x14ac:dyDescent="0.2">
      <c r="A1957">
        <v>20210600</v>
      </c>
      <c r="B1957" t="s">
        <v>1956</v>
      </c>
      <c r="C1957">
        <v>600</v>
      </c>
      <c r="D1957">
        <v>600</v>
      </c>
      <c r="E1957">
        <v>10000</v>
      </c>
      <c r="F1957">
        <v>45</v>
      </c>
      <c r="G1957">
        <v>0</v>
      </c>
      <c r="H1957">
        <v>45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19</v>
      </c>
      <c r="Q1957">
        <v>0</v>
      </c>
      <c r="R1957">
        <v>0</v>
      </c>
      <c r="S1957">
        <v>0</v>
      </c>
      <c r="T1957">
        <v>4</v>
      </c>
      <c r="U1957">
        <v>8</v>
      </c>
      <c r="V1957">
        <v>0</v>
      </c>
      <c r="W1957">
        <v>0</v>
      </c>
      <c r="X1957">
        <v>0</v>
      </c>
    </row>
    <row r="1958" spans="1:24" x14ac:dyDescent="0.2">
      <c r="A1958">
        <v>20210700</v>
      </c>
      <c r="B1958" t="s">
        <v>1957</v>
      </c>
      <c r="C1958">
        <v>700</v>
      </c>
      <c r="D1958">
        <v>700</v>
      </c>
      <c r="E1958">
        <v>10000</v>
      </c>
      <c r="F1958">
        <v>65</v>
      </c>
      <c r="G1958">
        <v>0</v>
      </c>
      <c r="H1958">
        <v>65</v>
      </c>
      <c r="I1958">
        <v>0</v>
      </c>
      <c r="J1958">
        <v>0</v>
      </c>
      <c r="K1958">
        <v>0</v>
      </c>
      <c r="L1958">
        <v>0</v>
      </c>
      <c r="M1958">
        <v>4</v>
      </c>
      <c r="N1958">
        <v>0</v>
      </c>
      <c r="O1958">
        <v>0</v>
      </c>
      <c r="P1958">
        <v>19</v>
      </c>
      <c r="Q1958">
        <v>0</v>
      </c>
      <c r="R1958">
        <v>19</v>
      </c>
      <c r="S1958">
        <v>19</v>
      </c>
      <c r="T1958">
        <v>4</v>
      </c>
      <c r="U1958">
        <v>8</v>
      </c>
      <c r="V1958">
        <v>0</v>
      </c>
      <c r="W1958">
        <v>0</v>
      </c>
      <c r="X1958">
        <v>0</v>
      </c>
    </row>
    <row r="1959" spans="1:24" x14ac:dyDescent="0.2">
      <c r="A1959">
        <v>20210800</v>
      </c>
      <c r="B1959" t="s">
        <v>1958</v>
      </c>
      <c r="C1959">
        <v>800</v>
      </c>
      <c r="D1959">
        <v>800</v>
      </c>
      <c r="E1959">
        <v>10000</v>
      </c>
      <c r="F1959">
        <v>65</v>
      </c>
      <c r="G1959">
        <v>0</v>
      </c>
      <c r="H1959">
        <v>0</v>
      </c>
      <c r="I1959">
        <v>65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19</v>
      </c>
      <c r="Q1959">
        <v>0</v>
      </c>
      <c r="R1959">
        <v>0</v>
      </c>
      <c r="S1959">
        <v>19</v>
      </c>
      <c r="T1959">
        <v>4</v>
      </c>
      <c r="U1959">
        <v>8</v>
      </c>
      <c r="V1959">
        <v>0</v>
      </c>
      <c r="W1959">
        <v>0</v>
      </c>
      <c r="X1959">
        <v>0</v>
      </c>
    </row>
    <row r="1960" spans="1:24" x14ac:dyDescent="0.2">
      <c r="A1960">
        <v>20210900</v>
      </c>
      <c r="B1960" t="s">
        <v>1959</v>
      </c>
      <c r="C1960">
        <v>900</v>
      </c>
      <c r="D1960">
        <v>900</v>
      </c>
      <c r="E1960">
        <v>10000</v>
      </c>
      <c r="F1960">
        <v>45</v>
      </c>
      <c r="G1960">
        <v>0</v>
      </c>
      <c r="H1960">
        <v>0</v>
      </c>
      <c r="I1960">
        <v>0</v>
      </c>
      <c r="J1960">
        <v>45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19</v>
      </c>
      <c r="Q1960">
        <v>0</v>
      </c>
      <c r="R1960">
        <v>0</v>
      </c>
      <c r="S1960">
        <v>0</v>
      </c>
      <c r="T1960">
        <v>4</v>
      </c>
      <c r="U1960">
        <v>8</v>
      </c>
      <c r="V1960">
        <v>0</v>
      </c>
      <c r="W1960">
        <v>0</v>
      </c>
      <c r="X1960">
        <v>0</v>
      </c>
    </row>
    <row r="1961" spans="1:24" x14ac:dyDescent="0.2">
      <c r="A1961">
        <v>20211000</v>
      </c>
      <c r="B1961" t="s">
        <v>1960</v>
      </c>
      <c r="C1961">
        <v>1000</v>
      </c>
      <c r="D1961">
        <v>1000</v>
      </c>
      <c r="E1961">
        <v>10000</v>
      </c>
      <c r="F1961">
        <v>65</v>
      </c>
      <c r="G1961">
        <v>0</v>
      </c>
      <c r="H1961">
        <v>0</v>
      </c>
      <c r="I1961">
        <v>0</v>
      </c>
      <c r="J1961">
        <v>65</v>
      </c>
      <c r="K1961">
        <v>0</v>
      </c>
      <c r="L1961">
        <v>0</v>
      </c>
      <c r="M1961">
        <v>0</v>
      </c>
      <c r="N1961">
        <v>0</v>
      </c>
      <c r="O1961">
        <v>4</v>
      </c>
      <c r="P1961">
        <v>19</v>
      </c>
      <c r="Q1961">
        <v>0</v>
      </c>
      <c r="R1961">
        <v>19</v>
      </c>
      <c r="S1961">
        <v>19</v>
      </c>
      <c r="T1961">
        <v>4</v>
      </c>
      <c r="U1961">
        <v>8</v>
      </c>
      <c r="V1961">
        <v>0</v>
      </c>
      <c r="W1961">
        <v>0</v>
      </c>
      <c r="X1961">
        <v>0</v>
      </c>
    </row>
    <row r="1962" spans="1:24" x14ac:dyDescent="0.2">
      <c r="A1962">
        <v>20211100</v>
      </c>
      <c r="B1962" t="s">
        <v>1961</v>
      </c>
      <c r="C1962">
        <v>1100</v>
      </c>
      <c r="D1962">
        <v>1100</v>
      </c>
      <c r="E1962">
        <v>10000</v>
      </c>
      <c r="F1962">
        <v>53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19</v>
      </c>
      <c r="Q1962">
        <v>0</v>
      </c>
      <c r="R1962">
        <v>0</v>
      </c>
      <c r="S1962">
        <v>0</v>
      </c>
      <c r="T1962">
        <v>4</v>
      </c>
      <c r="U1962">
        <v>8</v>
      </c>
      <c r="V1962">
        <v>0</v>
      </c>
      <c r="W1962">
        <v>0</v>
      </c>
      <c r="X1962">
        <v>0</v>
      </c>
    </row>
    <row r="1963" spans="1:24" x14ac:dyDescent="0.2">
      <c r="A1963">
        <v>20211200</v>
      </c>
      <c r="B1963" t="s">
        <v>1962</v>
      </c>
      <c r="C1963">
        <v>1200</v>
      </c>
      <c r="D1963">
        <v>1200</v>
      </c>
      <c r="E1963">
        <v>10000</v>
      </c>
      <c r="F1963">
        <v>53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19</v>
      </c>
      <c r="Q1963">
        <v>0</v>
      </c>
      <c r="R1963">
        <v>0</v>
      </c>
      <c r="S1963">
        <v>0</v>
      </c>
      <c r="T1963">
        <v>4</v>
      </c>
      <c r="U1963">
        <v>8</v>
      </c>
      <c r="V1963">
        <v>0</v>
      </c>
      <c r="W1963">
        <v>0</v>
      </c>
      <c r="X1963">
        <v>0</v>
      </c>
    </row>
    <row r="1964" spans="1:24" x14ac:dyDescent="0.2">
      <c r="A1964">
        <v>20211300</v>
      </c>
      <c r="B1964" t="s">
        <v>1963</v>
      </c>
      <c r="C1964">
        <v>1300</v>
      </c>
      <c r="D1964">
        <v>1300</v>
      </c>
      <c r="E1964">
        <v>10000</v>
      </c>
      <c r="F1964">
        <v>53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19</v>
      </c>
      <c r="Q1964">
        <v>0</v>
      </c>
      <c r="R1964">
        <v>0</v>
      </c>
      <c r="S1964">
        <v>0</v>
      </c>
      <c r="T1964">
        <v>4</v>
      </c>
      <c r="U1964">
        <v>8</v>
      </c>
      <c r="V1964">
        <v>0</v>
      </c>
      <c r="W1964">
        <v>0</v>
      </c>
      <c r="X1964">
        <v>0</v>
      </c>
    </row>
    <row r="1965" spans="1:24" x14ac:dyDescent="0.2">
      <c r="A1965">
        <v>20211400</v>
      </c>
      <c r="B1965" t="s">
        <v>1964</v>
      </c>
      <c r="C1965">
        <v>1400</v>
      </c>
      <c r="D1965">
        <v>1400</v>
      </c>
      <c r="E1965">
        <v>10014</v>
      </c>
      <c r="F1965">
        <v>65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19</v>
      </c>
      <c r="Q1965">
        <v>0</v>
      </c>
      <c r="R1965">
        <v>0</v>
      </c>
      <c r="S1965">
        <v>19</v>
      </c>
      <c r="T1965">
        <v>4</v>
      </c>
      <c r="U1965">
        <v>8</v>
      </c>
      <c r="V1965">
        <v>0</v>
      </c>
      <c r="W1965">
        <v>0</v>
      </c>
      <c r="X1965">
        <v>0</v>
      </c>
    </row>
    <row r="1966" spans="1:24" x14ac:dyDescent="0.2">
      <c r="A1966">
        <v>20211500</v>
      </c>
      <c r="B1966" t="s">
        <v>1965</v>
      </c>
      <c r="C1966">
        <v>1500</v>
      </c>
      <c r="D1966">
        <v>1500</v>
      </c>
      <c r="E1966">
        <v>10015</v>
      </c>
      <c r="F1966">
        <v>53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19</v>
      </c>
      <c r="Q1966">
        <v>0</v>
      </c>
      <c r="R1966">
        <v>0</v>
      </c>
      <c r="S1966">
        <v>0</v>
      </c>
      <c r="T1966">
        <v>4</v>
      </c>
      <c r="U1966">
        <v>8</v>
      </c>
      <c r="V1966">
        <v>0</v>
      </c>
      <c r="W1966">
        <v>0</v>
      </c>
      <c r="X1966">
        <v>0</v>
      </c>
    </row>
    <row r="1967" spans="1:24" x14ac:dyDescent="0.2">
      <c r="A1967">
        <v>20220000</v>
      </c>
      <c r="B1967" t="s">
        <v>1966</v>
      </c>
      <c r="C1967">
        <v>0</v>
      </c>
      <c r="D1967">
        <v>8000</v>
      </c>
      <c r="E1967">
        <v>10000</v>
      </c>
      <c r="F1967">
        <v>69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20</v>
      </c>
      <c r="Q1967">
        <v>0</v>
      </c>
      <c r="R1967">
        <v>0</v>
      </c>
      <c r="S1967">
        <v>0</v>
      </c>
      <c r="T1967">
        <v>4</v>
      </c>
      <c r="U1967">
        <v>7</v>
      </c>
      <c r="V1967">
        <v>0</v>
      </c>
      <c r="W1967">
        <v>0</v>
      </c>
      <c r="X1967">
        <v>0</v>
      </c>
    </row>
    <row r="1968" spans="1:24" x14ac:dyDescent="0.2">
      <c r="A1968">
        <v>20220100</v>
      </c>
      <c r="B1968" t="s">
        <v>1967</v>
      </c>
      <c r="C1968">
        <v>200</v>
      </c>
      <c r="D1968">
        <v>100</v>
      </c>
      <c r="E1968">
        <v>10000</v>
      </c>
      <c r="F1968">
        <v>69</v>
      </c>
      <c r="G1968">
        <v>0</v>
      </c>
      <c r="H1968">
        <v>0</v>
      </c>
      <c r="I1968">
        <v>0</v>
      </c>
      <c r="J1968">
        <v>0</v>
      </c>
      <c r="K1968">
        <v>1</v>
      </c>
      <c r="L1968">
        <v>0</v>
      </c>
      <c r="M1968">
        <v>0</v>
      </c>
      <c r="N1968">
        <v>0</v>
      </c>
      <c r="O1968">
        <v>0</v>
      </c>
      <c r="P1968">
        <v>20</v>
      </c>
      <c r="Q1968">
        <v>0</v>
      </c>
      <c r="R1968">
        <v>0</v>
      </c>
      <c r="S1968">
        <v>0</v>
      </c>
      <c r="T1968">
        <v>4</v>
      </c>
      <c r="U1968">
        <v>7</v>
      </c>
      <c r="V1968">
        <v>0</v>
      </c>
      <c r="W1968">
        <v>0</v>
      </c>
      <c r="X1968">
        <v>0</v>
      </c>
    </row>
    <row r="1969" spans="1:24" x14ac:dyDescent="0.2">
      <c r="A1969">
        <v>20220200</v>
      </c>
      <c r="B1969" t="s">
        <v>1968</v>
      </c>
      <c r="C1969">
        <v>100</v>
      </c>
      <c r="D1969">
        <v>200</v>
      </c>
      <c r="E1969">
        <v>10000</v>
      </c>
      <c r="F1969">
        <v>69</v>
      </c>
      <c r="G1969">
        <v>0</v>
      </c>
      <c r="H1969">
        <v>0</v>
      </c>
      <c r="I1969">
        <v>0</v>
      </c>
      <c r="J1969">
        <v>0</v>
      </c>
      <c r="K1969">
        <v>1</v>
      </c>
      <c r="L1969">
        <v>0</v>
      </c>
      <c r="M1969">
        <v>0</v>
      </c>
      <c r="N1969">
        <v>0</v>
      </c>
      <c r="O1969">
        <v>0</v>
      </c>
      <c r="P1969">
        <v>20</v>
      </c>
      <c r="Q1969">
        <v>0</v>
      </c>
      <c r="R1969">
        <v>0</v>
      </c>
      <c r="S1969">
        <v>0</v>
      </c>
      <c r="T1969">
        <v>4</v>
      </c>
      <c r="U1969">
        <v>7</v>
      </c>
      <c r="V1969">
        <v>0</v>
      </c>
      <c r="W1969">
        <v>0</v>
      </c>
      <c r="X1969">
        <v>0</v>
      </c>
    </row>
    <row r="1970" spans="1:24" x14ac:dyDescent="0.2">
      <c r="A1970">
        <v>20220300</v>
      </c>
      <c r="B1970" t="s">
        <v>1969</v>
      </c>
      <c r="C1970">
        <v>300</v>
      </c>
      <c r="D1970">
        <v>300</v>
      </c>
      <c r="E1970">
        <v>10000</v>
      </c>
      <c r="F1970">
        <v>69</v>
      </c>
      <c r="G1970">
        <v>0</v>
      </c>
      <c r="H1970">
        <v>0</v>
      </c>
      <c r="I1970">
        <v>0</v>
      </c>
      <c r="J1970">
        <v>0</v>
      </c>
      <c r="K1970">
        <v>8</v>
      </c>
      <c r="L1970">
        <v>0</v>
      </c>
      <c r="M1970">
        <v>0</v>
      </c>
      <c r="N1970">
        <v>0</v>
      </c>
      <c r="O1970">
        <v>0</v>
      </c>
      <c r="P1970">
        <v>20</v>
      </c>
      <c r="Q1970">
        <v>20</v>
      </c>
      <c r="R1970">
        <v>0</v>
      </c>
      <c r="S1970">
        <v>0</v>
      </c>
      <c r="T1970">
        <v>4</v>
      </c>
      <c r="U1970">
        <v>7</v>
      </c>
      <c r="V1970">
        <v>0</v>
      </c>
      <c r="W1970">
        <v>0</v>
      </c>
      <c r="X1970">
        <v>0</v>
      </c>
    </row>
    <row r="1971" spans="1:24" x14ac:dyDescent="0.2">
      <c r="A1971">
        <v>20220400</v>
      </c>
      <c r="B1971" t="s">
        <v>1970</v>
      </c>
      <c r="C1971">
        <v>500</v>
      </c>
      <c r="D1971">
        <v>500</v>
      </c>
      <c r="E1971">
        <v>10000</v>
      </c>
      <c r="F1971">
        <v>78</v>
      </c>
      <c r="G1971">
        <v>78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20</v>
      </c>
      <c r="Q1971">
        <v>0</v>
      </c>
      <c r="R1971">
        <v>20</v>
      </c>
      <c r="S1971">
        <v>0</v>
      </c>
      <c r="T1971">
        <v>4</v>
      </c>
      <c r="U1971">
        <v>7</v>
      </c>
      <c r="V1971">
        <v>0</v>
      </c>
      <c r="W1971">
        <v>0</v>
      </c>
      <c r="X1971">
        <v>0</v>
      </c>
    </row>
    <row r="1972" spans="1:24" x14ac:dyDescent="0.2">
      <c r="A1972">
        <v>20220500</v>
      </c>
      <c r="B1972" t="s">
        <v>1971</v>
      </c>
      <c r="C1972">
        <v>400</v>
      </c>
      <c r="D1972">
        <v>400</v>
      </c>
      <c r="E1972">
        <v>10000</v>
      </c>
      <c r="F1972">
        <v>78</v>
      </c>
      <c r="G1972">
        <v>78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20</v>
      </c>
      <c r="Q1972">
        <v>0</v>
      </c>
      <c r="R1972">
        <v>20</v>
      </c>
      <c r="S1972">
        <v>0</v>
      </c>
      <c r="T1972">
        <v>4</v>
      </c>
      <c r="U1972">
        <v>7</v>
      </c>
      <c r="V1972">
        <v>0</v>
      </c>
      <c r="W1972">
        <v>0</v>
      </c>
      <c r="X1972">
        <v>0</v>
      </c>
    </row>
    <row r="1973" spans="1:24" x14ac:dyDescent="0.2">
      <c r="A1973">
        <v>20220600</v>
      </c>
      <c r="B1973" t="s">
        <v>1972</v>
      </c>
      <c r="C1973">
        <v>600</v>
      </c>
      <c r="D1973">
        <v>600</v>
      </c>
      <c r="E1973">
        <v>10000</v>
      </c>
      <c r="F1973">
        <v>59</v>
      </c>
      <c r="G1973">
        <v>0</v>
      </c>
      <c r="H1973">
        <v>59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20</v>
      </c>
      <c r="Q1973">
        <v>0</v>
      </c>
      <c r="R1973">
        <v>0</v>
      </c>
      <c r="S1973">
        <v>0</v>
      </c>
      <c r="T1973">
        <v>4</v>
      </c>
      <c r="U1973">
        <v>7</v>
      </c>
      <c r="V1973">
        <v>0</v>
      </c>
      <c r="W1973">
        <v>0</v>
      </c>
      <c r="X1973">
        <v>0</v>
      </c>
    </row>
    <row r="1974" spans="1:24" x14ac:dyDescent="0.2">
      <c r="A1974">
        <v>20220700</v>
      </c>
      <c r="B1974" t="s">
        <v>1973</v>
      </c>
      <c r="C1974">
        <v>700</v>
      </c>
      <c r="D1974">
        <v>700</v>
      </c>
      <c r="E1974">
        <v>10000</v>
      </c>
      <c r="F1974">
        <v>78</v>
      </c>
      <c r="G1974">
        <v>0</v>
      </c>
      <c r="H1974">
        <v>78</v>
      </c>
      <c r="I1974">
        <v>0</v>
      </c>
      <c r="J1974">
        <v>0</v>
      </c>
      <c r="K1974">
        <v>0</v>
      </c>
      <c r="L1974">
        <v>0</v>
      </c>
      <c r="M1974">
        <v>4</v>
      </c>
      <c r="N1974">
        <v>0</v>
      </c>
      <c r="O1974">
        <v>0</v>
      </c>
      <c r="P1974">
        <v>20</v>
      </c>
      <c r="Q1974">
        <v>0</v>
      </c>
      <c r="R1974">
        <v>20</v>
      </c>
      <c r="S1974">
        <v>20</v>
      </c>
      <c r="T1974">
        <v>4</v>
      </c>
      <c r="U1974">
        <v>7</v>
      </c>
      <c r="V1974">
        <v>0</v>
      </c>
      <c r="W1974">
        <v>0</v>
      </c>
      <c r="X1974">
        <v>0</v>
      </c>
    </row>
    <row r="1975" spans="1:24" x14ac:dyDescent="0.2">
      <c r="A1975">
        <v>20220800</v>
      </c>
      <c r="B1975" t="s">
        <v>1974</v>
      </c>
      <c r="C1975">
        <v>800</v>
      </c>
      <c r="D1975">
        <v>800</v>
      </c>
      <c r="E1975">
        <v>10000</v>
      </c>
      <c r="F1975">
        <v>78</v>
      </c>
      <c r="G1975">
        <v>0</v>
      </c>
      <c r="H1975">
        <v>0</v>
      </c>
      <c r="I1975">
        <v>78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20</v>
      </c>
      <c r="Q1975">
        <v>0</v>
      </c>
      <c r="R1975">
        <v>0</v>
      </c>
      <c r="S1975">
        <v>20</v>
      </c>
      <c r="T1975">
        <v>4</v>
      </c>
      <c r="U1975">
        <v>7</v>
      </c>
      <c r="V1975">
        <v>0</v>
      </c>
      <c r="W1975">
        <v>0</v>
      </c>
      <c r="X1975">
        <v>0</v>
      </c>
    </row>
    <row r="1976" spans="1:24" x14ac:dyDescent="0.2">
      <c r="A1976">
        <v>20220900</v>
      </c>
      <c r="B1976" t="s">
        <v>1975</v>
      </c>
      <c r="C1976">
        <v>900</v>
      </c>
      <c r="D1976">
        <v>900</v>
      </c>
      <c r="E1976">
        <v>10000</v>
      </c>
      <c r="F1976">
        <v>59</v>
      </c>
      <c r="G1976">
        <v>0</v>
      </c>
      <c r="H1976">
        <v>0</v>
      </c>
      <c r="I1976">
        <v>0</v>
      </c>
      <c r="J1976">
        <v>59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20</v>
      </c>
      <c r="Q1976">
        <v>0</v>
      </c>
      <c r="R1976">
        <v>0</v>
      </c>
      <c r="S1976">
        <v>0</v>
      </c>
      <c r="T1976">
        <v>4</v>
      </c>
      <c r="U1976">
        <v>7</v>
      </c>
      <c r="V1976">
        <v>0</v>
      </c>
      <c r="W1976">
        <v>0</v>
      </c>
      <c r="X1976">
        <v>0</v>
      </c>
    </row>
    <row r="1977" spans="1:24" x14ac:dyDescent="0.2">
      <c r="A1977">
        <v>20221000</v>
      </c>
      <c r="B1977" t="s">
        <v>1976</v>
      </c>
      <c r="C1977">
        <v>1000</v>
      </c>
      <c r="D1977">
        <v>1000</v>
      </c>
      <c r="E1977">
        <v>10000</v>
      </c>
      <c r="F1977">
        <v>78</v>
      </c>
      <c r="G1977">
        <v>0</v>
      </c>
      <c r="H1977">
        <v>0</v>
      </c>
      <c r="I1977">
        <v>0</v>
      </c>
      <c r="J1977">
        <v>78</v>
      </c>
      <c r="K1977">
        <v>0</v>
      </c>
      <c r="L1977">
        <v>0</v>
      </c>
      <c r="M1977">
        <v>0</v>
      </c>
      <c r="N1977">
        <v>0</v>
      </c>
      <c r="O1977">
        <v>4</v>
      </c>
      <c r="P1977">
        <v>20</v>
      </c>
      <c r="Q1977">
        <v>0</v>
      </c>
      <c r="R1977">
        <v>20</v>
      </c>
      <c r="S1977">
        <v>20</v>
      </c>
      <c r="T1977">
        <v>4</v>
      </c>
      <c r="U1977">
        <v>7</v>
      </c>
      <c r="V1977">
        <v>0</v>
      </c>
      <c r="W1977">
        <v>0</v>
      </c>
      <c r="X1977">
        <v>0</v>
      </c>
    </row>
    <row r="1978" spans="1:24" x14ac:dyDescent="0.2">
      <c r="A1978">
        <v>20221100</v>
      </c>
      <c r="B1978" t="s">
        <v>1977</v>
      </c>
      <c r="C1978">
        <v>1100</v>
      </c>
      <c r="D1978">
        <v>1100</v>
      </c>
      <c r="E1978">
        <v>10000</v>
      </c>
      <c r="F1978">
        <v>69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20</v>
      </c>
      <c r="Q1978">
        <v>0</v>
      </c>
      <c r="R1978">
        <v>0</v>
      </c>
      <c r="S1978">
        <v>0</v>
      </c>
      <c r="T1978">
        <v>4</v>
      </c>
      <c r="U1978">
        <v>7</v>
      </c>
      <c r="V1978">
        <v>0</v>
      </c>
      <c r="W1978">
        <v>0</v>
      </c>
      <c r="X1978">
        <v>0</v>
      </c>
    </row>
    <row r="1979" spans="1:24" x14ac:dyDescent="0.2">
      <c r="A1979">
        <v>20221200</v>
      </c>
      <c r="B1979" t="s">
        <v>1978</v>
      </c>
      <c r="C1979">
        <v>1200</v>
      </c>
      <c r="D1979">
        <v>1200</v>
      </c>
      <c r="E1979">
        <v>10000</v>
      </c>
      <c r="F1979">
        <v>69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20</v>
      </c>
      <c r="Q1979">
        <v>0</v>
      </c>
      <c r="R1979">
        <v>0</v>
      </c>
      <c r="S1979">
        <v>0</v>
      </c>
      <c r="T1979">
        <v>4</v>
      </c>
      <c r="U1979">
        <v>7</v>
      </c>
      <c r="V1979">
        <v>0</v>
      </c>
      <c r="W1979">
        <v>0</v>
      </c>
      <c r="X1979">
        <v>0</v>
      </c>
    </row>
    <row r="1980" spans="1:24" x14ac:dyDescent="0.2">
      <c r="A1980">
        <v>20221300</v>
      </c>
      <c r="B1980" t="s">
        <v>1979</v>
      </c>
      <c r="C1980">
        <v>1300</v>
      </c>
      <c r="D1980">
        <v>1300</v>
      </c>
      <c r="E1980">
        <v>10000</v>
      </c>
      <c r="F1980">
        <v>69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20</v>
      </c>
      <c r="Q1980">
        <v>0</v>
      </c>
      <c r="R1980">
        <v>0</v>
      </c>
      <c r="S1980">
        <v>0</v>
      </c>
      <c r="T1980">
        <v>4</v>
      </c>
      <c r="U1980">
        <v>7</v>
      </c>
      <c r="V1980">
        <v>0</v>
      </c>
      <c r="W1980">
        <v>0</v>
      </c>
      <c r="X1980">
        <v>0</v>
      </c>
    </row>
    <row r="1981" spans="1:24" x14ac:dyDescent="0.2">
      <c r="A1981">
        <v>20221400</v>
      </c>
      <c r="B1981" t="s">
        <v>1980</v>
      </c>
      <c r="C1981">
        <v>1400</v>
      </c>
      <c r="D1981">
        <v>1400</v>
      </c>
      <c r="E1981">
        <v>10014</v>
      </c>
      <c r="F1981">
        <v>78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20</v>
      </c>
      <c r="Q1981">
        <v>0</v>
      </c>
      <c r="R1981">
        <v>0</v>
      </c>
      <c r="S1981">
        <v>20</v>
      </c>
      <c r="T1981">
        <v>4</v>
      </c>
      <c r="U1981">
        <v>7</v>
      </c>
      <c r="V1981">
        <v>0</v>
      </c>
      <c r="W1981">
        <v>0</v>
      </c>
      <c r="X1981">
        <v>0</v>
      </c>
    </row>
    <row r="1982" spans="1:24" x14ac:dyDescent="0.2">
      <c r="A1982">
        <v>20221500</v>
      </c>
      <c r="B1982" t="s">
        <v>1981</v>
      </c>
      <c r="C1982">
        <v>1500</v>
      </c>
      <c r="D1982">
        <v>1500</v>
      </c>
      <c r="E1982">
        <v>10015</v>
      </c>
      <c r="F1982">
        <v>69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20</v>
      </c>
      <c r="Q1982">
        <v>0</v>
      </c>
      <c r="R1982">
        <v>0</v>
      </c>
      <c r="S1982">
        <v>0</v>
      </c>
      <c r="T1982">
        <v>4</v>
      </c>
      <c r="U1982">
        <v>7</v>
      </c>
      <c r="V1982">
        <v>0</v>
      </c>
      <c r="W1982">
        <v>0</v>
      </c>
      <c r="X1982">
        <v>0</v>
      </c>
    </row>
    <row r="1983" spans="1:24" x14ac:dyDescent="0.2">
      <c r="A1983">
        <v>20230000</v>
      </c>
      <c r="B1983" t="s">
        <v>1982</v>
      </c>
      <c r="C1983">
        <v>0</v>
      </c>
      <c r="D1983">
        <v>8000</v>
      </c>
      <c r="E1983">
        <v>10000</v>
      </c>
      <c r="F1983">
        <v>69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20</v>
      </c>
      <c r="Q1983">
        <v>0</v>
      </c>
      <c r="R1983">
        <v>0</v>
      </c>
      <c r="S1983">
        <v>0</v>
      </c>
      <c r="T1983">
        <v>4</v>
      </c>
      <c r="U1983">
        <v>7</v>
      </c>
      <c r="V1983">
        <v>0</v>
      </c>
      <c r="W1983">
        <v>0</v>
      </c>
      <c r="X1983">
        <v>0</v>
      </c>
    </row>
    <row r="1984" spans="1:24" x14ac:dyDescent="0.2">
      <c r="A1984">
        <v>20230100</v>
      </c>
      <c r="B1984" t="s">
        <v>1983</v>
      </c>
      <c r="C1984">
        <v>200</v>
      </c>
      <c r="D1984">
        <v>100</v>
      </c>
      <c r="E1984">
        <v>10000</v>
      </c>
      <c r="F1984">
        <v>69</v>
      </c>
      <c r="G1984">
        <v>0</v>
      </c>
      <c r="H1984">
        <v>0</v>
      </c>
      <c r="I1984">
        <v>0</v>
      </c>
      <c r="J1984">
        <v>0</v>
      </c>
      <c r="K1984">
        <v>1</v>
      </c>
      <c r="L1984">
        <v>0</v>
      </c>
      <c r="M1984">
        <v>0</v>
      </c>
      <c r="N1984">
        <v>0</v>
      </c>
      <c r="O1984">
        <v>0</v>
      </c>
      <c r="P1984">
        <v>20</v>
      </c>
      <c r="Q1984">
        <v>0</v>
      </c>
      <c r="R1984">
        <v>0</v>
      </c>
      <c r="S1984">
        <v>0</v>
      </c>
      <c r="T1984">
        <v>4</v>
      </c>
      <c r="U1984">
        <v>7</v>
      </c>
      <c r="V1984">
        <v>0</v>
      </c>
      <c r="W1984">
        <v>0</v>
      </c>
      <c r="X1984">
        <v>0</v>
      </c>
    </row>
    <row r="1985" spans="1:24" x14ac:dyDescent="0.2">
      <c r="A1985">
        <v>20230200</v>
      </c>
      <c r="B1985" t="s">
        <v>1984</v>
      </c>
      <c r="C1985">
        <v>100</v>
      </c>
      <c r="D1985">
        <v>200</v>
      </c>
      <c r="E1985">
        <v>10000</v>
      </c>
      <c r="F1985">
        <v>69</v>
      </c>
      <c r="G1985">
        <v>0</v>
      </c>
      <c r="H1985">
        <v>0</v>
      </c>
      <c r="I1985">
        <v>0</v>
      </c>
      <c r="J1985">
        <v>0</v>
      </c>
      <c r="K1985">
        <v>1</v>
      </c>
      <c r="L1985">
        <v>0</v>
      </c>
      <c r="M1985">
        <v>0</v>
      </c>
      <c r="N1985">
        <v>0</v>
      </c>
      <c r="O1985">
        <v>0</v>
      </c>
      <c r="P1985">
        <v>20</v>
      </c>
      <c r="Q1985">
        <v>0</v>
      </c>
      <c r="R1985">
        <v>0</v>
      </c>
      <c r="S1985">
        <v>0</v>
      </c>
      <c r="T1985">
        <v>4</v>
      </c>
      <c r="U1985">
        <v>7</v>
      </c>
      <c r="V1985">
        <v>0</v>
      </c>
      <c r="W1985">
        <v>0</v>
      </c>
      <c r="X1985">
        <v>0</v>
      </c>
    </row>
    <row r="1986" spans="1:24" x14ac:dyDescent="0.2">
      <c r="A1986">
        <v>20230300</v>
      </c>
      <c r="B1986" t="s">
        <v>1985</v>
      </c>
      <c r="C1986">
        <v>300</v>
      </c>
      <c r="D1986">
        <v>300</v>
      </c>
      <c r="E1986">
        <v>10000</v>
      </c>
      <c r="F1986">
        <v>69</v>
      </c>
      <c r="G1986">
        <v>0</v>
      </c>
      <c r="H1986">
        <v>0</v>
      </c>
      <c r="I1986">
        <v>0</v>
      </c>
      <c r="J1986">
        <v>0</v>
      </c>
      <c r="K1986">
        <v>8</v>
      </c>
      <c r="L1986">
        <v>0</v>
      </c>
      <c r="M1986">
        <v>0</v>
      </c>
      <c r="N1986">
        <v>0</v>
      </c>
      <c r="O1986">
        <v>0</v>
      </c>
      <c r="P1986">
        <v>20</v>
      </c>
      <c r="Q1986">
        <v>20</v>
      </c>
      <c r="R1986">
        <v>0</v>
      </c>
      <c r="S1986">
        <v>0</v>
      </c>
      <c r="T1986">
        <v>4</v>
      </c>
      <c r="U1986">
        <v>7</v>
      </c>
      <c r="V1986">
        <v>0</v>
      </c>
      <c r="W1986">
        <v>0</v>
      </c>
      <c r="X1986">
        <v>0</v>
      </c>
    </row>
    <row r="1987" spans="1:24" x14ac:dyDescent="0.2">
      <c r="A1987">
        <v>20230400</v>
      </c>
      <c r="B1987" t="s">
        <v>1986</v>
      </c>
      <c r="C1987">
        <v>500</v>
      </c>
      <c r="D1987">
        <v>500</v>
      </c>
      <c r="E1987">
        <v>10000</v>
      </c>
      <c r="F1987">
        <v>78</v>
      </c>
      <c r="G1987">
        <v>78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20</v>
      </c>
      <c r="Q1987">
        <v>0</v>
      </c>
      <c r="R1987">
        <v>20</v>
      </c>
      <c r="S1987">
        <v>0</v>
      </c>
      <c r="T1987">
        <v>4</v>
      </c>
      <c r="U1987">
        <v>7</v>
      </c>
      <c r="V1987">
        <v>0</v>
      </c>
      <c r="W1987">
        <v>0</v>
      </c>
      <c r="X1987">
        <v>0</v>
      </c>
    </row>
    <row r="1988" spans="1:24" x14ac:dyDescent="0.2">
      <c r="A1988">
        <v>20230500</v>
      </c>
      <c r="B1988" t="s">
        <v>1987</v>
      </c>
      <c r="C1988">
        <v>400</v>
      </c>
      <c r="D1988">
        <v>400</v>
      </c>
      <c r="E1988">
        <v>10000</v>
      </c>
      <c r="F1988">
        <v>78</v>
      </c>
      <c r="G1988">
        <v>78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20</v>
      </c>
      <c r="Q1988">
        <v>0</v>
      </c>
      <c r="R1988">
        <v>20</v>
      </c>
      <c r="S1988">
        <v>0</v>
      </c>
      <c r="T1988">
        <v>4</v>
      </c>
      <c r="U1988">
        <v>7</v>
      </c>
      <c r="V1988">
        <v>0</v>
      </c>
      <c r="W1988">
        <v>0</v>
      </c>
      <c r="X1988">
        <v>0</v>
      </c>
    </row>
    <row r="1989" spans="1:24" x14ac:dyDescent="0.2">
      <c r="A1989">
        <v>20230600</v>
      </c>
      <c r="B1989" t="s">
        <v>1988</v>
      </c>
      <c r="C1989">
        <v>600</v>
      </c>
      <c r="D1989">
        <v>600</v>
      </c>
      <c r="E1989">
        <v>10000</v>
      </c>
      <c r="F1989">
        <v>59</v>
      </c>
      <c r="G1989">
        <v>0</v>
      </c>
      <c r="H1989">
        <v>59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20</v>
      </c>
      <c r="Q1989">
        <v>0</v>
      </c>
      <c r="R1989">
        <v>0</v>
      </c>
      <c r="S1989">
        <v>0</v>
      </c>
      <c r="T1989">
        <v>4</v>
      </c>
      <c r="U1989">
        <v>7</v>
      </c>
      <c r="V1989">
        <v>0</v>
      </c>
      <c r="W1989">
        <v>0</v>
      </c>
      <c r="X1989">
        <v>0</v>
      </c>
    </row>
    <row r="1990" spans="1:24" x14ac:dyDescent="0.2">
      <c r="A1990">
        <v>20230700</v>
      </c>
      <c r="B1990" t="s">
        <v>1989</v>
      </c>
      <c r="C1990">
        <v>700</v>
      </c>
      <c r="D1990">
        <v>700</v>
      </c>
      <c r="E1990">
        <v>10000</v>
      </c>
      <c r="F1990">
        <v>78</v>
      </c>
      <c r="G1990">
        <v>0</v>
      </c>
      <c r="H1990">
        <v>78</v>
      </c>
      <c r="I1990">
        <v>0</v>
      </c>
      <c r="J1990">
        <v>0</v>
      </c>
      <c r="K1990">
        <v>0</v>
      </c>
      <c r="L1990">
        <v>0</v>
      </c>
      <c r="M1990">
        <v>4</v>
      </c>
      <c r="N1990">
        <v>0</v>
      </c>
      <c r="O1990">
        <v>0</v>
      </c>
      <c r="P1990">
        <v>20</v>
      </c>
      <c r="Q1990">
        <v>0</v>
      </c>
      <c r="R1990">
        <v>20</v>
      </c>
      <c r="S1990">
        <v>20</v>
      </c>
      <c r="T1990">
        <v>4</v>
      </c>
      <c r="U1990">
        <v>7</v>
      </c>
      <c r="V1990">
        <v>0</v>
      </c>
      <c r="W1990">
        <v>0</v>
      </c>
      <c r="X1990">
        <v>0</v>
      </c>
    </row>
    <row r="1991" spans="1:24" x14ac:dyDescent="0.2">
      <c r="A1991">
        <v>20230800</v>
      </c>
      <c r="B1991" t="s">
        <v>1990</v>
      </c>
      <c r="C1991">
        <v>800</v>
      </c>
      <c r="D1991">
        <v>800</v>
      </c>
      <c r="E1991">
        <v>10000</v>
      </c>
      <c r="F1991">
        <v>78</v>
      </c>
      <c r="G1991">
        <v>0</v>
      </c>
      <c r="H1991">
        <v>0</v>
      </c>
      <c r="I1991">
        <v>78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20</v>
      </c>
      <c r="Q1991">
        <v>0</v>
      </c>
      <c r="R1991">
        <v>0</v>
      </c>
      <c r="S1991">
        <v>20</v>
      </c>
      <c r="T1991">
        <v>4</v>
      </c>
      <c r="U1991">
        <v>7</v>
      </c>
      <c r="V1991">
        <v>0</v>
      </c>
      <c r="W1991">
        <v>0</v>
      </c>
      <c r="X1991">
        <v>0</v>
      </c>
    </row>
    <row r="1992" spans="1:24" x14ac:dyDescent="0.2">
      <c r="A1992">
        <v>20230900</v>
      </c>
      <c r="B1992" t="s">
        <v>1991</v>
      </c>
      <c r="C1992">
        <v>900</v>
      </c>
      <c r="D1992">
        <v>900</v>
      </c>
      <c r="E1992">
        <v>10000</v>
      </c>
      <c r="F1992">
        <v>59</v>
      </c>
      <c r="G1992">
        <v>0</v>
      </c>
      <c r="H1992">
        <v>0</v>
      </c>
      <c r="I1992">
        <v>0</v>
      </c>
      <c r="J1992">
        <v>59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20</v>
      </c>
      <c r="Q1992">
        <v>0</v>
      </c>
      <c r="R1992">
        <v>0</v>
      </c>
      <c r="S1992">
        <v>0</v>
      </c>
      <c r="T1992">
        <v>4</v>
      </c>
      <c r="U1992">
        <v>7</v>
      </c>
      <c r="V1992">
        <v>0</v>
      </c>
      <c r="W1992">
        <v>0</v>
      </c>
      <c r="X1992">
        <v>0</v>
      </c>
    </row>
    <row r="1993" spans="1:24" x14ac:dyDescent="0.2">
      <c r="A1993">
        <v>20231000</v>
      </c>
      <c r="B1993" t="s">
        <v>1992</v>
      </c>
      <c r="C1993">
        <v>1000</v>
      </c>
      <c r="D1993">
        <v>1000</v>
      </c>
      <c r="E1993">
        <v>10000</v>
      </c>
      <c r="F1993">
        <v>78</v>
      </c>
      <c r="G1993">
        <v>0</v>
      </c>
      <c r="H1993">
        <v>0</v>
      </c>
      <c r="I1993">
        <v>0</v>
      </c>
      <c r="J1993">
        <v>78</v>
      </c>
      <c r="K1993">
        <v>0</v>
      </c>
      <c r="L1993">
        <v>0</v>
      </c>
      <c r="M1993">
        <v>0</v>
      </c>
      <c r="N1993">
        <v>0</v>
      </c>
      <c r="O1993">
        <v>4</v>
      </c>
      <c r="P1993">
        <v>20</v>
      </c>
      <c r="Q1993">
        <v>0</v>
      </c>
      <c r="R1993">
        <v>20</v>
      </c>
      <c r="S1993">
        <v>20</v>
      </c>
      <c r="T1993">
        <v>4</v>
      </c>
      <c r="U1993">
        <v>7</v>
      </c>
      <c r="V1993">
        <v>0</v>
      </c>
      <c r="W1993">
        <v>0</v>
      </c>
      <c r="X1993">
        <v>0</v>
      </c>
    </row>
    <row r="1994" spans="1:24" x14ac:dyDescent="0.2">
      <c r="A1994">
        <v>20231100</v>
      </c>
      <c r="B1994" t="s">
        <v>1993</v>
      </c>
      <c r="C1994">
        <v>1100</v>
      </c>
      <c r="D1994">
        <v>1100</v>
      </c>
      <c r="E1994">
        <v>10000</v>
      </c>
      <c r="F1994">
        <v>69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20</v>
      </c>
      <c r="Q1994">
        <v>0</v>
      </c>
      <c r="R1994">
        <v>0</v>
      </c>
      <c r="S1994">
        <v>0</v>
      </c>
      <c r="T1994">
        <v>4</v>
      </c>
      <c r="U1994">
        <v>7</v>
      </c>
      <c r="V1994">
        <v>0</v>
      </c>
      <c r="W1994">
        <v>0</v>
      </c>
      <c r="X1994">
        <v>0</v>
      </c>
    </row>
    <row r="1995" spans="1:24" x14ac:dyDescent="0.2">
      <c r="A1995">
        <v>20231200</v>
      </c>
      <c r="B1995" t="s">
        <v>1994</v>
      </c>
      <c r="C1995">
        <v>1200</v>
      </c>
      <c r="D1995">
        <v>1200</v>
      </c>
      <c r="E1995">
        <v>10000</v>
      </c>
      <c r="F1995">
        <v>69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20</v>
      </c>
      <c r="Q1995">
        <v>0</v>
      </c>
      <c r="R1995">
        <v>0</v>
      </c>
      <c r="S1995">
        <v>0</v>
      </c>
      <c r="T1995">
        <v>4</v>
      </c>
      <c r="U1995">
        <v>7</v>
      </c>
      <c r="V1995">
        <v>0</v>
      </c>
      <c r="W1995">
        <v>0</v>
      </c>
      <c r="X1995">
        <v>0</v>
      </c>
    </row>
    <row r="1996" spans="1:24" x14ac:dyDescent="0.2">
      <c r="A1996">
        <v>20231300</v>
      </c>
      <c r="B1996" t="s">
        <v>1995</v>
      </c>
      <c r="C1996">
        <v>1300</v>
      </c>
      <c r="D1996">
        <v>1300</v>
      </c>
      <c r="E1996">
        <v>10000</v>
      </c>
      <c r="F1996">
        <v>69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20</v>
      </c>
      <c r="Q1996">
        <v>0</v>
      </c>
      <c r="R1996">
        <v>0</v>
      </c>
      <c r="S1996">
        <v>0</v>
      </c>
      <c r="T1996">
        <v>4</v>
      </c>
      <c r="U1996">
        <v>7</v>
      </c>
      <c r="V1996">
        <v>0</v>
      </c>
      <c r="W1996">
        <v>0</v>
      </c>
      <c r="X1996">
        <v>0</v>
      </c>
    </row>
    <row r="1997" spans="1:24" x14ac:dyDescent="0.2">
      <c r="A1997">
        <v>20231400</v>
      </c>
      <c r="B1997" t="s">
        <v>1996</v>
      </c>
      <c r="C1997">
        <v>1400</v>
      </c>
      <c r="D1997">
        <v>1400</v>
      </c>
      <c r="E1997">
        <v>10014</v>
      </c>
      <c r="F1997">
        <v>78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20</v>
      </c>
      <c r="Q1997">
        <v>0</v>
      </c>
      <c r="R1997">
        <v>0</v>
      </c>
      <c r="S1997">
        <v>20</v>
      </c>
      <c r="T1997">
        <v>4</v>
      </c>
      <c r="U1997">
        <v>7</v>
      </c>
      <c r="V1997">
        <v>0</v>
      </c>
      <c r="W1997">
        <v>0</v>
      </c>
      <c r="X1997">
        <v>0</v>
      </c>
    </row>
    <row r="1998" spans="1:24" x14ac:dyDescent="0.2">
      <c r="A1998">
        <v>20231500</v>
      </c>
      <c r="B1998" t="s">
        <v>1997</v>
      </c>
      <c r="C1998">
        <v>1500</v>
      </c>
      <c r="D1998">
        <v>1500</v>
      </c>
      <c r="E1998">
        <v>10015</v>
      </c>
      <c r="F1998">
        <v>69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20</v>
      </c>
      <c r="Q1998">
        <v>0</v>
      </c>
      <c r="R1998">
        <v>0</v>
      </c>
      <c r="S1998">
        <v>0</v>
      </c>
      <c r="T1998">
        <v>4</v>
      </c>
      <c r="U1998">
        <v>7</v>
      </c>
      <c r="V1998">
        <v>0</v>
      </c>
      <c r="W1998">
        <v>0</v>
      </c>
      <c r="X1998">
        <v>0</v>
      </c>
    </row>
    <row r="1999" spans="1:24" x14ac:dyDescent="0.2">
      <c r="A1999">
        <v>20240000</v>
      </c>
      <c r="B1999" t="s">
        <v>1998</v>
      </c>
      <c r="C1999">
        <v>0</v>
      </c>
      <c r="D1999">
        <v>8100</v>
      </c>
      <c r="E1999">
        <v>10000</v>
      </c>
      <c r="F1999">
        <v>81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21</v>
      </c>
      <c r="Q1999">
        <v>0</v>
      </c>
      <c r="R1999">
        <v>0</v>
      </c>
      <c r="S1999">
        <v>0</v>
      </c>
      <c r="T1999">
        <v>5</v>
      </c>
      <c r="U1999">
        <v>8</v>
      </c>
      <c r="V1999">
        <v>0</v>
      </c>
      <c r="W1999">
        <v>0</v>
      </c>
      <c r="X1999">
        <v>0</v>
      </c>
    </row>
    <row r="2000" spans="1:24" x14ac:dyDescent="0.2">
      <c r="A2000">
        <v>20240100</v>
      </c>
      <c r="B2000" t="s">
        <v>1999</v>
      </c>
      <c r="C2000">
        <v>200</v>
      </c>
      <c r="D2000">
        <v>100</v>
      </c>
      <c r="E2000">
        <v>10000</v>
      </c>
      <c r="F2000">
        <v>81</v>
      </c>
      <c r="G2000">
        <v>0</v>
      </c>
      <c r="H2000">
        <v>0</v>
      </c>
      <c r="I2000">
        <v>0</v>
      </c>
      <c r="J2000">
        <v>0</v>
      </c>
      <c r="K2000">
        <v>1</v>
      </c>
      <c r="L2000">
        <v>0</v>
      </c>
      <c r="M2000">
        <v>0</v>
      </c>
      <c r="N2000">
        <v>0</v>
      </c>
      <c r="O2000">
        <v>0</v>
      </c>
      <c r="P2000">
        <v>21</v>
      </c>
      <c r="Q2000">
        <v>0</v>
      </c>
      <c r="R2000">
        <v>0</v>
      </c>
      <c r="S2000">
        <v>0</v>
      </c>
      <c r="T2000">
        <v>5</v>
      </c>
      <c r="U2000">
        <v>8</v>
      </c>
      <c r="V2000">
        <v>0</v>
      </c>
      <c r="W2000">
        <v>0</v>
      </c>
      <c r="X2000">
        <v>0</v>
      </c>
    </row>
    <row r="2001" spans="1:24" x14ac:dyDescent="0.2">
      <c r="A2001">
        <v>20240200</v>
      </c>
      <c r="B2001" t="s">
        <v>2000</v>
      </c>
      <c r="C2001">
        <v>100</v>
      </c>
      <c r="D2001">
        <v>200</v>
      </c>
      <c r="E2001">
        <v>10000</v>
      </c>
      <c r="F2001">
        <v>81</v>
      </c>
      <c r="G2001">
        <v>0</v>
      </c>
      <c r="H2001">
        <v>0</v>
      </c>
      <c r="I2001">
        <v>0</v>
      </c>
      <c r="J2001">
        <v>0</v>
      </c>
      <c r="K2001">
        <v>1</v>
      </c>
      <c r="L2001">
        <v>0</v>
      </c>
      <c r="M2001">
        <v>0</v>
      </c>
      <c r="N2001">
        <v>0</v>
      </c>
      <c r="O2001">
        <v>0</v>
      </c>
      <c r="P2001">
        <v>21</v>
      </c>
      <c r="Q2001">
        <v>0</v>
      </c>
      <c r="R2001">
        <v>0</v>
      </c>
      <c r="S2001">
        <v>0</v>
      </c>
      <c r="T2001">
        <v>5</v>
      </c>
      <c r="U2001">
        <v>8</v>
      </c>
      <c r="V2001">
        <v>0</v>
      </c>
      <c r="W2001">
        <v>0</v>
      </c>
      <c r="X2001">
        <v>0</v>
      </c>
    </row>
    <row r="2002" spans="1:24" x14ac:dyDescent="0.2">
      <c r="A2002">
        <v>20240300</v>
      </c>
      <c r="B2002" t="s">
        <v>2001</v>
      </c>
      <c r="C2002">
        <v>300</v>
      </c>
      <c r="D2002">
        <v>300</v>
      </c>
      <c r="E2002">
        <v>10000</v>
      </c>
      <c r="F2002">
        <v>81</v>
      </c>
      <c r="G2002">
        <v>0</v>
      </c>
      <c r="H2002">
        <v>0</v>
      </c>
      <c r="I2002">
        <v>0</v>
      </c>
      <c r="J2002">
        <v>0</v>
      </c>
      <c r="K2002">
        <v>8</v>
      </c>
      <c r="L2002">
        <v>0</v>
      </c>
      <c r="M2002">
        <v>0</v>
      </c>
      <c r="N2002">
        <v>0</v>
      </c>
      <c r="O2002">
        <v>0</v>
      </c>
      <c r="P2002">
        <v>20</v>
      </c>
      <c r="Q2002">
        <v>20</v>
      </c>
      <c r="R2002">
        <v>0</v>
      </c>
      <c r="S2002">
        <v>0</v>
      </c>
      <c r="T2002">
        <v>5</v>
      </c>
      <c r="U2002">
        <v>8</v>
      </c>
      <c r="V2002">
        <v>0</v>
      </c>
      <c r="W2002">
        <v>0</v>
      </c>
      <c r="X2002">
        <v>0</v>
      </c>
    </row>
    <row r="2003" spans="1:24" x14ac:dyDescent="0.2">
      <c r="A2003">
        <v>20240400</v>
      </c>
      <c r="B2003" t="s">
        <v>2002</v>
      </c>
      <c r="C2003">
        <v>500</v>
      </c>
      <c r="D2003">
        <v>500</v>
      </c>
      <c r="E2003">
        <v>10000</v>
      </c>
      <c r="F2003">
        <v>90</v>
      </c>
      <c r="G2003">
        <v>90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21</v>
      </c>
      <c r="Q2003">
        <v>0</v>
      </c>
      <c r="R2003">
        <v>21</v>
      </c>
      <c r="S2003">
        <v>0</v>
      </c>
      <c r="T2003">
        <v>5</v>
      </c>
      <c r="U2003">
        <v>8</v>
      </c>
      <c r="V2003">
        <v>0</v>
      </c>
      <c r="W2003">
        <v>0</v>
      </c>
      <c r="X2003">
        <v>0</v>
      </c>
    </row>
    <row r="2004" spans="1:24" x14ac:dyDescent="0.2">
      <c r="A2004">
        <v>20240500</v>
      </c>
      <c r="B2004" t="s">
        <v>2003</v>
      </c>
      <c r="C2004">
        <v>400</v>
      </c>
      <c r="D2004">
        <v>400</v>
      </c>
      <c r="E2004">
        <v>10000</v>
      </c>
      <c r="F2004">
        <v>90</v>
      </c>
      <c r="G2004">
        <v>90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21</v>
      </c>
      <c r="Q2004">
        <v>0</v>
      </c>
      <c r="R2004">
        <v>21</v>
      </c>
      <c r="S2004">
        <v>0</v>
      </c>
      <c r="T2004">
        <v>5</v>
      </c>
      <c r="U2004">
        <v>8</v>
      </c>
      <c r="V2004">
        <v>0</v>
      </c>
      <c r="W2004">
        <v>0</v>
      </c>
      <c r="X2004">
        <v>0</v>
      </c>
    </row>
    <row r="2005" spans="1:24" x14ac:dyDescent="0.2">
      <c r="A2005">
        <v>20240600</v>
      </c>
      <c r="B2005" t="s">
        <v>2004</v>
      </c>
      <c r="C2005">
        <v>600</v>
      </c>
      <c r="D2005">
        <v>600</v>
      </c>
      <c r="E2005">
        <v>10000</v>
      </c>
      <c r="F2005">
        <v>71</v>
      </c>
      <c r="G2005">
        <v>0</v>
      </c>
      <c r="H2005">
        <v>71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21</v>
      </c>
      <c r="Q2005">
        <v>0</v>
      </c>
      <c r="R2005">
        <v>0</v>
      </c>
      <c r="S2005">
        <v>0</v>
      </c>
      <c r="T2005">
        <v>5</v>
      </c>
      <c r="U2005">
        <v>8</v>
      </c>
      <c r="V2005">
        <v>0</v>
      </c>
      <c r="W2005">
        <v>0</v>
      </c>
      <c r="X2005">
        <v>0</v>
      </c>
    </row>
    <row r="2006" spans="1:24" x14ac:dyDescent="0.2">
      <c r="A2006">
        <v>20240700</v>
      </c>
      <c r="B2006" t="s">
        <v>2005</v>
      </c>
      <c r="C2006">
        <v>700</v>
      </c>
      <c r="D2006">
        <v>700</v>
      </c>
      <c r="E2006">
        <v>10000</v>
      </c>
      <c r="F2006">
        <v>90</v>
      </c>
      <c r="G2006">
        <v>0</v>
      </c>
      <c r="H2006">
        <v>90</v>
      </c>
      <c r="I2006">
        <v>0</v>
      </c>
      <c r="J2006">
        <v>0</v>
      </c>
      <c r="K2006">
        <v>0</v>
      </c>
      <c r="L2006">
        <v>0</v>
      </c>
      <c r="M2006">
        <v>4</v>
      </c>
      <c r="N2006">
        <v>0</v>
      </c>
      <c r="O2006">
        <v>0</v>
      </c>
      <c r="P2006">
        <v>21</v>
      </c>
      <c r="Q2006">
        <v>0</v>
      </c>
      <c r="R2006">
        <v>21</v>
      </c>
      <c r="S2006">
        <v>21</v>
      </c>
      <c r="T2006">
        <v>5</v>
      </c>
      <c r="U2006">
        <v>8</v>
      </c>
      <c r="V2006">
        <v>0</v>
      </c>
      <c r="W2006">
        <v>0</v>
      </c>
      <c r="X2006">
        <v>0</v>
      </c>
    </row>
    <row r="2007" spans="1:24" x14ac:dyDescent="0.2">
      <c r="A2007">
        <v>20240800</v>
      </c>
      <c r="B2007" t="s">
        <v>2006</v>
      </c>
      <c r="C2007">
        <v>800</v>
      </c>
      <c r="D2007">
        <v>800</v>
      </c>
      <c r="E2007">
        <v>10000</v>
      </c>
      <c r="F2007">
        <v>90</v>
      </c>
      <c r="G2007">
        <v>0</v>
      </c>
      <c r="H2007">
        <v>0</v>
      </c>
      <c r="I2007">
        <v>90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21</v>
      </c>
      <c r="Q2007">
        <v>0</v>
      </c>
      <c r="R2007">
        <v>0</v>
      </c>
      <c r="S2007">
        <v>21</v>
      </c>
      <c r="T2007">
        <v>5</v>
      </c>
      <c r="U2007">
        <v>8</v>
      </c>
      <c r="V2007">
        <v>0</v>
      </c>
      <c r="W2007">
        <v>0</v>
      </c>
      <c r="X2007">
        <v>0</v>
      </c>
    </row>
    <row r="2008" spans="1:24" x14ac:dyDescent="0.2">
      <c r="A2008">
        <v>20240900</v>
      </c>
      <c r="B2008" t="s">
        <v>2007</v>
      </c>
      <c r="C2008">
        <v>900</v>
      </c>
      <c r="D2008">
        <v>900</v>
      </c>
      <c r="E2008">
        <v>10000</v>
      </c>
      <c r="F2008">
        <v>71</v>
      </c>
      <c r="G2008">
        <v>0</v>
      </c>
      <c r="H2008">
        <v>0</v>
      </c>
      <c r="I2008">
        <v>0</v>
      </c>
      <c r="J2008">
        <v>71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21</v>
      </c>
      <c r="Q2008">
        <v>0</v>
      </c>
      <c r="R2008">
        <v>0</v>
      </c>
      <c r="S2008">
        <v>0</v>
      </c>
      <c r="T2008">
        <v>5</v>
      </c>
      <c r="U2008">
        <v>8</v>
      </c>
      <c r="V2008">
        <v>0</v>
      </c>
      <c r="W2008">
        <v>0</v>
      </c>
      <c r="X2008">
        <v>0</v>
      </c>
    </row>
    <row r="2009" spans="1:24" x14ac:dyDescent="0.2">
      <c r="A2009">
        <v>20241000</v>
      </c>
      <c r="B2009" t="s">
        <v>2008</v>
      </c>
      <c r="C2009">
        <v>1000</v>
      </c>
      <c r="D2009">
        <v>1000</v>
      </c>
      <c r="E2009">
        <v>10000</v>
      </c>
      <c r="F2009">
        <v>90</v>
      </c>
      <c r="G2009">
        <v>0</v>
      </c>
      <c r="H2009">
        <v>0</v>
      </c>
      <c r="I2009">
        <v>0</v>
      </c>
      <c r="J2009">
        <v>90</v>
      </c>
      <c r="K2009">
        <v>0</v>
      </c>
      <c r="L2009">
        <v>0</v>
      </c>
      <c r="M2009">
        <v>0</v>
      </c>
      <c r="N2009">
        <v>0</v>
      </c>
      <c r="O2009">
        <v>4</v>
      </c>
      <c r="P2009">
        <v>21</v>
      </c>
      <c r="Q2009">
        <v>0</v>
      </c>
      <c r="R2009">
        <v>21</v>
      </c>
      <c r="S2009">
        <v>21</v>
      </c>
      <c r="T2009">
        <v>5</v>
      </c>
      <c r="U2009">
        <v>8</v>
      </c>
      <c r="V2009">
        <v>0</v>
      </c>
      <c r="W2009">
        <v>0</v>
      </c>
      <c r="X2009">
        <v>0</v>
      </c>
    </row>
    <row r="2010" spans="1:24" x14ac:dyDescent="0.2">
      <c r="A2010">
        <v>20241100</v>
      </c>
      <c r="B2010" t="s">
        <v>2009</v>
      </c>
      <c r="C2010">
        <v>1100</v>
      </c>
      <c r="D2010">
        <v>1100</v>
      </c>
      <c r="E2010">
        <v>10000</v>
      </c>
      <c r="F2010">
        <v>81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21</v>
      </c>
      <c r="Q2010">
        <v>0</v>
      </c>
      <c r="R2010">
        <v>0</v>
      </c>
      <c r="S2010">
        <v>0</v>
      </c>
      <c r="T2010">
        <v>5</v>
      </c>
      <c r="U2010">
        <v>8</v>
      </c>
      <c r="V2010">
        <v>0</v>
      </c>
      <c r="W2010">
        <v>0</v>
      </c>
      <c r="X2010">
        <v>0</v>
      </c>
    </row>
    <row r="2011" spans="1:24" x14ac:dyDescent="0.2">
      <c r="A2011">
        <v>20241200</v>
      </c>
      <c r="B2011" t="s">
        <v>2010</v>
      </c>
      <c r="C2011">
        <v>1200</v>
      </c>
      <c r="D2011">
        <v>1200</v>
      </c>
      <c r="E2011">
        <v>10000</v>
      </c>
      <c r="F2011">
        <v>81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21</v>
      </c>
      <c r="Q2011">
        <v>0</v>
      </c>
      <c r="R2011">
        <v>0</v>
      </c>
      <c r="S2011">
        <v>0</v>
      </c>
      <c r="T2011">
        <v>5</v>
      </c>
      <c r="U2011">
        <v>8</v>
      </c>
      <c r="V2011">
        <v>0</v>
      </c>
      <c r="W2011">
        <v>0</v>
      </c>
      <c r="X2011">
        <v>0</v>
      </c>
    </row>
    <row r="2012" spans="1:24" x14ac:dyDescent="0.2">
      <c r="A2012">
        <v>20241300</v>
      </c>
      <c r="B2012" t="s">
        <v>2011</v>
      </c>
      <c r="C2012">
        <v>1300</v>
      </c>
      <c r="D2012">
        <v>1300</v>
      </c>
      <c r="E2012">
        <v>10000</v>
      </c>
      <c r="F2012">
        <v>81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21</v>
      </c>
      <c r="Q2012">
        <v>0</v>
      </c>
      <c r="R2012">
        <v>0</v>
      </c>
      <c r="S2012">
        <v>0</v>
      </c>
      <c r="T2012">
        <v>5</v>
      </c>
      <c r="U2012">
        <v>8</v>
      </c>
      <c r="V2012">
        <v>0</v>
      </c>
      <c r="W2012">
        <v>0</v>
      </c>
      <c r="X2012">
        <v>0</v>
      </c>
    </row>
    <row r="2013" spans="1:24" x14ac:dyDescent="0.2">
      <c r="A2013">
        <v>20241400</v>
      </c>
      <c r="B2013" t="s">
        <v>2012</v>
      </c>
      <c r="C2013">
        <v>1400</v>
      </c>
      <c r="D2013">
        <v>1400</v>
      </c>
      <c r="E2013">
        <v>10014</v>
      </c>
      <c r="F2013">
        <v>90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21</v>
      </c>
      <c r="Q2013">
        <v>0</v>
      </c>
      <c r="R2013">
        <v>0</v>
      </c>
      <c r="S2013">
        <v>21</v>
      </c>
      <c r="T2013">
        <v>5</v>
      </c>
      <c r="U2013">
        <v>8</v>
      </c>
      <c r="V2013">
        <v>0</v>
      </c>
      <c r="W2013">
        <v>0</v>
      </c>
      <c r="X2013">
        <v>0</v>
      </c>
    </row>
    <row r="2014" spans="1:24" x14ac:dyDescent="0.2">
      <c r="A2014">
        <v>20241500</v>
      </c>
      <c r="B2014" t="s">
        <v>2013</v>
      </c>
      <c r="C2014">
        <v>1500</v>
      </c>
      <c r="D2014">
        <v>1500</v>
      </c>
      <c r="E2014">
        <v>10015</v>
      </c>
      <c r="F2014">
        <v>81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21</v>
      </c>
      <c r="Q2014">
        <v>0</v>
      </c>
      <c r="R2014">
        <v>0</v>
      </c>
      <c r="S2014">
        <v>0</v>
      </c>
      <c r="T2014">
        <v>5</v>
      </c>
      <c r="U2014">
        <v>8</v>
      </c>
      <c r="V2014">
        <v>0</v>
      </c>
      <c r="W2014">
        <v>0</v>
      </c>
      <c r="X2014">
        <v>0</v>
      </c>
    </row>
    <row r="2015" spans="1:24" x14ac:dyDescent="0.2">
      <c r="A2015">
        <v>20250000</v>
      </c>
      <c r="B2015" t="s">
        <v>2014</v>
      </c>
      <c r="C2015">
        <v>0</v>
      </c>
      <c r="D2015">
        <v>8000</v>
      </c>
      <c r="E2015">
        <v>10000</v>
      </c>
      <c r="F2015">
        <v>76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21</v>
      </c>
      <c r="Q2015">
        <v>0</v>
      </c>
      <c r="R2015">
        <v>0</v>
      </c>
      <c r="S2015">
        <v>0</v>
      </c>
      <c r="T2015">
        <v>5</v>
      </c>
      <c r="U2015">
        <v>12</v>
      </c>
      <c r="V2015">
        <v>0</v>
      </c>
      <c r="W2015">
        <v>0</v>
      </c>
      <c r="X2015">
        <v>0</v>
      </c>
    </row>
    <row r="2016" spans="1:24" x14ac:dyDescent="0.2">
      <c r="A2016">
        <v>20250100</v>
      </c>
      <c r="B2016" t="s">
        <v>2015</v>
      </c>
      <c r="C2016">
        <v>200</v>
      </c>
      <c r="D2016">
        <v>100</v>
      </c>
      <c r="E2016">
        <v>10000</v>
      </c>
      <c r="F2016">
        <v>76</v>
      </c>
      <c r="G2016">
        <v>0</v>
      </c>
      <c r="H2016">
        <v>0</v>
      </c>
      <c r="I2016">
        <v>0</v>
      </c>
      <c r="J2016">
        <v>0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21</v>
      </c>
      <c r="Q2016">
        <v>0</v>
      </c>
      <c r="R2016">
        <v>0</v>
      </c>
      <c r="S2016">
        <v>0</v>
      </c>
      <c r="T2016">
        <v>5</v>
      </c>
      <c r="U2016">
        <v>12</v>
      </c>
      <c r="V2016">
        <v>0</v>
      </c>
      <c r="W2016">
        <v>0</v>
      </c>
      <c r="X2016">
        <v>0</v>
      </c>
    </row>
    <row r="2017" spans="1:24" x14ac:dyDescent="0.2">
      <c r="A2017">
        <v>20250200</v>
      </c>
      <c r="B2017" t="s">
        <v>2016</v>
      </c>
      <c r="C2017">
        <v>100</v>
      </c>
      <c r="D2017">
        <v>200</v>
      </c>
      <c r="E2017">
        <v>10000</v>
      </c>
      <c r="F2017">
        <v>76</v>
      </c>
      <c r="G2017">
        <v>0</v>
      </c>
      <c r="H2017">
        <v>0</v>
      </c>
      <c r="I2017">
        <v>0</v>
      </c>
      <c r="J2017">
        <v>0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21</v>
      </c>
      <c r="Q2017">
        <v>0</v>
      </c>
      <c r="R2017">
        <v>0</v>
      </c>
      <c r="S2017">
        <v>0</v>
      </c>
      <c r="T2017">
        <v>5</v>
      </c>
      <c r="U2017">
        <v>12</v>
      </c>
      <c r="V2017">
        <v>0</v>
      </c>
      <c r="W2017">
        <v>0</v>
      </c>
      <c r="X2017">
        <v>0</v>
      </c>
    </row>
    <row r="2018" spans="1:24" x14ac:dyDescent="0.2">
      <c r="A2018">
        <v>20250300</v>
      </c>
      <c r="B2018" t="s">
        <v>2017</v>
      </c>
      <c r="C2018">
        <v>300</v>
      </c>
      <c r="D2018">
        <v>300</v>
      </c>
      <c r="E2018">
        <v>10000</v>
      </c>
      <c r="F2018">
        <v>76</v>
      </c>
      <c r="G2018">
        <v>0</v>
      </c>
      <c r="H2018">
        <v>0</v>
      </c>
      <c r="I2018">
        <v>0</v>
      </c>
      <c r="J2018">
        <v>0</v>
      </c>
      <c r="K2018">
        <v>8</v>
      </c>
      <c r="L2018">
        <v>0</v>
      </c>
      <c r="M2018">
        <v>0</v>
      </c>
      <c r="N2018">
        <v>0</v>
      </c>
      <c r="O2018">
        <v>0</v>
      </c>
      <c r="P2018">
        <v>20</v>
      </c>
      <c r="Q2018">
        <v>20</v>
      </c>
      <c r="R2018">
        <v>0</v>
      </c>
      <c r="S2018">
        <v>0</v>
      </c>
      <c r="T2018">
        <v>5</v>
      </c>
      <c r="U2018">
        <v>12</v>
      </c>
      <c r="V2018">
        <v>0</v>
      </c>
      <c r="W2018">
        <v>0</v>
      </c>
      <c r="X2018">
        <v>0</v>
      </c>
    </row>
    <row r="2019" spans="1:24" x14ac:dyDescent="0.2">
      <c r="A2019">
        <v>20250400</v>
      </c>
      <c r="B2019" t="s">
        <v>2018</v>
      </c>
      <c r="C2019">
        <v>500</v>
      </c>
      <c r="D2019">
        <v>500</v>
      </c>
      <c r="E2019">
        <v>10000</v>
      </c>
      <c r="F2019">
        <v>85</v>
      </c>
      <c r="G2019">
        <v>85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21</v>
      </c>
      <c r="Q2019">
        <v>0</v>
      </c>
      <c r="R2019">
        <v>21</v>
      </c>
      <c r="S2019">
        <v>0</v>
      </c>
      <c r="T2019">
        <v>5</v>
      </c>
      <c r="U2019">
        <v>12</v>
      </c>
      <c r="V2019">
        <v>0</v>
      </c>
      <c r="W2019">
        <v>0</v>
      </c>
      <c r="X2019">
        <v>0</v>
      </c>
    </row>
    <row r="2020" spans="1:24" x14ac:dyDescent="0.2">
      <c r="A2020">
        <v>20250500</v>
      </c>
      <c r="B2020" t="s">
        <v>2019</v>
      </c>
      <c r="C2020">
        <v>400</v>
      </c>
      <c r="D2020">
        <v>400</v>
      </c>
      <c r="E2020">
        <v>10000</v>
      </c>
      <c r="F2020">
        <v>85</v>
      </c>
      <c r="G2020">
        <v>85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21</v>
      </c>
      <c r="Q2020">
        <v>0</v>
      </c>
      <c r="R2020">
        <v>21</v>
      </c>
      <c r="S2020">
        <v>0</v>
      </c>
      <c r="T2020">
        <v>5</v>
      </c>
      <c r="U2020">
        <v>12</v>
      </c>
      <c r="V2020">
        <v>0</v>
      </c>
      <c r="W2020">
        <v>0</v>
      </c>
      <c r="X2020">
        <v>0</v>
      </c>
    </row>
    <row r="2021" spans="1:24" x14ac:dyDescent="0.2">
      <c r="A2021">
        <v>20250600</v>
      </c>
      <c r="B2021" t="s">
        <v>2020</v>
      </c>
      <c r="C2021">
        <v>600</v>
      </c>
      <c r="D2021">
        <v>600</v>
      </c>
      <c r="E2021">
        <v>10000</v>
      </c>
      <c r="F2021">
        <v>66</v>
      </c>
      <c r="G2021">
        <v>0</v>
      </c>
      <c r="H2021">
        <v>66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21</v>
      </c>
      <c r="Q2021">
        <v>0</v>
      </c>
      <c r="R2021">
        <v>0</v>
      </c>
      <c r="S2021">
        <v>0</v>
      </c>
      <c r="T2021">
        <v>5</v>
      </c>
      <c r="U2021">
        <v>12</v>
      </c>
      <c r="V2021">
        <v>0</v>
      </c>
      <c r="W2021">
        <v>0</v>
      </c>
      <c r="X2021">
        <v>0</v>
      </c>
    </row>
    <row r="2022" spans="1:24" x14ac:dyDescent="0.2">
      <c r="A2022">
        <v>20250700</v>
      </c>
      <c r="B2022" t="s">
        <v>2021</v>
      </c>
      <c r="C2022">
        <v>700</v>
      </c>
      <c r="D2022">
        <v>700</v>
      </c>
      <c r="E2022">
        <v>10000</v>
      </c>
      <c r="F2022">
        <v>85</v>
      </c>
      <c r="G2022">
        <v>0</v>
      </c>
      <c r="H2022">
        <v>85</v>
      </c>
      <c r="I2022">
        <v>0</v>
      </c>
      <c r="J2022">
        <v>0</v>
      </c>
      <c r="K2022">
        <v>0</v>
      </c>
      <c r="L2022">
        <v>0</v>
      </c>
      <c r="M2022">
        <v>4</v>
      </c>
      <c r="N2022">
        <v>0</v>
      </c>
      <c r="O2022">
        <v>0</v>
      </c>
      <c r="P2022">
        <v>21</v>
      </c>
      <c r="Q2022">
        <v>0</v>
      </c>
      <c r="R2022">
        <v>21</v>
      </c>
      <c r="S2022">
        <v>21</v>
      </c>
      <c r="T2022">
        <v>5</v>
      </c>
      <c r="U2022">
        <v>12</v>
      </c>
      <c r="V2022">
        <v>0</v>
      </c>
      <c r="W2022">
        <v>0</v>
      </c>
      <c r="X2022">
        <v>0</v>
      </c>
    </row>
    <row r="2023" spans="1:24" x14ac:dyDescent="0.2">
      <c r="A2023">
        <v>20250800</v>
      </c>
      <c r="B2023" t="s">
        <v>2022</v>
      </c>
      <c r="C2023">
        <v>800</v>
      </c>
      <c r="D2023">
        <v>800</v>
      </c>
      <c r="E2023">
        <v>10000</v>
      </c>
      <c r="F2023">
        <v>85</v>
      </c>
      <c r="G2023">
        <v>0</v>
      </c>
      <c r="H2023">
        <v>0</v>
      </c>
      <c r="I2023">
        <v>85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21</v>
      </c>
      <c r="Q2023">
        <v>0</v>
      </c>
      <c r="R2023">
        <v>0</v>
      </c>
      <c r="S2023">
        <v>21</v>
      </c>
      <c r="T2023">
        <v>5</v>
      </c>
      <c r="U2023">
        <v>12</v>
      </c>
      <c r="V2023">
        <v>0</v>
      </c>
      <c r="W2023">
        <v>0</v>
      </c>
      <c r="X2023">
        <v>0</v>
      </c>
    </row>
    <row r="2024" spans="1:24" x14ac:dyDescent="0.2">
      <c r="A2024">
        <v>20250900</v>
      </c>
      <c r="B2024" t="s">
        <v>2023</v>
      </c>
      <c r="C2024">
        <v>900</v>
      </c>
      <c r="D2024">
        <v>900</v>
      </c>
      <c r="E2024">
        <v>10000</v>
      </c>
      <c r="F2024">
        <v>66</v>
      </c>
      <c r="G2024">
        <v>0</v>
      </c>
      <c r="H2024">
        <v>0</v>
      </c>
      <c r="I2024">
        <v>0</v>
      </c>
      <c r="J2024">
        <v>66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21</v>
      </c>
      <c r="Q2024">
        <v>0</v>
      </c>
      <c r="R2024">
        <v>0</v>
      </c>
      <c r="S2024">
        <v>0</v>
      </c>
      <c r="T2024">
        <v>5</v>
      </c>
      <c r="U2024">
        <v>12</v>
      </c>
      <c r="V2024">
        <v>0</v>
      </c>
      <c r="W2024">
        <v>0</v>
      </c>
      <c r="X2024">
        <v>0</v>
      </c>
    </row>
    <row r="2025" spans="1:24" x14ac:dyDescent="0.2">
      <c r="A2025">
        <v>20251000</v>
      </c>
      <c r="B2025" t="s">
        <v>2024</v>
      </c>
      <c r="C2025">
        <v>1000</v>
      </c>
      <c r="D2025">
        <v>1000</v>
      </c>
      <c r="E2025">
        <v>10000</v>
      </c>
      <c r="F2025">
        <v>85</v>
      </c>
      <c r="G2025">
        <v>0</v>
      </c>
      <c r="H2025">
        <v>0</v>
      </c>
      <c r="I2025">
        <v>0</v>
      </c>
      <c r="J2025">
        <v>85</v>
      </c>
      <c r="K2025">
        <v>0</v>
      </c>
      <c r="L2025">
        <v>0</v>
      </c>
      <c r="M2025">
        <v>0</v>
      </c>
      <c r="N2025">
        <v>0</v>
      </c>
      <c r="O2025">
        <v>4</v>
      </c>
      <c r="P2025">
        <v>21</v>
      </c>
      <c r="Q2025">
        <v>0</v>
      </c>
      <c r="R2025">
        <v>21</v>
      </c>
      <c r="S2025">
        <v>21</v>
      </c>
      <c r="T2025">
        <v>5</v>
      </c>
      <c r="U2025">
        <v>12</v>
      </c>
      <c r="V2025">
        <v>0</v>
      </c>
      <c r="W2025">
        <v>0</v>
      </c>
      <c r="X2025">
        <v>0</v>
      </c>
    </row>
    <row r="2026" spans="1:24" x14ac:dyDescent="0.2">
      <c r="A2026">
        <v>20251100</v>
      </c>
      <c r="B2026" t="s">
        <v>2025</v>
      </c>
      <c r="C2026">
        <v>1100</v>
      </c>
      <c r="D2026">
        <v>1100</v>
      </c>
      <c r="E2026">
        <v>10000</v>
      </c>
      <c r="F2026">
        <v>76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21</v>
      </c>
      <c r="Q2026">
        <v>0</v>
      </c>
      <c r="R2026">
        <v>0</v>
      </c>
      <c r="S2026">
        <v>0</v>
      </c>
      <c r="T2026">
        <v>5</v>
      </c>
      <c r="U2026">
        <v>12</v>
      </c>
      <c r="V2026">
        <v>0</v>
      </c>
      <c r="W2026">
        <v>0</v>
      </c>
      <c r="X2026">
        <v>0</v>
      </c>
    </row>
    <row r="2027" spans="1:24" x14ac:dyDescent="0.2">
      <c r="A2027">
        <v>20251200</v>
      </c>
      <c r="B2027" t="s">
        <v>2026</v>
      </c>
      <c r="C2027">
        <v>1200</v>
      </c>
      <c r="D2027">
        <v>1200</v>
      </c>
      <c r="E2027">
        <v>10000</v>
      </c>
      <c r="F2027">
        <v>76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21</v>
      </c>
      <c r="Q2027">
        <v>0</v>
      </c>
      <c r="R2027">
        <v>0</v>
      </c>
      <c r="S2027">
        <v>0</v>
      </c>
      <c r="T2027">
        <v>5</v>
      </c>
      <c r="U2027">
        <v>12</v>
      </c>
      <c r="V2027">
        <v>0</v>
      </c>
      <c r="W2027">
        <v>0</v>
      </c>
      <c r="X2027">
        <v>0</v>
      </c>
    </row>
    <row r="2028" spans="1:24" x14ac:dyDescent="0.2">
      <c r="A2028">
        <v>20251300</v>
      </c>
      <c r="B2028" t="s">
        <v>2027</v>
      </c>
      <c r="C2028">
        <v>1300</v>
      </c>
      <c r="D2028">
        <v>1300</v>
      </c>
      <c r="E2028">
        <v>10000</v>
      </c>
      <c r="F2028">
        <v>76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21</v>
      </c>
      <c r="Q2028">
        <v>0</v>
      </c>
      <c r="R2028">
        <v>0</v>
      </c>
      <c r="S2028">
        <v>0</v>
      </c>
      <c r="T2028">
        <v>5</v>
      </c>
      <c r="U2028">
        <v>12</v>
      </c>
      <c r="V2028">
        <v>0</v>
      </c>
      <c r="W2028">
        <v>0</v>
      </c>
      <c r="X2028">
        <v>0</v>
      </c>
    </row>
    <row r="2029" spans="1:24" x14ac:dyDescent="0.2">
      <c r="A2029">
        <v>20251400</v>
      </c>
      <c r="B2029" t="s">
        <v>2028</v>
      </c>
      <c r="C2029">
        <v>1400</v>
      </c>
      <c r="D2029">
        <v>1400</v>
      </c>
      <c r="E2029">
        <v>10014</v>
      </c>
      <c r="F2029">
        <v>85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21</v>
      </c>
      <c r="Q2029">
        <v>0</v>
      </c>
      <c r="R2029">
        <v>0</v>
      </c>
      <c r="S2029">
        <v>21</v>
      </c>
      <c r="T2029">
        <v>5</v>
      </c>
      <c r="U2029">
        <v>12</v>
      </c>
      <c r="V2029">
        <v>0</v>
      </c>
      <c r="W2029">
        <v>0</v>
      </c>
      <c r="X2029">
        <v>0</v>
      </c>
    </row>
    <row r="2030" spans="1:24" x14ac:dyDescent="0.2">
      <c r="A2030">
        <v>20251500</v>
      </c>
      <c r="B2030" t="s">
        <v>2029</v>
      </c>
      <c r="C2030">
        <v>1500</v>
      </c>
      <c r="D2030">
        <v>1500</v>
      </c>
      <c r="E2030">
        <v>10015</v>
      </c>
      <c r="F2030">
        <v>76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21</v>
      </c>
      <c r="Q2030">
        <v>0</v>
      </c>
      <c r="R2030">
        <v>0</v>
      </c>
      <c r="S2030">
        <v>0</v>
      </c>
      <c r="T2030">
        <v>5</v>
      </c>
      <c r="U2030">
        <v>12</v>
      </c>
      <c r="V2030">
        <v>0</v>
      </c>
      <c r="W2030">
        <v>0</v>
      </c>
      <c r="X2030">
        <v>0</v>
      </c>
    </row>
    <row r="2031" spans="1:24" x14ac:dyDescent="0.2">
      <c r="A2031">
        <v>20270000</v>
      </c>
      <c r="B2031" t="s">
        <v>2030</v>
      </c>
      <c r="C2031">
        <v>0</v>
      </c>
      <c r="D2031">
        <v>8100</v>
      </c>
      <c r="E2031">
        <v>10000</v>
      </c>
      <c r="F2031">
        <v>74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21</v>
      </c>
      <c r="Q2031">
        <v>0</v>
      </c>
      <c r="R2031">
        <v>0</v>
      </c>
      <c r="S2031">
        <v>0</v>
      </c>
      <c r="T2031">
        <v>5</v>
      </c>
      <c r="U2031">
        <v>10</v>
      </c>
      <c r="V2031">
        <v>0</v>
      </c>
      <c r="W2031">
        <v>0</v>
      </c>
      <c r="X2031">
        <v>0</v>
      </c>
    </row>
    <row r="2032" spans="1:24" x14ac:dyDescent="0.2">
      <c r="A2032">
        <v>20270100</v>
      </c>
      <c r="B2032" t="s">
        <v>2031</v>
      </c>
      <c r="C2032">
        <v>200</v>
      </c>
      <c r="D2032">
        <v>100</v>
      </c>
      <c r="E2032">
        <v>10000</v>
      </c>
      <c r="F2032">
        <v>74</v>
      </c>
      <c r="G2032">
        <v>0</v>
      </c>
      <c r="H2032">
        <v>0</v>
      </c>
      <c r="I2032">
        <v>0</v>
      </c>
      <c r="J2032">
        <v>0</v>
      </c>
      <c r="K2032">
        <v>1</v>
      </c>
      <c r="L2032">
        <v>0</v>
      </c>
      <c r="M2032">
        <v>0</v>
      </c>
      <c r="N2032">
        <v>0</v>
      </c>
      <c r="O2032">
        <v>0</v>
      </c>
      <c r="P2032">
        <v>21</v>
      </c>
      <c r="Q2032">
        <v>0</v>
      </c>
      <c r="R2032">
        <v>0</v>
      </c>
      <c r="S2032">
        <v>0</v>
      </c>
      <c r="T2032">
        <v>5</v>
      </c>
      <c r="U2032">
        <v>10</v>
      </c>
      <c r="V2032">
        <v>0</v>
      </c>
      <c r="W2032">
        <v>0</v>
      </c>
      <c r="X2032">
        <v>0</v>
      </c>
    </row>
    <row r="2033" spans="1:24" x14ac:dyDescent="0.2">
      <c r="A2033">
        <v>20270200</v>
      </c>
      <c r="B2033" t="s">
        <v>2032</v>
      </c>
      <c r="C2033">
        <v>100</v>
      </c>
      <c r="D2033">
        <v>200</v>
      </c>
      <c r="E2033">
        <v>10000</v>
      </c>
      <c r="F2033">
        <v>74</v>
      </c>
      <c r="G2033">
        <v>0</v>
      </c>
      <c r="H2033">
        <v>0</v>
      </c>
      <c r="I2033">
        <v>0</v>
      </c>
      <c r="J2033">
        <v>0</v>
      </c>
      <c r="K2033">
        <v>1</v>
      </c>
      <c r="L2033">
        <v>0</v>
      </c>
      <c r="M2033">
        <v>0</v>
      </c>
      <c r="N2033">
        <v>0</v>
      </c>
      <c r="O2033">
        <v>0</v>
      </c>
      <c r="P2033">
        <v>21</v>
      </c>
      <c r="Q2033">
        <v>0</v>
      </c>
      <c r="R2033">
        <v>0</v>
      </c>
      <c r="S2033">
        <v>0</v>
      </c>
      <c r="T2033">
        <v>5</v>
      </c>
      <c r="U2033">
        <v>10</v>
      </c>
      <c r="V2033">
        <v>0</v>
      </c>
      <c r="W2033">
        <v>0</v>
      </c>
      <c r="X2033">
        <v>0</v>
      </c>
    </row>
    <row r="2034" spans="1:24" x14ac:dyDescent="0.2">
      <c r="A2034">
        <v>20270300</v>
      </c>
      <c r="B2034" t="s">
        <v>2033</v>
      </c>
      <c r="C2034">
        <v>300</v>
      </c>
      <c r="D2034">
        <v>300</v>
      </c>
      <c r="E2034">
        <v>10000</v>
      </c>
      <c r="F2034">
        <v>74</v>
      </c>
      <c r="G2034">
        <v>0</v>
      </c>
      <c r="H2034">
        <v>0</v>
      </c>
      <c r="I2034">
        <v>0</v>
      </c>
      <c r="J2034">
        <v>0</v>
      </c>
      <c r="K2034">
        <v>8</v>
      </c>
      <c r="L2034">
        <v>0</v>
      </c>
      <c r="M2034">
        <v>0</v>
      </c>
      <c r="N2034">
        <v>0</v>
      </c>
      <c r="O2034">
        <v>0</v>
      </c>
      <c r="P2034">
        <v>20</v>
      </c>
      <c r="Q2034">
        <v>20</v>
      </c>
      <c r="R2034">
        <v>0</v>
      </c>
      <c r="S2034">
        <v>0</v>
      </c>
      <c r="T2034">
        <v>5</v>
      </c>
      <c r="U2034">
        <v>10</v>
      </c>
      <c r="V2034">
        <v>0</v>
      </c>
      <c r="W2034">
        <v>0</v>
      </c>
      <c r="X2034">
        <v>0</v>
      </c>
    </row>
    <row r="2035" spans="1:24" x14ac:dyDescent="0.2">
      <c r="A2035">
        <v>20270400</v>
      </c>
      <c r="B2035" t="s">
        <v>2034</v>
      </c>
      <c r="C2035">
        <v>500</v>
      </c>
      <c r="D2035">
        <v>500</v>
      </c>
      <c r="E2035">
        <v>10000</v>
      </c>
      <c r="F2035">
        <v>83</v>
      </c>
      <c r="G2035">
        <v>83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21</v>
      </c>
      <c r="Q2035">
        <v>0</v>
      </c>
      <c r="R2035">
        <v>21</v>
      </c>
      <c r="S2035">
        <v>0</v>
      </c>
      <c r="T2035">
        <v>5</v>
      </c>
      <c r="U2035">
        <v>10</v>
      </c>
      <c r="V2035">
        <v>0</v>
      </c>
      <c r="W2035">
        <v>0</v>
      </c>
      <c r="X2035">
        <v>0</v>
      </c>
    </row>
    <row r="2036" spans="1:24" x14ac:dyDescent="0.2">
      <c r="A2036">
        <v>20270500</v>
      </c>
      <c r="B2036" t="s">
        <v>2035</v>
      </c>
      <c r="C2036">
        <v>400</v>
      </c>
      <c r="D2036">
        <v>400</v>
      </c>
      <c r="E2036">
        <v>10000</v>
      </c>
      <c r="F2036">
        <v>83</v>
      </c>
      <c r="G2036">
        <v>83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21</v>
      </c>
      <c r="Q2036">
        <v>0</v>
      </c>
      <c r="R2036">
        <v>21</v>
      </c>
      <c r="S2036">
        <v>0</v>
      </c>
      <c r="T2036">
        <v>5</v>
      </c>
      <c r="U2036">
        <v>10</v>
      </c>
      <c r="V2036">
        <v>0</v>
      </c>
      <c r="W2036">
        <v>0</v>
      </c>
      <c r="X2036">
        <v>0</v>
      </c>
    </row>
    <row r="2037" spans="1:24" x14ac:dyDescent="0.2">
      <c r="A2037">
        <v>20270600</v>
      </c>
      <c r="B2037" t="s">
        <v>2036</v>
      </c>
      <c r="C2037">
        <v>600</v>
      </c>
      <c r="D2037">
        <v>600</v>
      </c>
      <c r="E2037">
        <v>10000</v>
      </c>
      <c r="F2037">
        <v>64</v>
      </c>
      <c r="G2037">
        <v>0</v>
      </c>
      <c r="H2037">
        <v>64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21</v>
      </c>
      <c r="Q2037">
        <v>0</v>
      </c>
      <c r="R2037">
        <v>0</v>
      </c>
      <c r="S2037">
        <v>0</v>
      </c>
      <c r="T2037">
        <v>5</v>
      </c>
      <c r="U2037">
        <v>10</v>
      </c>
      <c r="V2037">
        <v>0</v>
      </c>
      <c r="W2037">
        <v>0</v>
      </c>
      <c r="X2037">
        <v>0</v>
      </c>
    </row>
    <row r="2038" spans="1:24" x14ac:dyDescent="0.2">
      <c r="A2038">
        <v>20270700</v>
      </c>
      <c r="B2038" t="s">
        <v>2037</v>
      </c>
      <c r="C2038">
        <v>700</v>
      </c>
      <c r="D2038">
        <v>700</v>
      </c>
      <c r="E2038">
        <v>10000</v>
      </c>
      <c r="F2038">
        <v>83</v>
      </c>
      <c r="G2038">
        <v>0</v>
      </c>
      <c r="H2038">
        <v>83</v>
      </c>
      <c r="I2038">
        <v>0</v>
      </c>
      <c r="J2038">
        <v>0</v>
      </c>
      <c r="K2038">
        <v>0</v>
      </c>
      <c r="L2038">
        <v>0</v>
      </c>
      <c r="M2038">
        <v>4</v>
      </c>
      <c r="N2038">
        <v>0</v>
      </c>
      <c r="O2038">
        <v>0</v>
      </c>
      <c r="P2038">
        <v>21</v>
      </c>
      <c r="Q2038">
        <v>0</v>
      </c>
      <c r="R2038">
        <v>21</v>
      </c>
      <c r="S2038">
        <v>21</v>
      </c>
      <c r="T2038">
        <v>5</v>
      </c>
      <c r="U2038">
        <v>10</v>
      </c>
      <c r="V2038">
        <v>0</v>
      </c>
      <c r="W2038">
        <v>0</v>
      </c>
      <c r="X2038">
        <v>0</v>
      </c>
    </row>
    <row r="2039" spans="1:24" x14ac:dyDescent="0.2">
      <c r="A2039">
        <v>20270800</v>
      </c>
      <c r="B2039" t="s">
        <v>2038</v>
      </c>
      <c r="C2039">
        <v>800</v>
      </c>
      <c r="D2039">
        <v>800</v>
      </c>
      <c r="E2039">
        <v>10000</v>
      </c>
      <c r="F2039">
        <v>83</v>
      </c>
      <c r="G2039">
        <v>0</v>
      </c>
      <c r="H2039">
        <v>0</v>
      </c>
      <c r="I2039">
        <v>83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21</v>
      </c>
      <c r="Q2039">
        <v>0</v>
      </c>
      <c r="R2039">
        <v>0</v>
      </c>
      <c r="S2039">
        <v>21</v>
      </c>
      <c r="T2039">
        <v>5</v>
      </c>
      <c r="U2039">
        <v>10</v>
      </c>
      <c r="V2039">
        <v>0</v>
      </c>
      <c r="W2039">
        <v>0</v>
      </c>
      <c r="X2039">
        <v>0</v>
      </c>
    </row>
    <row r="2040" spans="1:24" x14ac:dyDescent="0.2">
      <c r="A2040">
        <v>20270900</v>
      </c>
      <c r="B2040" t="s">
        <v>2039</v>
      </c>
      <c r="C2040">
        <v>900</v>
      </c>
      <c r="D2040">
        <v>900</v>
      </c>
      <c r="E2040">
        <v>10000</v>
      </c>
      <c r="F2040">
        <v>64</v>
      </c>
      <c r="G2040">
        <v>0</v>
      </c>
      <c r="H2040">
        <v>0</v>
      </c>
      <c r="I2040">
        <v>0</v>
      </c>
      <c r="J2040">
        <v>64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21</v>
      </c>
      <c r="Q2040">
        <v>0</v>
      </c>
      <c r="R2040">
        <v>0</v>
      </c>
      <c r="S2040">
        <v>0</v>
      </c>
      <c r="T2040">
        <v>5</v>
      </c>
      <c r="U2040">
        <v>10</v>
      </c>
      <c r="V2040">
        <v>0</v>
      </c>
      <c r="W2040">
        <v>0</v>
      </c>
      <c r="X2040">
        <v>0</v>
      </c>
    </row>
    <row r="2041" spans="1:24" x14ac:dyDescent="0.2">
      <c r="A2041">
        <v>20271000</v>
      </c>
      <c r="B2041" t="s">
        <v>2040</v>
      </c>
      <c r="C2041">
        <v>1000</v>
      </c>
      <c r="D2041">
        <v>1000</v>
      </c>
      <c r="E2041">
        <v>10000</v>
      </c>
      <c r="F2041">
        <v>83</v>
      </c>
      <c r="G2041">
        <v>0</v>
      </c>
      <c r="H2041">
        <v>0</v>
      </c>
      <c r="I2041">
        <v>0</v>
      </c>
      <c r="J2041">
        <v>83</v>
      </c>
      <c r="K2041">
        <v>0</v>
      </c>
      <c r="L2041">
        <v>0</v>
      </c>
      <c r="M2041">
        <v>0</v>
      </c>
      <c r="N2041">
        <v>0</v>
      </c>
      <c r="O2041">
        <v>4</v>
      </c>
      <c r="P2041">
        <v>21</v>
      </c>
      <c r="Q2041">
        <v>0</v>
      </c>
      <c r="R2041">
        <v>21</v>
      </c>
      <c r="S2041">
        <v>21</v>
      </c>
      <c r="T2041">
        <v>5</v>
      </c>
      <c r="U2041">
        <v>10</v>
      </c>
      <c r="V2041">
        <v>0</v>
      </c>
      <c r="W2041">
        <v>0</v>
      </c>
      <c r="X2041">
        <v>0</v>
      </c>
    </row>
    <row r="2042" spans="1:24" x14ac:dyDescent="0.2">
      <c r="A2042">
        <v>20271100</v>
      </c>
      <c r="B2042" t="s">
        <v>2041</v>
      </c>
      <c r="C2042">
        <v>1100</v>
      </c>
      <c r="D2042">
        <v>1100</v>
      </c>
      <c r="E2042">
        <v>10000</v>
      </c>
      <c r="F2042">
        <v>74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21</v>
      </c>
      <c r="Q2042">
        <v>0</v>
      </c>
      <c r="R2042">
        <v>0</v>
      </c>
      <c r="S2042">
        <v>0</v>
      </c>
      <c r="T2042">
        <v>5</v>
      </c>
      <c r="U2042">
        <v>10</v>
      </c>
      <c r="V2042">
        <v>0</v>
      </c>
      <c r="W2042">
        <v>0</v>
      </c>
      <c r="X2042">
        <v>0</v>
      </c>
    </row>
    <row r="2043" spans="1:24" x14ac:dyDescent="0.2">
      <c r="A2043">
        <v>20271200</v>
      </c>
      <c r="B2043" t="s">
        <v>2042</v>
      </c>
      <c r="C2043">
        <v>1200</v>
      </c>
      <c r="D2043">
        <v>1200</v>
      </c>
      <c r="E2043">
        <v>10000</v>
      </c>
      <c r="F2043">
        <v>74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21</v>
      </c>
      <c r="Q2043">
        <v>0</v>
      </c>
      <c r="R2043">
        <v>0</v>
      </c>
      <c r="S2043">
        <v>0</v>
      </c>
      <c r="T2043">
        <v>5</v>
      </c>
      <c r="U2043">
        <v>10</v>
      </c>
      <c r="V2043">
        <v>0</v>
      </c>
      <c r="W2043">
        <v>0</v>
      </c>
      <c r="X2043">
        <v>0</v>
      </c>
    </row>
    <row r="2044" spans="1:24" x14ac:dyDescent="0.2">
      <c r="A2044">
        <v>20271300</v>
      </c>
      <c r="B2044" t="s">
        <v>2043</v>
      </c>
      <c r="C2044">
        <v>1300</v>
      </c>
      <c r="D2044">
        <v>1300</v>
      </c>
      <c r="E2044">
        <v>10000</v>
      </c>
      <c r="F2044">
        <v>74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21</v>
      </c>
      <c r="Q2044">
        <v>0</v>
      </c>
      <c r="R2044">
        <v>0</v>
      </c>
      <c r="S2044">
        <v>0</v>
      </c>
      <c r="T2044">
        <v>5</v>
      </c>
      <c r="U2044">
        <v>10</v>
      </c>
      <c r="V2044">
        <v>0</v>
      </c>
      <c r="W2044">
        <v>0</v>
      </c>
      <c r="X2044">
        <v>0</v>
      </c>
    </row>
    <row r="2045" spans="1:24" x14ac:dyDescent="0.2">
      <c r="A2045">
        <v>20271400</v>
      </c>
      <c r="B2045" t="s">
        <v>2044</v>
      </c>
      <c r="C2045">
        <v>1400</v>
      </c>
      <c r="D2045">
        <v>1400</v>
      </c>
      <c r="E2045">
        <v>10014</v>
      </c>
      <c r="F2045">
        <v>83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21</v>
      </c>
      <c r="Q2045">
        <v>0</v>
      </c>
      <c r="R2045">
        <v>0</v>
      </c>
      <c r="S2045">
        <v>21</v>
      </c>
      <c r="T2045">
        <v>5</v>
      </c>
      <c r="U2045">
        <v>10</v>
      </c>
      <c r="V2045">
        <v>0</v>
      </c>
      <c r="W2045">
        <v>0</v>
      </c>
      <c r="X2045">
        <v>0</v>
      </c>
    </row>
    <row r="2046" spans="1:24" x14ac:dyDescent="0.2">
      <c r="A2046">
        <v>20271500</v>
      </c>
      <c r="B2046" t="s">
        <v>2045</v>
      </c>
      <c r="C2046">
        <v>1500</v>
      </c>
      <c r="D2046">
        <v>1500</v>
      </c>
      <c r="E2046">
        <v>10015</v>
      </c>
      <c r="F2046">
        <v>74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21</v>
      </c>
      <c r="Q2046">
        <v>0</v>
      </c>
      <c r="R2046">
        <v>0</v>
      </c>
      <c r="S2046">
        <v>0</v>
      </c>
      <c r="T2046">
        <v>5</v>
      </c>
      <c r="U2046">
        <v>10</v>
      </c>
      <c r="V2046">
        <v>0</v>
      </c>
      <c r="W2046">
        <v>0</v>
      </c>
      <c r="X2046">
        <v>0</v>
      </c>
    </row>
    <row r="2047" spans="1:24" x14ac:dyDescent="0.2">
      <c r="A2047">
        <v>20280000</v>
      </c>
      <c r="B2047" t="s">
        <v>2046</v>
      </c>
      <c r="C2047">
        <v>2200</v>
      </c>
      <c r="D2047">
        <v>8500</v>
      </c>
      <c r="E2047">
        <v>10000</v>
      </c>
      <c r="F2047">
        <v>72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21</v>
      </c>
      <c r="Q2047">
        <v>0</v>
      </c>
      <c r="R2047">
        <v>0</v>
      </c>
      <c r="S2047">
        <v>0</v>
      </c>
      <c r="T2047">
        <v>5</v>
      </c>
      <c r="U2047">
        <v>10</v>
      </c>
      <c r="V2047">
        <v>0</v>
      </c>
      <c r="W2047">
        <v>0</v>
      </c>
      <c r="X2047">
        <v>0</v>
      </c>
    </row>
    <row r="2048" spans="1:24" x14ac:dyDescent="0.2">
      <c r="A2048">
        <v>20290000</v>
      </c>
      <c r="B2048" t="s">
        <v>2047</v>
      </c>
      <c r="C2048">
        <v>2200</v>
      </c>
      <c r="D2048">
        <v>8500</v>
      </c>
      <c r="E2048">
        <v>10000</v>
      </c>
      <c r="F2048">
        <v>76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35</v>
      </c>
      <c r="Q2048">
        <v>0</v>
      </c>
      <c r="R2048">
        <v>0</v>
      </c>
      <c r="S2048">
        <v>0</v>
      </c>
      <c r="T2048">
        <v>7</v>
      </c>
      <c r="U2048">
        <v>16</v>
      </c>
      <c r="V2048">
        <v>0</v>
      </c>
      <c r="W2048">
        <v>0</v>
      </c>
      <c r="X2048">
        <v>0</v>
      </c>
    </row>
    <row r="2049" spans="1:24" x14ac:dyDescent="0.2">
      <c r="A2049">
        <v>20300000</v>
      </c>
      <c r="B2049" t="s">
        <v>2048</v>
      </c>
      <c r="C2049">
        <v>0</v>
      </c>
      <c r="D2049">
        <v>8100</v>
      </c>
      <c r="E2049">
        <v>10000</v>
      </c>
      <c r="F2049">
        <v>84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28</v>
      </c>
      <c r="Q2049">
        <v>0</v>
      </c>
      <c r="R2049">
        <v>0</v>
      </c>
      <c r="S2049">
        <v>0</v>
      </c>
      <c r="T2049">
        <v>6</v>
      </c>
      <c r="U2049">
        <v>9</v>
      </c>
      <c r="V2049">
        <v>0</v>
      </c>
      <c r="W2049">
        <v>0</v>
      </c>
      <c r="X2049">
        <v>0</v>
      </c>
    </row>
    <row r="2050" spans="1:24" x14ac:dyDescent="0.2">
      <c r="A2050">
        <v>20300100</v>
      </c>
      <c r="B2050" t="s">
        <v>2049</v>
      </c>
      <c r="C2050">
        <v>200</v>
      </c>
      <c r="D2050">
        <v>100</v>
      </c>
      <c r="E2050">
        <v>10000</v>
      </c>
      <c r="F2050">
        <v>84</v>
      </c>
      <c r="G2050">
        <v>0</v>
      </c>
      <c r="H2050">
        <v>0</v>
      </c>
      <c r="I2050">
        <v>0</v>
      </c>
      <c r="J2050">
        <v>0</v>
      </c>
      <c r="K2050">
        <v>1</v>
      </c>
      <c r="L2050">
        <v>0</v>
      </c>
      <c r="M2050">
        <v>0</v>
      </c>
      <c r="N2050">
        <v>0</v>
      </c>
      <c r="O2050">
        <v>0</v>
      </c>
      <c r="P2050">
        <v>28</v>
      </c>
      <c r="Q2050">
        <v>0</v>
      </c>
      <c r="R2050">
        <v>0</v>
      </c>
      <c r="S2050">
        <v>0</v>
      </c>
      <c r="T2050">
        <v>6</v>
      </c>
      <c r="U2050">
        <v>9</v>
      </c>
      <c r="V2050">
        <v>0</v>
      </c>
      <c r="W2050">
        <v>0</v>
      </c>
      <c r="X2050">
        <v>0</v>
      </c>
    </row>
    <row r="2051" spans="1:24" x14ac:dyDescent="0.2">
      <c r="A2051">
        <v>20300200</v>
      </c>
      <c r="B2051" t="s">
        <v>2050</v>
      </c>
      <c r="C2051">
        <v>100</v>
      </c>
      <c r="D2051">
        <v>200</v>
      </c>
      <c r="E2051">
        <v>10000</v>
      </c>
      <c r="F2051">
        <v>84</v>
      </c>
      <c r="G2051">
        <v>0</v>
      </c>
      <c r="H2051">
        <v>0</v>
      </c>
      <c r="I2051">
        <v>0</v>
      </c>
      <c r="J2051">
        <v>0</v>
      </c>
      <c r="K2051">
        <v>2</v>
      </c>
      <c r="L2051">
        <v>0</v>
      </c>
      <c r="M2051">
        <v>0</v>
      </c>
      <c r="N2051">
        <v>0</v>
      </c>
      <c r="O2051">
        <v>0</v>
      </c>
      <c r="P2051">
        <v>56</v>
      </c>
      <c r="Q2051">
        <v>0</v>
      </c>
      <c r="R2051">
        <v>0</v>
      </c>
      <c r="S2051">
        <v>0</v>
      </c>
      <c r="T2051">
        <v>6</v>
      </c>
      <c r="U2051">
        <v>9</v>
      </c>
      <c r="V2051">
        <v>0</v>
      </c>
      <c r="W2051">
        <v>0</v>
      </c>
      <c r="X2051">
        <v>0</v>
      </c>
    </row>
    <row r="2052" spans="1:24" x14ac:dyDescent="0.2">
      <c r="A2052">
        <v>20300300</v>
      </c>
      <c r="B2052" t="s">
        <v>2051</v>
      </c>
      <c r="C2052">
        <v>300</v>
      </c>
      <c r="D2052">
        <v>300</v>
      </c>
      <c r="E2052">
        <v>10000</v>
      </c>
      <c r="F2052">
        <v>84</v>
      </c>
      <c r="G2052">
        <v>0</v>
      </c>
      <c r="H2052">
        <v>0</v>
      </c>
      <c r="I2052">
        <v>0</v>
      </c>
      <c r="J2052">
        <v>0</v>
      </c>
      <c r="K2052">
        <v>8</v>
      </c>
      <c r="L2052">
        <v>0</v>
      </c>
      <c r="M2052">
        <v>0</v>
      </c>
      <c r="N2052">
        <v>0</v>
      </c>
      <c r="O2052">
        <v>0</v>
      </c>
      <c r="P2052">
        <v>24</v>
      </c>
      <c r="Q2052">
        <v>24</v>
      </c>
      <c r="R2052">
        <v>0</v>
      </c>
      <c r="S2052">
        <v>0</v>
      </c>
      <c r="T2052">
        <v>6</v>
      </c>
      <c r="U2052">
        <v>9</v>
      </c>
      <c r="V2052">
        <v>0</v>
      </c>
      <c r="W2052">
        <v>0</v>
      </c>
      <c r="X2052">
        <v>0</v>
      </c>
    </row>
    <row r="2053" spans="1:24" x14ac:dyDescent="0.2">
      <c r="A2053">
        <v>20300400</v>
      </c>
      <c r="B2053" t="s">
        <v>2052</v>
      </c>
      <c r="C2053">
        <v>500</v>
      </c>
      <c r="D2053">
        <v>500</v>
      </c>
      <c r="E2053">
        <v>10000</v>
      </c>
      <c r="F2053">
        <v>93</v>
      </c>
      <c r="G2053">
        <v>93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28</v>
      </c>
      <c r="Q2053">
        <v>0</v>
      </c>
      <c r="R2053">
        <v>28</v>
      </c>
      <c r="S2053">
        <v>0</v>
      </c>
      <c r="T2053">
        <v>6</v>
      </c>
      <c r="U2053">
        <v>9</v>
      </c>
      <c r="V2053">
        <v>0</v>
      </c>
      <c r="W2053">
        <v>0</v>
      </c>
      <c r="X2053">
        <v>0</v>
      </c>
    </row>
    <row r="2054" spans="1:24" x14ac:dyDescent="0.2">
      <c r="A2054">
        <v>20300500</v>
      </c>
      <c r="B2054" t="s">
        <v>2053</v>
      </c>
      <c r="C2054">
        <v>400</v>
      </c>
      <c r="D2054">
        <v>400</v>
      </c>
      <c r="E2054">
        <v>10000</v>
      </c>
      <c r="F2054">
        <v>93</v>
      </c>
      <c r="G2054">
        <v>93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28</v>
      </c>
      <c r="Q2054">
        <v>0</v>
      </c>
      <c r="R2054">
        <v>28</v>
      </c>
      <c r="S2054">
        <v>0</v>
      </c>
      <c r="T2054">
        <v>6</v>
      </c>
      <c r="U2054">
        <v>9</v>
      </c>
      <c r="V2054">
        <v>0</v>
      </c>
      <c r="W2054">
        <v>0</v>
      </c>
      <c r="X2054">
        <v>0</v>
      </c>
    </row>
    <row r="2055" spans="1:24" x14ac:dyDescent="0.2">
      <c r="A2055">
        <v>20300600</v>
      </c>
      <c r="B2055" t="s">
        <v>2054</v>
      </c>
      <c r="C2055">
        <v>600</v>
      </c>
      <c r="D2055">
        <v>600</v>
      </c>
      <c r="E2055">
        <v>10000</v>
      </c>
      <c r="F2055">
        <v>74</v>
      </c>
      <c r="G2055">
        <v>0</v>
      </c>
      <c r="H2055">
        <v>74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28</v>
      </c>
      <c r="Q2055">
        <v>0</v>
      </c>
      <c r="R2055">
        <v>0</v>
      </c>
      <c r="S2055">
        <v>0</v>
      </c>
      <c r="T2055">
        <v>6</v>
      </c>
      <c r="U2055">
        <v>9</v>
      </c>
      <c r="V2055">
        <v>0</v>
      </c>
      <c r="W2055">
        <v>0</v>
      </c>
      <c r="X2055">
        <v>0</v>
      </c>
    </row>
    <row r="2056" spans="1:24" x14ac:dyDescent="0.2">
      <c r="A2056">
        <v>20300700</v>
      </c>
      <c r="B2056" t="s">
        <v>2055</v>
      </c>
      <c r="C2056">
        <v>700</v>
      </c>
      <c r="D2056">
        <v>700</v>
      </c>
      <c r="E2056">
        <v>10000</v>
      </c>
      <c r="F2056">
        <v>93</v>
      </c>
      <c r="G2056">
        <v>0</v>
      </c>
      <c r="H2056">
        <v>93</v>
      </c>
      <c r="I2056">
        <v>0</v>
      </c>
      <c r="J2056">
        <v>0</v>
      </c>
      <c r="K2056">
        <v>0</v>
      </c>
      <c r="L2056">
        <v>0</v>
      </c>
      <c r="M2056">
        <v>4</v>
      </c>
      <c r="N2056">
        <v>0</v>
      </c>
      <c r="O2056">
        <v>0</v>
      </c>
      <c r="P2056">
        <v>28</v>
      </c>
      <c r="Q2056">
        <v>0</v>
      </c>
      <c r="R2056">
        <v>28</v>
      </c>
      <c r="S2056">
        <v>28</v>
      </c>
      <c r="T2056">
        <v>6</v>
      </c>
      <c r="U2056">
        <v>9</v>
      </c>
      <c r="V2056">
        <v>0</v>
      </c>
      <c r="W2056">
        <v>0</v>
      </c>
      <c r="X2056">
        <v>0</v>
      </c>
    </row>
    <row r="2057" spans="1:24" x14ac:dyDescent="0.2">
      <c r="A2057">
        <v>20300800</v>
      </c>
      <c r="B2057" t="s">
        <v>2056</v>
      </c>
      <c r="C2057">
        <v>800</v>
      </c>
      <c r="D2057">
        <v>800</v>
      </c>
      <c r="E2057">
        <v>10000</v>
      </c>
      <c r="F2057">
        <v>93</v>
      </c>
      <c r="G2057">
        <v>0</v>
      </c>
      <c r="H2057">
        <v>0</v>
      </c>
      <c r="I2057">
        <v>93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28</v>
      </c>
      <c r="Q2057">
        <v>0</v>
      </c>
      <c r="R2057">
        <v>0</v>
      </c>
      <c r="S2057">
        <v>28</v>
      </c>
      <c r="T2057">
        <v>6</v>
      </c>
      <c r="U2057">
        <v>9</v>
      </c>
      <c r="V2057">
        <v>0</v>
      </c>
      <c r="W2057">
        <v>0</v>
      </c>
      <c r="X2057">
        <v>0</v>
      </c>
    </row>
    <row r="2058" spans="1:24" x14ac:dyDescent="0.2">
      <c r="A2058">
        <v>20300900</v>
      </c>
      <c r="B2058" t="s">
        <v>2057</v>
      </c>
      <c r="C2058">
        <v>900</v>
      </c>
      <c r="D2058">
        <v>900</v>
      </c>
      <c r="E2058">
        <v>10000</v>
      </c>
      <c r="F2058">
        <v>74</v>
      </c>
      <c r="G2058">
        <v>0</v>
      </c>
      <c r="H2058">
        <v>0</v>
      </c>
      <c r="I2058">
        <v>0</v>
      </c>
      <c r="J2058">
        <v>74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28</v>
      </c>
      <c r="Q2058">
        <v>0</v>
      </c>
      <c r="R2058">
        <v>0</v>
      </c>
      <c r="S2058">
        <v>0</v>
      </c>
      <c r="T2058">
        <v>6</v>
      </c>
      <c r="U2058">
        <v>9</v>
      </c>
      <c r="V2058">
        <v>0</v>
      </c>
      <c r="W2058">
        <v>0</v>
      </c>
      <c r="X2058">
        <v>0</v>
      </c>
    </row>
    <row r="2059" spans="1:24" x14ac:dyDescent="0.2">
      <c r="A2059">
        <v>20301000</v>
      </c>
      <c r="B2059" t="s">
        <v>2058</v>
      </c>
      <c r="C2059">
        <v>1000</v>
      </c>
      <c r="D2059">
        <v>1000</v>
      </c>
      <c r="E2059">
        <v>10000</v>
      </c>
      <c r="F2059">
        <v>93</v>
      </c>
      <c r="G2059">
        <v>0</v>
      </c>
      <c r="H2059">
        <v>0</v>
      </c>
      <c r="I2059">
        <v>0</v>
      </c>
      <c r="J2059">
        <v>93</v>
      </c>
      <c r="K2059">
        <v>0</v>
      </c>
      <c r="L2059">
        <v>0</v>
      </c>
      <c r="M2059">
        <v>0</v>
      </c>
      <c r="N2059">
        <v>0</v>
      </c>
      <c r="O2059">
        <v>4</v>
      </c>
      <c r="P2059">
        <v>28</v>
      </c>
      <c r="Q2059">
        <v>0</v>
      </c>
      <c r="R2059">
        <v>28</v>
      </c>
      <c r="S2059">
        <v>28</v>
      </c>
      <c r="T2059">
        <v>6</v>
      </c>
      <c r="U2059">
        <v>9</v>
      </c>
      <c r="V2059">
        <v>0</v>
      </c>
      <c r="W2059">
        <v>0</v>
      </c>
      <c r="X2059">
        <v>0</v>
      </c>
    </row>
    <row r="2060" spans="1:24" x14ac:dyDescent="0.2">
      <c r="A2060">
        <v>20301100</v>
      </c>
      <c r="B2060" t="s">
        <v>2059</v>
      </c>
      <c r="C2060">
        <v>1100</v>
      </c>
      <c r="D2060">
        <v>1100</v>
      </c>
      <c r="E2060">
        <v>10000</v>
      </c>
      <c r="F2060">
        <v>84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28</v>
      </c>
      <c r="Q2060">
        <v>0</v>
      </c>
      <c r="R2060">
        <v>0</v>
      </c>
      <c r="S2060">
        <v>0</v>
      </c>
      <c r="T2060">
        <v>6</v>
      </c>
      <c r="U2060">
        <v>9</v>
      </c>
      <c r="V2060">
        <v>0</v>
      </c>
      <c r="W2060">
        <v>0</v>
      </c>
      <c r="X2060">
        <v>0</v>
      </c>
    </row>
    <row r="2061" spans="1:24" x14ac:dyDescent="0.2">
      <c r="A2061">
        <v>20301200</v>
      </c>
      <c r="B2061" t="s">
        <v>2060</v>
      </c>
      <c r="C2061">
        <v>1200</v>
      </c>
      <c r="D2061">
        <v>1200</v>
      </c>
      <c r="E2061">
        <v>10000</v>
      </c>
      <c r="F2061">
        <v>84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28</v>
      </c>
      <c r="Q2061">
        <v>0</v>
      </c>
      <c r="R2061">
        <v>0</v>
      </c>
      <c r="S2061">
        <v>0</v>
      </c>
      <c r="T2061">
        <v>6</v>
      </c>
      <c r="U2061">
        <v>9</v>
      </c>
      <c r="V2061">
        <v>0</v>
      </c>
      <c r="W2061">
        <v>0</v>
      </c>
      <c r="X2061">
        <v>0</v>
      </c>
    </row>
    <row r="2062" spans="1:24" x14ac:dyDescent="0.2">
      <c r="A2062">
        <v>20301300</v>
      </c>
      <c r="B2062" t="s">
        <v>2061</v>
      </c>
      <c r="C2062">
        <v>1300</v>
      </c>
      <c r="D2062">
        <v>1300</v>
      </c>
      <c r="E2062">
        <v>10000</v>
      </c>
      <c r="F2062">
        <v>84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28</v>
      </c>
      <c r="Q2062">
        <v>0</v>
      </c>
      <c r="R2062">
        <v>0</v>
      </c>
      <c r="S2062">
        <v>0</v>
      </c>
      <c r="T2062">
        <v>6</v>
      </c>
      <c r="U2062">
        <v>9</v>
      </c>
      <c r="V2062">
        <v>0</v>
      </c>
      <c r="W2062">
        <v>0</v>
      </c>
      <c r="X2062">
        <v>0</v>
      </c>
    </row>
    <row r="2063" spans="1:24" x14ac:dyDescent="0.2">
      <c r="A2063">
        <v>20301400</v>
      </c>
      <c r="B2063" t="s">
        <v>2062</v>
      </c>
      <c r="C2063">
        <v>1400</v>
      </c>
      <c r="D2063">
        <v>1400</v>
      </c>
      <c r="E2063">
        <v>10014</v>
      </c>
      <c r="F2063">
        <v>93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28</v>
      </c>
      <c r="Q2063">
        <v>0</v>
      </c>
      <c r="R2063">
        <v>0</v>
      </c>
      <c r="S2063">
        <v>28</v>
      </c>
      <c r="T2063">
        <v>6</v>
      </c>
      <c r="U2063">
        <v>9</v>
      </c>
      <c r="V2063">
        <v>0</v>
      </c>
      <c r="W2063">
        <v>0</v>
      </c>
      <c r="X2063">
        <v>0</v>
      </c>
    </row>
    <row r="2064" spans="1:24" x14ac:dyDescent="0.2">
      <c r="A2064">
        <v>20301500</v>
      </c>
      <c r="B2064" t="s">
        <v>2063</v>
      </c>
      <c r="C2064">
        <v>1500</v>
      </c>
      <c r="D2064">
        <v>1500</v>
      </c>
      <c r="E2064">
        <v>10015</v>
      </c>
      <c r="F2064">
        <v>84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28</v>
      </c>
      <c r="Q2064">
        <v>0</v>
      </c>
      <c r="R2064">
        <v>0</v>
      </c>
      <c r="S2064">
        <v>0</v>
      </c>
      <c r="T2064">
        <v>6</v>
      </c>
      <c r="U2064">
        <v>9</v>
      </c>
      <c r="V2064">
        <v>0</v>
      </c>
      <c r="W2064">
        <v>0</v>
      </c>
      <c r="X2064">
        <v>0</v>
      </c>
    </row>
    <row r="2065" spans="1:24" x14ac:dyDescent="0.2">
      <c r="A2065">
        <v>20310000</v>
      </c>
      <c r="B2065" t="s">
        <v>2064</v>
      </c>
      <c r="C2065">
        <v>2000</v>
      </c>
      <c r="D2065">
        <v>8400</v>
      </c>
      <c r="E2065">
        <v>12000</v>
      </c>
      <c r="F2065">
        <v>106</v>
      </c>
      <c r="G2065">
        <v>0</v>
      </c>
      <c r="H2065">
        <v>11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21</v>
      </c>
      <c r="Q2065">
        <v>0</v>
      </c>
      <c r="R2065">
        <v>6</v>
      </c>
      <c r="S2065">
        <v>16</v>
      </c>
      <c r="T2065">
        <v>5</v>
      </c>
      <c r="U2065">
        <v>12</v>
      </c>
      <c r="V2065">
        <v>0</v>
      </c>
      <c r="W2065">
        <v>11</v>
      </c>
      <c r="X2065">
        <v>12</v>
      </c>
    </row>
    <row r="2066" spans="1:24" x14ac:dyDescent="0.2">
      <c r="A2066">
        <v>21010000</v>
      </c>
      <c r="B2066" t="s">
        <v>2065</v>
      </c>
      <c r="C2066">
        <v>0</v>
      </c>
      <c r="D2066">
        <v>8100</v>
      </c>
      <c r="E2066">
        <v>10000</v>
      </c>
      <c r="F2066">
        <v>83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30</v>
      </c>
      <c r="Q2066">
        <v>0</v>
      </c>
      <c r="R2066">
        <v>0</v>
      </c>
      <c r="S2066">
        <v>0</v>
      </c>
      <c r="T2066">
        <v>6</v>
      </c>
      <c r="U2066">
        <v>18</v>
      </c>
      <c r="V2066">
        <v>0</v>
      </c>
      <c r="W2066">
        <v>0</v>
      </c>
      <c r="X2066">
        <v>0</v>
      </c>
    </row>
    <row r="2067" spans="1:24" x14ac:dyDescent="0.2">
      <c r="A2067">
        <v>21010100</v>
      </c>
      <c r="B2067" t="s">
        <v>2066</v>
      </c>
      <c r="C2067">
        <v>200</v>
      </c>
      <c r="D2067">
        <v>100</v>
      </c>
      <c r="E2067">
        <v>10000</v>
      </c>
      <c r="F2067">
        <v>83</v>
      </c>
      <c r="G2067">
        <v>0</v>
      </c>
      <c r="H2067">
        <v>0</v>
      </c>
      <c r="I2067">
        <v>0</v>
      </c>
      <c r="J2067">
        <v>0</v>
      </c>
      <c r="K2067">
        <v>1</v>
      </c>
      <c r="L2067">
        <v>0</v>
      </c>
      <c r="M2067">
        <v>0</v>
      </c>
      <c r="N2067">
        <v>0</v>
      </c>
      <c r="O2067">
        <v>0</v>
      </c>
      <c r="P2067">
        <v>30</v>
      </c>
      <c r="Q2067">
        <v>0</v>
      </c>
      <c r="R2067">
        <v>0</v>
      </c>
      <c r="S2067">
        <v>0</v>
      </c>
      <c r="T2067">
        <v>6</v>
      </c>
      <c r="U2067">
        <v>18</v>
      </c>
      <c r="V2067">
        <v>0</v>
      </c>
      <c r="W2067">
        <v>0</v>
      </c>
      <c r="X2067">
        <v>0</v>
      </c>
    </row>
    <row r="2068" spans="1:24" x14ac:dyDescent="0.2">
      <c r="A2068">
        <v>21010200</v>
      </c>
      <c r="B2068" t="s">
        <v>2067</v>
      </c>
      <c r="C2068">
        <v>100</v>
      </c>
      <c r="D2068">
        <v>200</v>
      </c>
      <c r="E2068">
        <v>10000</v>
      </c>
      <c r="F2068">
        <v>83</v>
      </c>
      <c r="G2068">
        <v>0</v>
      </c>
      <c r="H2068">
        <v>0</v>
      </c>
      <c r="I2068">
        <v>0</v>
      </c>
      <c r="J2068">
        <v>0</v>
      </c>
      <c r="K2068">
        <v>1</v>
      </c>
      <c r="L2068">
        <v>0</v>
      </c>
      <c r="M2068">
        <v>0</v>
      </c>
      <c r="N2068">
        <v>0</v>
      </c>
      <c r="O2068">
        <v>0</v>
      </c>
      <c r="P2068">
        <v>30</v>
      </c>
      <c r="Q2068">
        <v>0</v>
      </c>
      <c r="R2068">
        <v>0</v>
      </c>
      <c r="S2068">
        <v>0</v>
      </c>
      <c r="T2068">
        <v>6</v>
      </c>
      <c r="U2068">
        <v>18</v>
      </c>
      <c r="V2068">
        <v>0</v>
      </c>
      <c r="W2068">
        <v>0</v>
      </c>
      <c r="X2068">
        <v>0</v>
      </c>
    </row>
    <row r="2069" spans="1:24" x14ac:dyDescent="0.2">
      <c r="A2069">
        <v>21010300</v>
      </c>
      <c r="B2069" t="s">
        <v>2068</v>
      </c>
      <c r="C2069">
        <v>300</v>
      </c>
      <c r="D2069">
        <v>300</v>
      </c>
      <c r="E2069">
        <v>10000</v>
      </c>
      <c r="F2069">
        <v>83</v>
      </c>
      <c r="G2069">
        <v>0</v>
      </c>
      <c r="H2069">
        <v>0</v>
      </c>
      <c r="I2069">
        <v>0</v>
      </c>
      <c r="J2069">
        <v>0</v>
      </c>
      <c r="K2069">
        <v>8</v>
      </c>
      <c r="L2069">
        <v>0</v>
      </c>
      <c r="M2069">
        <v>0</v>
      </c>
      <c r="N2069">
        <v>0</v>
      </c>
      <c r="O2069">
        <v>0</v>
      </c>
      <c r="P2069">
        <v>25</v>
      </c>
      <c r="Q2069">
        <v>25</v>
      </c>
      <c r="R2069">
        <v>0</v>
      </c>
      <c r="S2069">
        <v>0</v>
      </c>
      <c r="T2069">
        <v>6</v>
      </c>
      <c r="U2069">
        <v>18</v>
      </c>
      <c r="V2069">
        <v>0</v>
      </c>
      <c r="W2069">
        <v>0</v>
      </c>
      <c r="X2069">
        <v>0</v>
      </c>
    </row>
    <row r="2070" spans="1:24" x14ac:dyDescent="0.2">
      <c r="A2070">
        <v>21010400</v>
      </c>
      <c r="B2070" t="s">
        <v>2069</v>
      </c>
      <c r="C2070">
        <v>500</v>
      </c>
      <c r="D2070">
        <v>500</v>
      </c>
      <c r="E2070">
        <v>10000</v>
      </c>
      <c r="F2070">
        <v>92</v>
      </c>
      <c r="G2070">
        <v>92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30</v>
      </c>
      <c r="Q2070">
        <v>0</v>
      </c>
      <c r="R2070">
        <v>30</v>
      </c>
      <c r="S2070">
        <v>0</v>
      </c>
      <c r="T2070">
        <v>6</v>
      </c>
      <c r="U2070">
        <v>18</v>
      </c>
      <c r="V2070">
        <v>0</v>
      </c>
      <c r="W2070">
        <v>0</v>
      </c>
      <c r="X2070">
        <v>0</v>
      </c>
    </row>
    <row r="2071" spans="1:24" x14ac:dyDescent="0.2">
      <c r="A2071">
        <v>21010500</v>
      </c>
      <c r="B2071" t="s">
        <v>2070</v>
      </c>
      <c r="C2071">
        <v>400</v>
      </c>
      <c r="D2071">
        <v>400</v>
      </c>
      <c r="E2071">
        <v>10000</v>
      </c>
      <c r="F2071">
        <v>92</v>
      </c>
      <c r="G2071">
        <v>92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30</v>
      </c>
      <c r="Q2071">
        <v>0</v>
      </c>
      <c r="R2071">
        <v>30</v>
      </c>
      <c r="S2071">
        <v>0</v>
      </c>
      <c r="T2071">
        <v>6</v>
      </c>
      <c r="U2071">
        <v>18</v>
      </c>
      <c r="V2071">
        <v>0</v>
      </c>
      <c r="W2071">
        <v>0</v>
      </c>
      <c r="X2071">
        <v>0</v>
      </c>
    </row>
    <row r="2072" spans="1:24" x14ac:dyDescent="0.2">
      <c r="A2072">
        <v>21010600</v>
      </c>
      <c r="B2072" t="s">
        <v>2071</v>
      </c>
      <c r="C2072">
        <v>600</v>
      </c>
      <c r="D2072">
        <v>600</v>
      </c>
      <c r="E2072">
        <v>10000</v>
      </c>
      <c r="F2072">
        <v>73</v>
      </c>
      <c r="G2072">
        <v>0</v>
      </c>
      <c r="H2072">
        <v>73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30</v>
      </c>
      <c r="Q2072">
        <v>0</v>
      </c>
      <c r="R2072">
        <v>0</v>
      </c>
      <c r="S2072">
        <v>0</v>
      </c>
      <c r="T2072">
        <v>6</v>
      </c>
      <c r="U2072">
        <v>18</v>
      </c>
      <c r="V2072">
        <v>0</v>
      </c>
      <c r="W2072">
        <v>0</v>
      </c>
      <c r="X2072">
        <v>0</v>
      </c>
    </row>
    <row r="2073" spans="1:24" x14ac:dyDescent="0.2">
      <c r="A2073">
        <v>21010700</v>
      </c>
      <c r="B2073" t="s">
        <v>2072</v>
      </c>
      <c r="C2073">
        <v>700</v>
      </c>
      <c r="D2073">
        <v>700</v>
      </c>
      <c r="E2073">
        <v>10000</v>
      </c>
      <c r="F2073">
        <v>92</v>
      </c>
      <c r="G2073">
        <v>0</v>
      </c>
      <c r="H2073">
        <v>92</v>
      </c>
      <c r="I2073">
        <v>0</v>
      </c>
      <c r="J2073">
        <v>0</v>
      </c>
      <c r="K2073">
        <v>0</v>
      </c>
      <c r="L2073">
        <v>0</v>
      </c>
      <c r="M2073">
        <v>4</v>
      </c>
      <c r="N2073">
        <v>0</v>
      </c>
      <c r="O2073">
        <v>0</v>
      </c>
      <c r="P2073">
        <v>30</v>
      </c>
      <c r="Q2073">
        <v>0</v>
      </c>
      <c r="R2073">
        <v>30</v>
      </c>
      <c r="S2073">
        <v>30</v>
      </c>
      <c r="T2073">
        <v>6</v>
      </c>
      <c r="U2073">
        <v>18</v>
      </c>
      <c r="V2073">
        <v>0</v>
      </c>
      <c r="W2073">
        <v>0</v>
      </c>
      <c r="X2073">
        <v>0</v>
      </c>
    </row>
    <row r="2074" spans="1:24" x14ac:dyDescent="0.2">
      <c r="A2074">
        <v>21010800</v>
      </c>
      <c r="B2074" t="s">
        <v>2073</v>
      </c>
      <c r="C2074">
        <v>800</v>
      </c>
      <c r="D2074">
        <v>800</v>
      </c>
      <c r="E2074">
        <v>10000</v>
      </c>
      <c r="F2074">
        <v>92</v>
      </c>
      <c r="G2074">
        <v>0</v>
      </c>
      <c r="H2074">
        <v>0</v>
      </c>
      <c r="I2074">
        <v>92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30</v>
      </c>
      <c r="Q2074">
        <v>0</v>
      </c>
      <c r="R2074">
        <v>0</v>
      </c>
      <c r="S2074">
        <v>30</v>
      </c>
      <c r="T2074">
        <v>6</v>
      </c>
      <c r="U2074">
        <v>18</v>
      </c>
      <c r="V2074">
        <v>0</v>
      </c>
      <c r="W2074">
        <v>0</v>
      </c>
      <c r="X2074">
        <v>0</v>
      </c>
    </row>
    <row r="2075" spans="1:24" x14ac:dyDescent="0.2">
      <c r="A2075">
        <v>21010900</v>
      </c>
      <c r="B2075" t="s">
        <v>2074</v>
      </c>
      <c r="C2075">
        <v>900</v>
      </c>
      <c r="D2075">
        <v>900</v>
      </c>
      <c r="E2075">
        <v>10000</v>
      </c>
      <c r="F2075">
        <v>73</v>
      </c>
      <c r="G2075">
        <v>0</v>
      </c>
      <c r="H2075">
        <v>0</v>
      </c>
      <c r="I2075">
        <v>0</v>
      </c>
      <c r="J2075">
        <v>73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30</v>
      </c>
      <c r="Q2075">
        <v>0</v>
      </c>
      <c r="R2075">
        <v>0</v>
      </c>
      <c r="S2075">
        <v>0</v>
      </c>
      <c r="T2075">
        <v>6</v>
      </c>
      <c r="U2075">
        <v>18</v>
      </c>
      <c r="V2075">
        <v>0</v>
      </c>
      <c r="W2075">
        <v>0</v>
      </c>
      <c r="X2075">
        <v>0</v>
      </c>
    </row>
    <row r="2076" spans="1:24" x14ac:dyDescent="0.2">
      <c r="A2076">
        <v>21011000</v>
      </c>
      <c r="B2076" t="s">
        <v>2075</v>
      </c>
      <c r="C2076">
        <v>1000</v>
      </c>
      <c r="D2076">
        <v>1000</v>
      </c>
      <c r="E2076">
        <v>10000</v>
      </c>
      <c r="F2076">
        <v>92</v>
      </c>
      <c r="G2076">
        <v>0</v>
      </c>
      <c r="H2076">
        <v>0</v>
      </c>
      <c r="I2076">
        <v>0</v>
      </c>
      <c r="J2076">
        <v>92</v>
      </c>
      <c r="K2076">
        <v>0</v>
      </c>
      <c r="L2076">
        <v>0</v>
      </c>
      <c r="M2076">
        <v>0</v>
      </c>
      <c r="N2076">
        <v>0</v>
      </c>
      <c r="O2076">
        <v>4</v>
      </c>
      <c r="P2076">
        <v>30</v>
      </c>
      <c r="Q2076">
        <v>0</v>
      </c>
      <c r="R2076">
        <v>30</v>
      </c>
      <c r="S2076">
        <v>30</v>
      </c>
      <c r="T2076">
        <v>6</v>
      </c>
      <c r="U2076">
        <v>18</v>
      </c>
      <c r="V2076">
        <v>0</v>
      </c>
      <c r="W2076">
        <v>0</v>
      </c>
      <c r="X2076">
        <v>0</v>
      </c>
    </row>
    <row r="2077" spans="1:24" x14ac:dyDescent="0.2">
      <c r="A2077">
        <v>21011100</v>
      </c>
      <c r="B2077" t="s">
        <v>2076</v>
      </c>
      <c r="C2077">
        <v>1100</v>
      </c>
      <c r="D2077">
        <v>1100</v>
      </c>
      <c r="E2077">
        <v>10000</v>
      </c>
      <c r="F2077">
        <v>83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30</v>
      </c>
      <c r="Q2077">
        <v>0</v>
      </c>
      <c r="R2077">
        <v>0</v>
      </c>
      <c r="S2077">
        <v>0</v>
      </c>
      <c r="T2077">
        <v>6</v>
      </c>
      <c r="U2077">
        <v>18</v>
      </c>
      <c r="V2077">
        <v>0</v>
      </c>
      <c r="W2077">
        <v>0</v>
      </c>
      <c r="X2077">
        <v>0</v>
      </c>
    </row>
    <row r="2078" spans="1:24" x14ac:dyDescent="0.2">
      <c r="A2078">
        <v>21011200</v>
      </c>
      <c r="B2078" t="s">
        <v>2077</v>
      </c>
      <c r="C2078">
        <v>1200</v>
      </c>
      <c r="D2078">
        <v>1200</v>
      </c>
      <c r="E2078">
        <v>10000</v>
      </c>
      <c r="F2078">
        <v>83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30</v>
      </c>
      <c r="Q2078">
        <v>0</v>
      </c>
      <c r="R2078">
        <v>0</v>
      </c>
      <c r="S2078">
        <v>0</v>
      </c>
      <c r="T2078">
        <v>6</v>
      </c>
      <c r="U2078">
        <v>18</v>
      </c>
      <c r="V2078">
        <v>0</v>
      </c>
      <c r="W2078">
        <v>0</v>
      </c>
      <c r="X2078">
        <v>0</v>
      </c>
    </row>
    <row r="2079" spans="1:24" x14ac:dyDescent="0.2">
      <c r="A2079">
        <v>21011300</v>
      </c>
      <c r="B2079" t="s">
        <v>2078</v>
      </c>
      <c r="C2079">
        <v>1300</v>
      </c>
      <c r="D2079">
        <v>1300</v>
      </c>
      <c r="E2079">
        <v>10000</v>
      </c>
      <c r="F2079">
        <v>83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30</v>
      </c>
      <c r="Q2079">
        <v>0</v>
      </c>
      <c r="R2079">
        <v>0</v>
      </c>
      <c r="S2079">
        <v>0</v>
      </c>
      <c r="T2079">
        <v>6</v>
      </c>
      <c r="U2079">
        <v>18</v>
      </c>
      <c r="V2079">
        <v>0</v>
      </c>
      <c r="W2079">
        <v>0</v>
      </c>
      <c r="X2079">
        <v>0</v>
      </c>
    </row>
    <row r="2080" spans="1:24" x14ac:dyDescent="0.2">
      <c r="A2080">
        <v>21011400</v>
      </c>
      <c r="B2080" t="s">
        <v>2079</v>
      </c>
      <c r="C2080">
        <v>1400</v>
      </c>
      <c r="D2080">
        <v>1400</v>
      </c>
      <c r="E2080">
        <v>10014</v>
      </c>
      <c r="F2080">
        <v>92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30</v>
      </c>
      <c r="Q2080">
        <v>0</v>
      </c>
      <c r="R2080">
        <v>0</v>
      </c>
      <c r="S2080">
        <v>30</v>
      </c>
      <c r="T2080">
        <v>6</v>
      </c>
      <c r="U2080">
        <v>18</v>
      </c>
      <c r="V2080">
        <v>0</v>
      </c>
      <c r="W2080">
        <v>0</v>
      </c>
      <c r="X2080">
        <v>0</v>
      </c>
    </row>
    <row r="2081" spans="1:24" x14ac:dyDescent="0.2">
      <c r="A2081">
        <v>21011500</v>
      </c>
      <c r="B2081" t="s">
        <v>2080</v>
      </c>
      <c r="C2081">
        <v>1500</v>
      </c>
      <c r="D2081">
        <v>1500</v>
      </c>
      <c r="E2081">
        <v>10015</v>
      </c>
      <c r="F2081">
        <v>83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30</v>
      </c>
      <c r="Q2081">
        <v>0</v>
      </c>
      <c r="R2081">
        <v>0</v>
      </c>
      <c r="S2081">
        <v>0</v>
      </c>
      <c r="T2081">
        <v>6</v>
      </c>
      <c r="U2081">
        <v>18</v>
      </c>
      <c r="V2081">
        <v>0</v>
      </c>
      <c r="W2081">
        <v>0</v>
      </c>
      <c r="X2081">
        <v>0</v>
      </c>
    </row>
    <row r="2082" spans="1:24" x14ac:dyDescent="0.2">
      <c r="A2082">
        <v>21040000</v>
      </c>
      <c r="B2082" t="s">
        <v>2081</v>
      </c>
      <c r="C2082">
        <v>0</v>
      </c>
      <c r="D2082">
        <v>8100</v>
      </c>
      <c r="E2082">
        <v>10000</v>
      </c>
      <c r="F2082">
        <v>79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29</v>
      </c>
      <c r="Q2082">
        <v>0</v>
      </c>
      <c r="R2082">
        <v>0</v>
      </c>
      <c r="S2082">
        <v>0</v>
      </c>
      <c r="T2082">
        <v>6</v>
      </c>
      <c r="U2082">
        <v>13</v>
      </c>
      <c r="V2082">
        <v>0</v>
      </c>
      <c r="W2082">
        <v>0</v>
      </c>
      <c r="X2082">
        <v>0</v>
      </c>
    </row>
    <row r="2083" spans="1:24" x14ac:dyDescent="0.2">
      <c r="A2083">
        <v>21040100</v>
      </c>
      <c r="B2083" t="s">
        <v>2082</v>
      </c>
      <c r="C2083">
        <v>200</v>
      </c>
      <c r="D2083">
        <v>100</v>
      </c>
      <c r="E2083">
        <v>10000</v>
      </c>
      <c r="F2083">
        <v>79</v>
      </c>
      <c r="G2083">
        <v>0</v>
      </c>
      <c r="H2083">
        <v>0</v>
      </c>
      <c r="I2083">
        <v>0</v>
      </c>
      <c r="J2083">
        <v>0</v>
      </c>
      <c r="K2083">
        <v>1</v>
      </c>
      <c r="L2083">
        <v>0</v>
      </c>
      <c r="M2083">
        <v>0</v>
      </c>
      <c r="N2083">
        <v>0</v>
      </c>
      <c r="O2083">
        <v>0</v>
      </c>
      <c r="P2083">
        <v>29</v>
      </c>
      <c r="Q2083">
        <v>0</v>
      </c>
      <c r="R2083">
        <v>0</v>
      </c>
      <c r="S2083">
        <v>0</v>
      </c>
      <c r="T2083">
        <v>6</v>
      </c>
      <c r="U2083">
        <v>13</v>
      </c>
      <c r="V2083">
        <v>0</v>
      </c>
      <c r="W2083">
        <v>0</v>
      </c>
      <c r="X2083">
        <v>0</v>
      </c>
    </row>
    <row r="2084" spans="1:24" x14ac:dyDescent="0.2">
      <c r="A2084">
        <v>21040200</v>
      </c>
      <c r="B2084" t="s">
        <v>2083</v>
      </c>
      <c r="C2084">
        <v>100</v>
      </c>
      <c r="D2084">
        <v>200</v>
      </c>
      <c r="E2084">
        <v>10000</v>
      </c>
      <c r="F2084">
        <v>79</v>
      </c>
      <c r="G2084">
        <v>0</v>
      </c>
      <c r="H2084">
        <v>0</v>
      </c>
      <c r="I2084">
        <v>0</v>
      </c>
      <c r="J2084">
        <v>0</v>
      </c>
      <c r="K2084">
        <v>1</v>
      </c>
      <c r="L2084">
        <v>0</v>
      </c>
      <c r="M2084">
        <v>0</v>
      </c>
      <c r="N2084">
        <v>0</v>
      </c>
      <c r="O2084">
        <v>0</v>
      </c>
      <c r="P2084">
        <v>29</v>
      </c>
      <c r="Q2084">
        <v>0</v>
      </c>
      <c r="R2084">
        <v>0</v>
      </c>
      <c r="S2084">
        <v>0</v>
      </c>
      <c r="T2084">
        <v>6</v>
      </c>
      <c r="U2084">
        <v>13</v>
      </c>
      <c r="V2084">
        <v>0</v>
      </c>
      <c r="W2084">
        <v>0</v>
      </c>
      <c r="X2084">
        <v>0</v>
      </c>
    </row>
    <row r="2085" spans="1:24" x14ac:dyDescent="0.2">
      <c r="A2085">
        <v>21040300</v>
      </c>
      <c r="B2085" t="s">
        <v>2084</v>
      </c>
      <c r="C2085">
        <v>300</v>
      </c>
      <c r="D2085">
        <v>300</v>
      </c>
      <c r="E2085">
        <v>10000</v>
      </c>
      <c r="F2085">
        <v>79</v>
      </c>
      <c r="G2085">
        <v>0</v>
      </c>
      <c r="H2085">
        <v>0</v>
      </c>
      <c r="I2085">
        <v>0</v>
      </c>
      <c r="J2085">
        <v>0</v>
      </c>
      <c r="K2085">
        <v>8</v>
      </c>
      <c r="L2085">
        <v>0</v>
      </c>
      <c r="M2085">
        <v>0</v>
      </c>
      <c r="N2085">
        <v>0</v>
      </c>
      <c r="O2085">
        <v>0</v>
      </c>
      <c r="P2085">
        <v>24</v>
      </c>
      <c r="Q2085">
        <v>24</v>
      </c>
      <c r="R2085">
        <v>0</v>
      </c>
      <c r="S2085">
        <v>0</v>
      </c>
      <c r="T2085">
        <v>6</v>
      </c>
      <c r="U2085">
        <v>13</v>
      </c>
      <c r="V2085">
        <v>0</v>
      </c>
      <c r="W2085">
        <v>0</v>
      </c>
      <c r="X2085">
        <v>0</v>
      </c>
    </row>
    <row r="2086" spans="1:24" x14ac:dyDescent="0.2">
      <c r="A2086">
        <v>21040400</v>
      </c>
      <c r="B2086" t="s">
        <v>2085</v>
      </c>
      <c r="C2086">
        <v>500</v>
      </c>
      <c r="D2086">
        <v>500</v>
      </c>
      <c r="E2086">
        <v>10000</v>
      </c>
      <c r="F2086">
        <v>88</v>
      </c>
      <c r="G2086">
        <v>88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29</v>
      </c>
      <c r="Q2086">
        <v>0</v>
      </c>
      <c r="R2086">
        <v>29</v>
      </c>
      <c r="S2086">
        <v>0</v>
      </c>
      <c r="T2086">
        <v>6</v>
      </c>
      <c r="U2086">
        <v>13</v>
      </c>
      <c r="V2086">
        <v>0</v>
      </c>
      <c r="W2086">
        <v>0</v>
      </c>
      <c r="X2086">
        <v>0</v>
      </c>
    </row>
    <row r="2087" spans="1:24" x14ac:dyDescent="0.2">
      <c r="A2087">
        <v>21040500</v>
      </c>
      <c r="B2087" t="s">
        <v>2086</v>
      </c>
      <c r="C2087">
        <v>400</v>
      </c>
      <c r="D2087">
        <v>400</v>
      </c>
      <c r="E2087">
        <v>10000</v>
      </c>
      <c r="F2087">
        <v>88</v>
      </c>
      <c r="G2087">
        <v>88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29</v>
      </c>
      <c r="Q2087">
        <v>0</v>
      </c>
      <c r="R2087">
        <v>29</v>
      </c>
      <c r="S2087">
        <v>0</v>
      </c>
      <c r="T2087">
        <v>6</v>
      </c>
      <c r="U2087">
        <v>13</v>
      </c>
      <c r="V2087">
        <v>0</v>
      </c>
      <c r="W2087">
        <v>0</v>
      </c>
      <c r="X2087">
        <v>0</v>
      </c>
    </row>
    <row r="2088" spans="1:24" x14ac:dyDescent="0.2">
      <c r="A2088">
        <v>21040600</v>
      </c>
      <c r="B2088" t="s">
        <v>2087</v>
      </c>
      <c r="C2088">
        <v>600</v>
      </c>
      <c r="D2088">
        <v>600</v>
      </c>
      <c r="E2088">
        <v>10000</v>
      </c>
      <c r="F2088">
        <v>69</v>
      </c>
      <c r="G2088">
        <v>0</v>
      </c>
      <c r="H2088">
        <v>69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29</v>
      </c>
      <c r="Q2088">
        <v>0</v>
      </c>
      <c r="R2088">
        <v>0</v>
      </c>
      <c r="S2088">
        <v>0</v>
      </c>
      <c r="T2088">
        <v>6</v>
      </c>
      <c r="U2088">
        <v>13</v>
      </c>
      <c r="V2088">
        <v>0</v>
      </c>
      <c r="W2088">
        <v>0</v>
      </c>
      <c r="X2088">
        <v>0</v>
      </c>
    </row>
    <row r="2089" spans="1:24" x14ac:dyDescent="0.2">
      <c r="A2089">
        <v>21040700</v>
      </c>
      <c r="B2089" t="s">
        <v>2088</v>
      </c>
      <c r="C2089">
        <v>700</v>
      </c>
      <c r="D2089">
        <v>700</v>
      </c>
      <c r="E2089">
        <v>10000</v>
      </c>
      <c r="F2089">
        <v>88</v>
      </c>
      <c r="G2089">
        <v>0</v>
      </c>
      <c r="H2089">
        <v>88</v>
      </c>
      <c r="I2089">
        <v>0</v>
      </c>
      <c r="J2089">
        <v>0</v>
      </c>
      <c r="K2089">
        <v>0</v>
      </c>
      <c r="L2089">
        <v>0</v>
      </c>
      <c r="M2089">
        <v>4</v>
      </c>
      <c r="N2089">
        <v>0</v>
      </c>
      <c r="O2089">
        <v>0</v>
      </c>
      <c r="P2089">
        <v>29</v>
      </c>
      <c r="Q2089">
        <v>0</v>
      </c>
      <c r="R2089">
        <v>29</v>
      </c>
      <c r="S2089">
        <v>29</v>
      </c>
      <c r="T2089">
        <v>6</v>
      </c>
      <c r="U2089">
        <v>13</v>
      </c>
      <c r="V2089">
        <v>0</v>
      </c>
      <c r="W2089">
        <v>0</v>
      </c>
      <c r="X2089">
        <v>0</v>
      </c>
    </row>
    <row r="2090" spans="1:24" x14ac:dyDescent="0.2">
      <c r="A2090">
        <v>21040800</v>
      </c>
      <c r="B2090" t="s">
        <v>2089</v>
      </c>
      <c r="C2090">
        <v>800</v>
      </c>
      <c r="D2090">
        <v>800</v>
      </c>
      <c r="E2090">
        <v>10000</v>
      </c>
      <c r="F2090">
        <v>88</v>
      </c>
      <c r="G2090">
        <v>0</v>
      </c>
      <c r="H2090">
        <v>0</v>
      </c>
      <c r="I2090">
        <v>88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29</v>
      </c>
      <c r="Q2090">
        <v>0</v>
      </c>
      <c r="R2090">
        <v>0</v>
      </c>
      <c r="S2090">
        <v>29</v>
      </c>
      <c r="T2090">
        <v>6</v>
      </c>
      <c r="U2090">
        <v>13</v>
      </c>
      <c r="V2090">
        <v>0</v>
      </c>
      <c r="W2090">
        <v>0</v>
      </c>
      <c r="X2090">
        <v>0</v>
      </c>
    </row>
    <row r="2091" spans="1:24" x14ac:dyDescent="0.2">
      <c r="A2091">
        <v>21040900</v>
      </c>
      <c r="B2091" t="s">
        <v>2090</v>
      </c>
      <c r="C2091">
        <v>900</v>
      </c>
      <c r="D2091">
        <v>900</v>
      </c>
      <c r="E2091">
        <v>10000</v>
      </c>
      <c r="F2091">
        <v>69</v>
      </c>
      <c r="G2091">
        <v>0</v>
      </c>
      <c r="H2091">
        <v>0</v>
      </c>
      <c r="I2091">
        <v>0</v>
      </c>
      <c r="J2091">
        <v>69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29</v>
      </c>
      <c r="Q2091">
        <v>0</v>
      </c>
      <c r="R2091">
        <v>0</v>
      </c>
      <c r="S2091">
        <v>0</v>
      </c>
      <c r="T2091">
        <v>6</v>
      </c>
      <c r="U2091">
        <v>13</v>
      </c>
      <c r="V2091">
        <v>0</v>
      </c>
      <c r="W2091">
        <v>0</v>
      </c>
      <c r="X2091">
        <v>0</v>
      </c>
    </row>
    <row r="2092" spans="1:24" x14ac:dyDescent="0.2">
      <c r="A2092">
        <v>21041000</v>
      </c>
      <c r="B2092" t="s">
        <v>2091</v>
      </c>
      <c r="C2092">
        <v>1000</v>
      </c>
      <c r="D2092">
        <v>1000</v>
      </c>
      <c r="E2092">
        <v>10000</v>
      </c>
      <c r="F2092">
        <v>88</v>
      </c>
      <c r="G2092">
        <v>0</v>
      </c>
      <c r="H2092">
        <v>0</v>
      </c>
      <c r="I2092">
        <v>0</v>
      </c>
      <c r="J2092">
        <v>88</v>
      </c>
      <c r="K2092">
        <v>0</v>
      </c>
      <c r="L2092">
        <v>0</v>
      </c>
      <c r="M2092">
        <v>0</v>
      </c>
      <c r="N2092">
        <v>0</v>
      </c>
      <c r="O2092">
        <v>4</v>
      </c>
      <c r="P2092">
        <v>29</v>
      </c>
      <c r="Q2092">
        <v>0</v>
      </c>
      <c r="R2092">
        <v>29</v>
      </c>
      <c r="S2092">
        <v>29</v>
      </c>
      <c r="T2092">
        <v>6</v>
      </c>
      <c r="U2092">
        <v>13</v>
      </c>
      <c r="V2092">
        <v>0</v>
      </c>
      <c r="W2092">
        <v>0</v>
      </c>
      <c r="X2092">
        <v>0</v>
      </c>
    </row>
    <row r="2093" spans="1:24" x14ac:dyDescent="0.2">
      <c r="A2093">
        <v>21041100</v>
      </c>
      <c r="B2093" t="s">
        <v>2092</v>
      </c>
      <c r="C2093">
        <v>1100</v>
      </c>
      <c r="D2093">
        <v>1100</v>
      </c>
      <c r="E2093">
        <v>10000</v>
      </c>
      <c r="F2093">
        <v>79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29</v>
      </c>
      <c r="Q2093">
        <v>0</v>
      </c>
      <c r="R2093">
        <v>0</v>
      </c>
      <c r="S2093">
        <v>0</v>
      </c>
      <c r="T2093">
        <v>6</v>
      </c>
      <c r="U2093">
        <v>13</v>
      </c>
      <c r="V2093">
        <v>0</v>
      </c>
      <c r="W2093">
        <v>0</v>
      </c>
      <c r="X2093">
        <v>0</v>
      </c>
    </row>
    <row r="2094" spans="1:24" x14ac:dyDescent="0.2">
      <c r="A2094">
        <v>21041200</v>
      </c>
      <c r="B2094" t="s">
        <v>2093</v>
      </c>
      <c r="C2094">
        <v>1200</v>
      </c>
      <c r="D2094">
        <v>1200</v>
      </c>
      <c r="E2094">
        <v>10000</v>
      </c>
      <c r="F2094">
        <v>79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29</v>
      </c>
      <c r="Q2094">
        <v>0</v>
      </c>
      <c r="R2094">
        <v>0</v>
      </c>
      <c r="S2094">
        <v>0</v>
      </c>
      <c r="T2094">
        <v>6</v>
      </c>
      <c r="U2094">
        <v>13</v>
      </c>
      <c r="V2094">
        <v>0</v>
      </c>
      <c r="W2094">
        <v>0</v>
      </c>
      <c r="X2094">
        <v>0</v>
      </c>
    </row>
    <row r="2095" spans="1:24" x14ac:dyDescent="0.2">
      <c r="A2095">
        <v>21041300</v>
      </c>
      <c r="B2095" t="s">
        <v>2094</v>
      </c>
      <c r="C2095">
        <v>1300</v>
      </c>
      <c r="D2095">
        <v>1300</v>
      </c>
      <c r="E2095">
        <v>10000</v>
      </c>
      <c r="F2095">
        <v>79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29</v>
      </c>
      <c r="Q2095">
        <v>0</v>
      </c>
      <c r="R2095">
        <v>0</v>
      </c>
      <c r="S2095">
        <v>0</v>
      </c>
      <c r="T2095">
        <v>6</v>
      </c>
      <c r="U2095">
        <v>13</v>
      </c>
      <c r="V2095">
        <v>0</v>
      </c>
      <c r="W2095">
        <v>0</v>
      </c>
      <c r="X2095">
        <v>0</v>
      </c>
    </row>
    <row r="2096" spans="1:24" x14ac:dyDescent="0.2">
      <c r="A2096">
        <v>21041400</v>
      </c>
      <c r="B2096" t="s">
        <v>2095</v>
      </c>
      <c r="C2096">
        <v>1400</v>
      </c>
      <c r="D2096">
        <v>1400</v>
      </c>
      <c r="E2096">
        <v>10014</v>
      </c>
      <c r="F2096">
        <v>88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29</v>
      </c>
      <c r="Q2096">
        <v>0</v>
      </c>
      <c r="R2096">
        <v>0</v>
      </c>
      <c r="S2096">
        <v>29</v>
      </c>
      <c r="T2096">
        <v>6</v>
      </c>
      <c r="U2096">
        <v>13</v>
      </c>
      <c r="V2096">
        <v>0</v>
      </c>
      <c r="W2096">
        <v>0</v>
      </c>
      <c r="X2096">
        <v>0</v>
      </c>
    </row>
    <row r="2097" spans="1:24" x14ac:dyDescent="0.2">
      <c r="A2097">
        <v>21041500</v>
      </c>
      <c r="B2097" t="s">
        <v>2096</v>
      </c>
      <c r="C2097">
        <v>1500</v>
      </c>
      <c r="D2097">
        <v>1500</v>
      </c>
      <c r="E2097">
        <v>10015</v>
      </c>
      <c r="F2097">
        <v>79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29</v>
      </c>
      <c r="Q2097">
        <v>0</v>
      </c>
      <c r="R2097">
        <v>0</v>
      </c>
      <c r="S2097">
        <v>0</v>
      </c>
      <c r="T2097">
        <v>6</v>
      </c>
      <c r="U2097">
        <v>13</v>
      </c>
      <c r="V2097">
        <v>0</v>
      </c>
      <c r="W2097">
        <v>0</v>
      </c>
      <c r="X2097">
        <v>0</v>
      </c>
    </row>
    <row r="2098" spans="1:24" x14ac:dyDescent="0.2">
      <c r="A2098">
        <v>21060000</v>
      </c>
      <c r="B2098" t="s">
        <v>2097</v>
      </c>
      <c r="C2098">
        <v>2200</v>
      </c>
      <c r="D2098">
        <v>8500</v>
      </c>
      <c r="E2098">
        <v>10000</v>
      </c>
      <c r="F2098">
        <v>55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25</v>
      </c>
      <c r="Q2098">
        <v>0</v>
      </c>
      <c r="R2098">
        <v>0</v>
      </c>
      <c r="S2098">
        <v>0</v>
      </c>
      <c r="T2098">
        <v>5</v>
      </c>
      <c r="U2098">
        <v>8</v>
      </c>
      <c r="V2098">
        <v>12</v>
      </c>
      <c r="W2098">
        <v>0</v>
      </c>
      <c r="X2098">
        <v>0</v>
      </c>
    </row>
    <row r="2099" spans="1:24" x14ac:dyDescent="0.2">
      <c r="A2099">
        <v>21070000</v>
      </c>
      <c r="B2099" t="s">
        <v>2098</v>
      </c>
      <c r="C2099">
        <v>0</v>
      </c>
      <c r="D2099">
        <v>8100</v>
      </c>
      <c r="E2099">
        <v>10000</v>
      </c>
      <c r="F2099">
        <v>56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30</v>
      </c>
      <c r="Q2099">
        <v>0</v>
      </c>
      <c r="R2099">
        <v>0</v>
      </c>
      <c r="S2099">
        <v>0</v>
      </c>
      <c r="T2099">
        <v>6</v>
      </c>
      <c r="U2099">
        <v>8</v>
      </c>
      <c r="V2099">
        <v>0</v>
      </c>
      <c r="W2099">
        <v>0</v>
      </c>
      <c r="X2099">
        <v>0</v>
      </c>
    </row>
    <row r="2100" spans="1:24" x14ac:dyDescent="0.2">
      <c r="A2100">
        <v>21070100</v>
      </c>
      <c r="B2100" t="s">
        <v>2099</v>
      </c>
      <c r="C2100">
        <v>200</v>
      </c>
      <c r="D2100">
        <v>100</v>
      </c>
      <c r="E2100">
        <v>10000</v>
      </c>
      <c r="F2100">
        <v>56</v>
      </c>
      <c r="G2100">
        <v>0</v>
      </c>
      <c r="H2100">
        <v>0</v>
      </c>
      <c r="I2100">
        <v>0</v>
      </c>
      <c r="J2100">
        <v>0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30</v>
      </c>
      <c r="Q2100">
        <v>0</v>
      </c>
      <c r="R2100">
        <v>0</v>
      </c>
      <c r="S2100">
        <v>0</v>
      </c>
      <c r="T2100">
        <v>6</v>
      </c>
      <c r="U2100">
        <v>8</v>
      </c>
      <c r="V2100">
        <v>0</v>
      </c>
      <c r="W2100">
        <v>0</v>
      </c>
      <c r="X2100">
        <v>0</v>
      </c>
    </row>
    <row r="2101" spans="1:24" x14ac:dyDescent="0.2">
      <c r="A2101">
        <v>21070200</v>
      </c>
      <c r="B2101" t="s">
        <v>2100</v>
      </c>
      <c r="C2101">
        <v>100</v>
      </c>
      <c r="D2101">
        <v>200</v>
      </c>
      <c r="E2101">
        <v>10000</v>
      </c>
      <c r="F2101">
        <v>56</v>
      </c>
      <c r="G2101">
        <v>0</v>
      </c>
      <c r="H2101">
        <v>0</v>
      </c>
      <c r="I2101">
        <v>0</v>
      </c>
      <c r="J2101">
        <v>0</v>
      </c>
      <c r="K2101">
        <v>1</v>
      </c>
      <c r="L2101">
        <v>0</v>
      </c>
      <c r="M2101">
        <v>0</v>
      </c>
      <c r="N2101">
        <v>0</v>
      </c>
      <c r="O2101">
        <v>0</v>
      </c>
      <c r="P2101">
        <v>30</v>
      </c>
      <c r="Q2101">
        <v>0</v>
      </c>
      <c r="R2101">
        <v>0</v>
      </c>
      <c r="S2101">
        <v>0</v>
      </c>
      <c r="T2101">
        <v>6</v>
      </c>
      <c r="U2101">
        <v>8</v>
      </c>
      <c r="V2101">
        <v>0</v>
      </c>
      <c r="W2101">
        <v>0</v>
      </c>
      <c r="X2101">
        <v>0</v>
      </c>
    </row>
    <row r="2102" spans="1:24" x14ac:dyDescent="0.2">
      <c r="A2102">
        <v>21070300</v>
      </c>
      <c r="B2102" t="s">
        <v>2101</v>
      </c>
      <c r="C2102">
        <v>300</v>
      </c>
      <c r="D2102">
        <v>300</v>
      </c>
      <c r="E2102">
        <v>10000</v>
      </c>
      <c r="F2102">
        <v>56</v>
      </c>
      <c r="G2102">
        <v>0</v>
      </c>
      <c r="H2102">
        <v>0</v>
      </c>
      <c r="I2102">
        <v>0</v>
      </c>
      <c r="J2102">
        <v>0</v>
      </c>
      <c r="K2102">
        <v>8</v>
      </c>
      <c r="L2102">
        <v>0</v>
      </c>
      <c r="M2102">
        <v>0</v>
      </c>
      <c r="N2102">
        <v>0</v>
      </c>
      <c r="O2102">
        <v>0</v>
      </c>
      <c r="P2102">
        <v>25</v>
      </c>
      <c r="Q2102">
        <v>25</v>
      </c>
      <c r="R2102">
        <v>0</v>
      </c>
      <c r="S2102">
        <v>0</v>
      </c>
      <c r="T2102">
        <v>6</v>
      </c>
      <c r="U2102">
        <v>8</v>
      </c>
      <c r="V2102">
        <v>0</v>
      </c>
      <c r="W2102">
        <v>0</v>
      </c>
      <c r="X2102">
        <v>0</v>
      </c>
    </row>
    <row r="2103" spans="1:24" x14ac:dyDescent="0.2">
      <c r="A2103">
        <v>21070400</v>
      </c>
      <c r="B2103" t="s">
        <v>2102</v>
      </c>
      <c r="C2103">
        <v>500</v>
      </c>
      <c r="D2103">
        <v>500</v>
      </c>
      <c r="E2103">
        <v>10000</v>
      </c>
      <c r="F2103">
        <v>71</v>
      </c>
      <c r="G2103">
        <v>71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30</v>
      </c>
      <c r="Q2103">
        <v>0</v>
      </c>
      <c r="R2103">
        <v>30</v>
      </c>
      <c r="S2103">
        <v>0</v>
      </c>
      <c r="T2103">
        <v>6</v>
      </c>
      <c r="U2103">
        <v>8</v>
      </c>
      <c r="V2103">
        <v>0</v>
      </c>
      <c r="W2103">
        <v>0</v>
      </c>
      <c r="X2103">
        <v>0</v>
      </c>
    </row>
    <row r="2104" spans="1:24" x14ac:dyDescent="0.2">
      <c r="A2104">
        <v>21070500</v>
      </c>
      <c r="B2104" t="s">
        <v>2103</v>
      </c>
      <c r="C2104">
        <v>400</v>
      </c>
      <c r="D2104">
        <v>400</v>
      </c>
      <c r="E2104">
        <v>10000</v>
      </c>
      <c r="F2104">
        <v>71</v>
      </c>
      <c r="G2104">
        <v>71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30</v>
      </c>
      <c r="Q2104">
        <v>0</v>
      </c>
      <c r="R2104">
        <v>30</v>
      </c>
      <c r="S2104">
        <v>0</v>
      </c>
      <c r="T2104">
        <v>6</v>
      </c>
      <c r="U2104">
        <v>8</v>
      </c>
      <c r="V2104">
        <v>0</v>
      </c>
      <c r="W2104">
        <v>0</v>
      </c>
      <c r="X2104">
        <v>0</v>
      </c>
    </row>
    <row r="2105" spans="1:24" x14ac:dyDescent="0.2">
      <c r="A2105">
        <v>21070600</v>
      </c>
      <c r="B2105" t="s">
        <v>2104</v>
      </c>
      <c r="C2105">
        <v>600</v>
      </c>
      <c r="D2105">
        <v>600</v>
      </c>
      <c r="E2105">
        <v>10000</v>
      </c>
      <c r="F2105">
        <v>51</v>
      </c>
      <c r="G2105">
        <v>0</v>
      </c>
      <c r="H2105">
        <v>51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30</v>
      </c>
      <c r="Q2105">
        <v>0</v>
      </c>
      <c r="R2105">
        <v>0</v>
      </c>
      <c r="S2105">
        <v>0</v>
      </c>
      <c r="T2105">
        <v>6</v>
      </c>
      <c r="U2105">
        <v>8</v>
      </c>
      <c r="V2105">
        <v>0</v>
      </c>
      <c r="W2105">
        <v>0</v>
      </c>
      <c r="X2105">
        <v>0</v>
      </c>
    </row>
    <row r="2106" spans="1:24" x14ac:dyDescent="0.2">
      <c r="A2106">
        <v>21070700</v>
      </c>
      <c r="B2106" t="s">
        <v>2105</v>
      </c>
      <c r="C2106">
        <v>700</v>
      </c>
      <c r="D2106">
        <v>700</v>
      </c>
      <c r="E2106">
        <v>10000</v>
      </c>
      <c r="F2106">
        <v>71</v>
      </c>
      <c r="G2106">
        <v>0</v>
      </c>
      <c r="H2106">
        <v>71</v>
      </c>
      <c r="I2106">
        <v>0</v>
      </c>
      <c r="J2106">
        <v>0</v>
      </c>
      <c r="K2106">
        <v>0</v>
      </c>
      <c r="L2106">
        <v>0</v>
      </c>
      <c r="M2106">
        <v>4</v>
      </c>
      <c r="N2106">
        <v>0</v>
      </c>
      <c r="O2106">
        <v>0</v>
      </c>
      <c r="P2106">
        <v>30</v>
      </c>
      <c r="Q2106">
        <v>0</v>
      </c>
      <c r="R2106">
        <v>30</v>
      </c>
      <c r="S2106">
        <v>30</v>
      </c>
      <c r="T2106">
        <v>6</v>
      </c>
      <c r="U2106">
        <v>8</v>
      </c>
      <c r="V2106">
        <v>0</v>
      </c>
      <c r="W2106">
        <v>0</v>
      </c>
      <c r="X2106">
        <v>0</v>
      </c>
    </row>
    <row r="2107" spans="1:24" x14ac:dyDescent="0.2">
      <c r="A2107">
        <v>21070800</v>
      </c>
      <c r="B2107" t="s">
        <v>2106</v>
      </c>
      <c r="C2107">
        <v>800</v>
      </c>
      <c r="D2107">
        <v>800</v>
      </c>
      <c r="E2107">
        <v>10000</v>
      </c>
      <c r="F2107">
        <v>71</v>
      </c>
      <c r="G2107">
        <v>0</v>
      </c>
      <c r="H2107">
        <v>0</v>
      </c>
      <c r="I2107">
        <v>71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30</v>
      </c>
      <c r="Q2107">
        <v>0</v>
      </c>
      <c r="R2107">
        <v>0</v>
      </c>
      <c r="S2107">
        <v>30</v>
      </c>
      <c r="T2107">
        <v>6</v>
      </c>
      <c r="U2107">
        <v>8</v>
      </c>
      <c r="V2107">
        <v>0</v>
      </c>
      <c r="W2107">
        <v>0</v>
      </c>
      <c r="X2107">
        <v>0</v>
      </c>
    </row>
    <row r="2108" spans="1:24" x14ac:dyDescent="0.2">
      <c r="A2108">
        <v>21070900</v>
      </c>
      <c r="B2108" t="s">
        <v>2107</v>
      </c>
      <c r="C2108">
        <v>900</v>
      </c>
      <c r="D2108">
        <v>900</v>
      </c>
      <c r="E2108">
        <v>10000</v>
      </c>
      <c r="F2108">
        <v>51</v>
      </c>
      <c r="G2108">
        <v>0</v>
      </c>
      <c r="H2108">
        <v>0</v>
      </c>
      <c r="I2108">
        <v>0</v>
      </c>
      <c r="J2108">
        <v>51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30</v>
      </c>
      <c r="Q2108">
        <v>0</v>
      </c>
      <c r="R2108">
        <v>0</v>
      </c>
      <c r="S2108">
        <v>0</v>
      </c>
      <c r="T2108">
        <v>6</v>
      </c>
      <c r="U2108">
        <v>8</v>
      </c>
      <c r="V2108">
        <v>0</v>
      </c>
      <c r="W2108">
        <v>0</v>
      </c>
      <c r="X2108">
        <v>0</v>
      </c>
    </row>
    <row r="2109" spans="1:24" x14ac:dyDescent="0.2">
      <c r="A2109">
        <v>21071000</v>
      </c>
      <c r="B2109" t="s">
        <v>2108</v>
      </c>
      <c r="C2109">
        <v>1000</v>
      </c>
      <c r="D2109">
        <v>1000</v>
      </c>
      <c r="E2109">
        <v>10000</v>
      </c>
      <c r="F2109">
        <v>71</v>
      </c>
      <c r="G2109">
        <v>0</v>
      </c>
      <c r="H2109">
        <v>0</v>
      </c>
      <c r="I2109">
        <v>0</v>
      </c>
      <c r="J2109">
        <v>71</v>
      </c>
      <c r="K2109">
        <v>0</v>
      </c>
      <c r="L2109">
        <v>0</v>
      </c>
      <c r="M2109">
        <v>0</v>
      </c>
      <c r="N2109">
        <v>0</v>
      </c>
      <c r="O2109">
        <v>4</v>
      </c>
      <c r="P2109">
        <v>30</v>
      </c>
      <c r="Q2109">
        <v>0</v>
      </c>
      <c r="R2109">
        <v>30</v>
      </c>
      <c r="S2109">
        <v>30</v>
      </c>
      <c r="T2109">
        <v>6</v>
      </c>
      <c r="U2109">
        <v>8</v>
      </c>
      <c r="V2109">
        <v>0</v>
      </c>
      <c r="W2109">
        <v>0</v>
      </c>
      <c r="X2109">
        <v>0</v>
      </c>
    </row>
    <row r="2110" spans="1:24" x14ac:dyDescent="0.2">
      <c r="A2110">
        <v>21071100</v>
      </c>
      <c r="B2110" t="s">
        <v>2109</v>
      </c>
      <c r="C2110">
        <v>1100</v>
      </c>
      <c r="D2110">
        <v>1100</v>
      </c>
      <c r="E2110">
        <v>10000</v>
      </c>
      <c r="F2110">
        <v>56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30</v>
      </c>
      <c r="Q2110">
        <v>0</v>
      </c>
      <c r="R2110">
        <v>0</v>
      </c>
      <c r="S2110">
        <v>0</v>
      </c>
      <c r="T2110">
        <v>6</v>
      </c>
      <c r="U2110">
        <v>8</v>
      </c>
      <c r="V2110">
        <v>0</v>
      </c>
      <c r="W2110">
        <v>0</v>
      </c>
      <c r="X2110">
        <v>0</v>
      </c>
    </row>
    <row r="2111" spans="1:24" x14ac:dyDescent="0.2">
      <c r="A2111">
        <v>21071200</v>
      </c>
      <c r="B2111" t="s">
        <v>2110</v>
      </c>
      <c r="C2111">
        <v>1200</v>
      </c>
      <c r="D2111">
        <v>1200</v>
      </c>
      <c r="E2111">
        <v>10000</v>
      </c>
      <c r="F2111">
        <v>56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30</v>
      </c>
      <c r="Q2111">
        <v>0</v>
      </c>
      <c r="R2111">
        <v>0</v>
      </c>
      <c r="S2111">
        <v>0</v>
      </c>
      <c r="T2111">
        <v>6</v>
      </c>
      <c r="U2111">
        <v>8</v>
      </c>
      <c r="V2111">
        <v>0</v>
      </c>
      <c r="W2111">
        <v>0</v>
      </c>
      <c r="X2111">
        <v>0</v>
      </c>
    </row>
    <row r="2112" spans="1:24" x14ac:dyDescent="0.2">
      <c r="A2112">
        <v>21071300</v>
      </c>
      <c r="B2112" t="s">
        <v>2111</v>
      </c>
      <c r="C2112">
        <v>1300</v>
      </c>
      <c r="D2112">
        <v>1300</v>
      </c>
      <c r="E2112">
        <v>10000</v>
      </c>
      <c r="F2112">
        <v>56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30</v>
      </c>
      <c r="Q2112">
        <v>0</v>
      </c>
      <c r="R2112">
        <v>0</v>
      </c>
      <c r="S2112">
        <v>0</v>
      </c>
      <c r="T2112">
        <v>6</v>
      </c>
      <c r="U2112">
        <v>8</v>
      </c>
      <c r="V2112">
        <v>0</v>
      </c>
      <c r="W2112">
        <v>0</v>
      </c>
      <c r="X2112">
        <v>0</v>
      </c>
    </row>
    <row r="2113" spans="1:24" x14ac:dyDescent="0.2">
      <c r="A2113">
        <v>21071400</v>
      </c>
      <c r="B2113" t="s">
        <v>2112</v>
      </c>
      <c r="C2113">
        <v>1400</v>
      </c>
      <c r="D2113">
        <v>1400</v>
      </c>
      <c r="E2113">
        <v>10014</v>
      </c>
      <c r="F2113">
        <v>71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30</v>
      </c>
      <c r="Q2113">
        <v>0</v>
      </c>
      <c r="R2113">
        <v>0</v>
      </c>
      <c r="S2113">
        <v>30</v>
      </c>
      <c r="T2113">
        <v>6</v>
      </c>
      <c r="U2113">
        <v>8</v>
      </c>
      <c r="V2113">
        <v>0</v>
      </c>
      <c r="W2113">
        <v>0</v>
      </c>
      <c r="X2113">
        <v>0</v>
      </c>
    </row>
    <row r="2114" spans="1:24" x14ac:dyDescent="0.2">
      <c r="A2114">
        <v>21071500</v>
      </c>
      <c r="B2114" t="s">
        <v>2113</v>
      </c>
      <c r="C2114">
        <v>1500</v>
      </c>
      <c r="D2114">
        <v>1500</v>
      </c>
      <c r="E2114">
        <v>10015</v>
      </c>
      <c r="F2114">
        <v>56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30</v>
      </c>
      <c r="Q2114">
        <v>0</v>
      </c>
      <c r="R2114">
        <v>0</v>
      </c>
      <c r="S2114">
        <v>0</v>
      </c>
      <c r="T2114">
        <v>6</v>
      </c>
      <c r="U2114">
        <v>8</v>
      </c>
      <c r="V2114">
        <v>0</v>
      </c>
      <c r="W2114">
        <v>0</v>
      </c>
      <c r="X2114">
        <v>0</v>
      </c>
    </row>
    <row r="2115" spans="1:24" x14ac:dyDescent="0.2">
      <c r="A2115">
        <v>21100000</v>
      </c>
      <c r="B2115" t="s">
        <v>2114</v>
      </c>
      <c r="C2115">
        <v>2200</v>
      </c>
      <c r="D2115">
        <v>8500</v>
      </c>
      <c r="E2115">
        <v>10000</v>
      </c>
      <c r="F2115">
        <v>99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31</v>
      </c>
      <c r="Q2115">
        <v>0</v>
      </c>
      <c r="R2115">
        <v>0</v>
      </c>
      <c r="S2115">
        <v>0</v>
      </c>
      <c r="T2115">
        <v>7</v>
      </c>
      <c r="U2115">
        <v>18</v>
      </c>
      <c r="V2115">
        <v>0</v>
      </c>
      <c r="W2115">
        <v>0</v>
      </c>
      <c r="X2115">
        <v>0</v>
      </c>
    </row>
    <row r="2116" spans="1:24" x14ac:dyDescent="0.2">
      <c r="A2116">
        <v>21120000</v>
      </c>
      <c r="B2116" t="s">
        <v>2115</v>
      </c>
      <c r="C2116">
        <v>2200</v>
      </c>
      <c r="D2116">
        <v>8500</v>
      </c>
      <c r="E2116">
        <v>10000</v>
      </c>
      <c r="F2116">
        <v>86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31</v>
      </c>
      <c r="Q2116">
        <v>0</v>
      </c>
      <c r="R2116">
        <v>0</v>
      </c>
      <c r="S2116">
        <v>0</v>
      </c>
      <c r="T2116">
        <v>7</v>
      </c>
      <c r="U2116">
        <v>16</v>
      </c>
      <c r="V2116">
        <v>0</v>
      </c>
      <c r="W2116">
        <v>0</v>
      </c>
      <c r="X2116">
        <v>0</v>
      </c>
    </row>
    <row r="2117" spans="1:24" x14ac:dyDescent="0.2">
      <c r="A2117">
        <v>21130000</v>
      </c>
      <c r="B2117" t="s">
        <v>2116</v>
      </c>
      <c r="C2117">
        <v>0</v>
      </c>
      <c r="D2117">
        <v>8100</v>
      </c>
      <c r="E2117">
        <v>10000</v>
      </c>
      <c r="F2117">
        <v>86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30</v>
      </c>
      <c r="Q2117">
        <v>0</v>
      </c>
      <c r="R2117">
        <v>0</v>
      </c>
      <c r="S2117">
        <v>0</v>
      </c>
      <c r="T2117">
        <v>6</v>
      </c>
      <c r="U2117">
        <v>12</v>
      </c>
      <c r="V2117">
        <v>12</v>
      </c>
      <c r="W2117">
        <v>0</v>
      </c>
      <c r="X2117">
        <v>0</v>
      </c>
    </row>
    <row r="2118" spans="1:24" x14ac:dyDescent="0.2">
      <c r="A2118">
        <v>21130100</v>
      </c>
      <c r="B2118" t="s">
        <v>2117</v>
      </c>
      <c r="C2118">
        <v>200</v>
      </c>
      <c r="D2118">
        <v>100</v>
      </c>
      <c r="E2118">
        <v>10000</v>
      </c>
      <c r="F2118">
        <v>86</v>
      </c>
      <c r="G2118">
        <v>0</v>
      </c>
      <c r="H2118">
        <v>0</v>
      </c>
      <c r="I2118">
        <v>0</v>
      </c>
      <c r="J2118">
        <v>0</v>
      </c>
      <c r="K2118">
        <v>1</v>
      </c>
      <c r="L2118">
        <v>0</v>
      </c>
      <c r="M2118">
        <v>0</v>
      </c>
      <c r="N2118">
        <v>0</v>
      </c>
      <c r="O2118">
        <v>0</v>
      </c>
      <c r="P2118">
        <v>30</v>
      </c>
      <c r="Q2118">
        <v>0</v>
      </c>
      <c r="R2118">
        <v>0</v>
      </c>
      <c r="S2118">
        <v>0</v>
      </c>
      <c r="T2118">
        <v>6</v>
      </c>
      <c r="U2118">
        <v>12</v>
      </c>
      <c r="V2118">
        <v>12</v>
      </c>
      <c r="W2118">
        <v>0</v>
      </c>
      <c r="X2118">
        <v>0</v>
      </c>
    </row>
    <row r="2119" spans="1:24" x14ac:dyDescent="0.2">
      <c r="A2119">
        <v>21130200</v>
      </c>
      <c r="B2119" t="s">
        <v>2118</v>
      </c>
      <c r="C2119">
        <v>100</v>
      </c>
      <c r="D2119">
        <v>200</v>
      </c>
      <c r="E2119">
        <v>10000</v>
      </c>
      <c r="F2119">
        <v>86</v>
      </c>
      <c r="G2119">
        <v>0</v>
      </c>
      <c r="H2119">
        <v>0</v>
      </c>
      <c r="I2119">
        <v>0</v>
      </c>
      <c r="J2119">
        <v>0</v>
      </c>
      <c r="K2119">
        <v>1</v>
      </c>
      <c r="L2119">
        <v>0</v>
      </c>
      <c r="M2119">
        <v>0</v>
      </c>
      <c r="N2119">
        <v>0</v>
      </c>
      <c r="O2119">
        <v>0</v>
      </c>
      <c r="P2119">
        <v>30</v>
      </c>
      <c r="Q2119">
        <v>0</v>
      </c>
      <c r="R2119">
        <v>0</v>
      </c>
      <c r="S2119">
        <v>0</v>
      </c>
      <c r="T2119">
        <v>6</v>
      </c>
      <c r="U2119">
        <v>12</v>
      </c>
      <c r="V2119">
        <v>12</v>
      </c>
      <c r="W2119">
        <v>0</v>
      </c>
      <c r="X2119">
        <v>0</v>
      </c>
    </row>
    <row r="2120" spans="1:24" x14ac:dyDescent="0.2">
      <c r="A2120">
        <v>21130300</v>
      </c>
      <c r="B2120" t="s">
        <v>2119</v>
      </c>
      <c r="C2120">
        <v>300</v>
      </c>
      <c r="D2120">
        <v>300</v>
      </c>
      <c r="E2120">
        <v>10000</v>
      </c>
      <c r="F2120">
        <v>86</v>
      </c>
      <c r="G2120">
        <v>0</v>
      </c>
      <c r="H2120">
        <v>0</v>
      </c>
      <c r="I2120">
        <v>0</v>
      </c>
      <c r="J2120">
        <v>0</v>
      </c>
      <c r="K2120">
        <v>8</v>
      </c>
      <c r="L2120">
        <v>0</v>
      </c>
      <c r="M2120">
        <v>0</v>
      </c>
      <c r="N2120">
        <v>0</v>
      </c>
      <c r="O2120">
        <v>0</v>
      </c>
      <c r="P2120">
        <v>25</v>
      </c>
      <c r="Q2120">
        <v>25</v>
      </c>
      <c r="R2120">
        <v>0</v>
      </c>
      <c r="S2120">
        <v>0</v>
      </c>
      <c r="T2120">
        <v>6</v>
      </c>
      <c r="U2120">
        <v>12</v>
      </c>
      <c r="V2120">
        <v>12</v>
      </c>
      <c r="W2120">
        <v>0</v>
      </c>
      <c r="X2120">
        <v>0</v>
      </c>
    </row>
    <row r="2121" spans="1:24" x14ac:dyDescent="0.2">
      <c r="A2121">
        <v>21130400</v>
      </c>
      <c r="B2121" t="s">
        <v>2120</v>
      </c>
      <c r="C2121">
        <v>500</v>
      </c>
      <c r="D2121">
        <v>500</v>
      </c>
      <c r="E2121">
        <v>10000</v>
      </c>
      <c r="F2121">
        <v>95</v>
      </c>
      <c r="G2121">
        <v>95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30</v>
      </c>
      <c r="Q2121">
        <v>0</v>
      </c>
      <c r="R2121">
        <v>30</v>
      </c>
      <c r="S2121">
        <v>0</v>
      </c>
      <c r="T2121">
        <v>6</v>
      </c>
      <c r="U2121">
        <v>12</v>
      </c>
      <c r="V2121">
        <v>12</v>
      </c>
      <c r="W2121">
        <v>0</v>
      </c>
      <c r="X2121">
        <v>0</v>
      </c>
    </row>
    <row r="2122" spans="1:24" x14ac:dyDescent="0.2">
      <c r="A2122">
        <v>21130500</v>
      </c>
      <c r="B2122" t="s">
        <v>2121</v>
      </c>
      <c r="C2122">
        <v>400</v>
      </c>
      <c r="D2122">
        <v>400</v>
      </c>
      <c r="E2122">
        <v>10000</v>
      </c>
      <c r="F2122">
        <v>95</v>
      </c>
      <c r="G2122">
        <v>95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30</v>
      </c>
      <c r="Q2122">
        <v>0</v>
      </c>
      <c r="R2122">
        <v>30</v>
      </c>
      <c r="S2122">
        <v>0</v>
      </c>
      <c r="T2122">
        <v>6</v>
      </c>
      <c r="U2122">
        <v>12</v>
      </c>
      <c r="V2122">
        <v>12</v>
      </c>
      <c r="W2122">
        <v>0</v>
      </c>
      <c r="X2122">
        <v>0</v>
      </c>
    </row>
    <row r="2123" spans="1:24" x14ac:dyDescent="0.2">
      <c r="A2123">
        <v>21130600</v>
      </c>
      <c r="B2123" t="s">
        <v>2122</v>
      </c>
      <c r="C2123">
        <v>600</v>
      </c>
      <c r="D2123">
        <v>600</v>
      </c>
      <c r="E2123">
        <v>10000</v>
      </c>
      <c r="F2123">
        <v>76</v>
      </c>
      <c r="G2123">
        <v>0</v>
      </c>
      <c r="H2123">
        <v>76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30</v>
      </c>
      <c r="Q2123">
        <v>0</v>
      </c>
      <c r="R2123">
        <v>0</v>
      </c>
      <c r="S2123">
        <v>0</v>
      </c>
      <c r="T2123">
        <v>6</v>
      </c>
      <c r="U2123">
        <v>12</v>
      </c>
      <c r="V2123">
        <v>12</v>
      </c>
      <c r="W2123">
        <v>0</v>
      </c>
      <c r="X2123">
        <v>0</v>
      </c>
    </row>
    <row r="2124" spans="1:24" x14ac:dyDescent="0.2">
      <c r="A2124">
        <v>21130700</v>
      </c>
      <c r="B2124" t="s">
        <v>2123</v>
      </c>
      <c r="C2124">
        <v>700</v>
      </c>
      <c r="D2124">
        <v>700</v>
      </c>
      <c r="E2124">
        <v>10000</v>
      </c>
      <c r="F2124">
        <v>95</v>
      </c>
      <c r="G2124">
        <v>0</v>
      </c>
      <c r="H2124">
        <v>95</v>
      </c>
      <c r="I2124">
        <v>0</v>
      </c>
      <c r="J2124">
        <v>0</v>
      </c>
      <c r="K2124">
        <v>0</v>
      </c>
      <c r="L2124">
        <v>0</v>
      </c>
      <c r="M2124">
        <v>4</v>
      </c>
      <c r="N2124">
        <v>0</v>
      </c>
      <c r="O2124">
        <v>0</v>
      </c>
      <c r="P2124">
        <v>30</v>
      </c>
      <c r="Q2124">
        <v>0</v>
      </c>
      <c r="R2124">
        <v>30</v>
      </c>
      <c r="S2124">
        <v>30</v>
      </c>
      <c r="T2124">
        <v>6</v>
      </c>
      <c r="U2124">
        <v>12</v>
      </c>
      <c r="V2124">
        <v>12</v>
      </c>
      <c r="W2124">
        <v>0</v>
      </c>
      <c r="X2124">
        <v>0</v>
      </c>
    </row>
    <row r="2125" spans="1:24" x14ac:dyDescent="0.2">
      <c r="A2125">
        <v>21130800</v>
      </c>
      <c r="B2125" t="s">
        <v>2124</v>
      </c>
      <c r="C2125">
        <v>800</v>
      </c>
      <c r="D2125">
        <v>800</v>
      </c>
      <c r="E2125">
        <v>10000</v>
      </c>
      <c r="F2125">
        <v>95</v>
      </c>
      <c r="G2125">
        <v>0</v>
      </c>
      <c r="H2125">
        <v>0</v>
      </c>
      <c r="I2125">
        <v>95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30</v>
      </c>
      <c r="Q2125">
        <v>0</v>
      </c>
      <c r="R2125">
        <v>0</v>
      </c>
      <c r="S2125">
        <v>30</v>
      </c>
      <c r="T2125">
        <v>6</v>
      </c>
      <c r="U2125">
        <v>12</v>
      </c>
      <c r="V2125">
        <v>12</v>
      </c>
      <c r="W2125">
        <v>0</v>
      </c>
      <c r="X2125">
        <v>0</v>
      </c>
    </row>
    <row r="2126" spans="1:24" x14ac:dyDescent="0.2">
      <c r="A2126">
        <v>21130900</v>
      </c>
      <c r="B2126" t="s">
        <v>2125</v>
      </c>
      <c r="C2126">
        <v>900</v>
      </c>
      <c r="D2126">
        <v>900</v>
      </c>
      <c r="E2126">
        <v>10000</v>
      </c>
      <c r="F2126">
        <v>76</v>
      </c>
      <c r="G2126">
        <v>0</v>
      </c>
      <c r="H2126">
        <v>0</v>
      </c>
      <c r="I2126">
        <v>0</v>
      </c>
      <c r="J2126">
        <v>76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30</v>
      </c>
      <c r="Q2126">
        <v>0</v>
      </c>
      <c r="R2126">
        <v>0</v>
      </c>
      <c r="S2126">
        <v>0</v>
      </c>
      <c r="T2126">
        <v>6</v>
      </c>
      <c r="U2126">
        <v>12</v>
      </c>
      <c r="V2126">
        <v>12</v>
      </c>
      <c r="W2126">
        <v>0</v>
      </c>
      <c r="X2126">
        <v>0</v>
      </c>
    </row>
    <row r="2127" spans="1:24" x14ac:dyDescent="0.2">
      <c r="A2127">
        <v>21131000</v>
      </c>
      <c r="B2127" t="s">
        <v>2126</v>
      </c>
      <c r="C2127">
        <v>1000</v>
      </c>
      <c r="D2127">
        <v>1000</v>
      </c>
      <c r="E2127">
        <v>10000</v>
      </c>
      <c r="F2127">
        <v>95</v>
      </c>
      <c r="G2127">
        <v>0</v>
      </c>
      <c r="H2127">
        <v>0</v>
      </c>
      <c r="I2127">
        <v>0</v>
      </c>
      <c r="J2127">
        <v>95</v>
      </c>
      <c r="K2127">
        <v>0</v>
      </c>
      <c r="L2127">
        <v>0</v>
      </c>
      <c r="M2127">
        <v>0</v>
      </c>
      <c r="N2127">
        <v>0</v>
      </c>
      <c r="O2127">
        <v>4</v>
      </c>
      <c r="P2127">
        <v>30</v>
      </c>
      <c r="Q2127">
        <v>0</v>
      </c>
      <c r="R2127">
        <v>30</v>
      </c>
      <c r="S2127">
        <v>30</v>
      </c>
      <c r="T2127">
        <v>6</v>
      </c>
      <c r="U2127">
        <v>12</v>
      </c>
      <c r="V2127">
        <v>12</v>
      </c>
      <c r="W2127">
        <v>0</v>
      </c>
      <c r="X2127">
        <v>0</v>
      </c>
    </row>
    <row r="2128" spans="1:24" x14ac:dyDescent="0.2">
      <c r="A2128">
        <v>21131100</v>
      </c>
      <c r="B2128" t="s">
        <v>2127</v>
      </c>
      <c r="C2128">
        <v>1100</v>
      </c>
      <c r="D2128">
        <v>1100</v>
      </c>
      <c r="E2128">
        <v>10000</v>
      </c>
      <c r="F2128">
        <v>86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30</v>
      </c>
      <c r="Q2128">
        <v>0</v>
      </c>
      <c r="R2128">
        <v>0</v>
      </c>
      <c r="S2128">
        <v>0</v>
      </c>
      <c r="T2128">
        <v>6</v>
      </c>
      <c r="U2128">
        <v>12</v>
      </c>
      <c r="V2128">
        <v>12</v>
      </c>
      <c r="W2128">
        <v>0</v>
      </c>
      <c r="X2128">
        <v>0</v>
      </c>
    </row>
    <row r="2129" spans="1:24" x14ac:dyDescent="0.2">
      <c r="A2129">
        <v>21131200</v>
      </c>
      <c r="B2129" t="s">
        <v>2128</v>
      </c>
      <c r="C2129">
        <v>1200</v>
      </c>
      <c r="D2129">
        <v>1200</v>
      </c>
      <c r="E2129">
        <v>10000</v>
      </c>
      <c r="F2129">
        <v>86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30</v>
      </c>
      <c r="Q2129">
        <v>0</v>
      </c>
      <c r="R2129">
        <v>0</v>
      </c>
      <c r="S2129">
        <v>0</v>
      </c>
      <c r="T2129">
        <v>6</v>
      </c>
      <c r="U2129">
        <v>12</v>
      </c>
      <c r="V2129">
        <v>12</v>
      </c>
      <c r="W2129">
        <v>0</v>
      </c>
      <c r="X2129">
        <v>0</v>
      </c>
    </row>
    <row r="2130" spans="1:24" x14ac:dyDescent="0.2">
      <c r="A2130">
        <v>21131300</v>
      </c>
      <c r="B2130" t="s">
        <v>2129</v>
      </c>
      <c r="C2130">
        <v>1300</v>
      </c>
      <c r="D2130">
        <v>1300</v>
      </c>
      <c r="E2130">
        <v>10000</v>
      </c>
      <c r="F2130">
        <v>86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30</v>
      </c>
      <c r="Q2130">
        <v>0</v>
      </c>
      <c r="R2130">
        <v>0</v>
      </c>
      <c r="S2130">
        <v>0</v>
      </c>
      <c r="T2130">
        <v>6</v>
      </c>
      <c r="U2130">
        <v>12</v>
      </c>
      <c r="V2130">
        <v>12</v>
      </c>
      <c r="W2130">
        <v>0</v>
      </c>
      <c r="X2130">
        <v>0</v>
      </c>
    </row>
    <row r="2131" spans="1:24" x14ac:dyDescent="0.2">
      <c r="A2131">
        <v>21131400</v>
      </c>
      <c r="B2131" t="s">
        <v>2130</v>
      </c>
      <c r="C2131">
        <v>1400</v>
      </c>
      <c r="D2131">
        <v>1400</v>
      </c>
      <c r="E2131">
        <v>10014</v>
      </c>
      <c r="F2131">
        <v>95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30</v>
      </c>
      <c r="Q2131">
        <v>0</v>
      </c>
      <c r="R2131">
        <v>0</v>
      </c>
      <c r="S2131">
        <v>30</v>
      </c>
      <c r="T2131">
        <v>6</v>
      </c>
      <c r="U2131">
        <v>12</v>
      </c>
      <c r="V2131">
        <v>12</v>
      </c>
      <c r="W2131">
        <v>0</v>
      </c>
      <c r="X2131">
        <v>0</v>
      </c>
    </row>
    <row r="2132" spans="1:24" x14ac:dyDescent="0.2">
      <c r="A2132">
        <v>21131500</v>
      </c>
      <c r="B2132" t="s">
        <v>2131</v>
      </c>
      <c r="C2132">
        <v>1500</v>
      </c>
      <c r="D2132">
        <v>1500</v>
      </c>
      <c r="E2132">
        <v>10015</v>
      </c>
      <c r="F2132">
        <v>86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30</v>
      </c>
      <c r="Q2132">
        <v>0</v>
      </c>
      <c r="R2132">
        <v>0</v>
      </c>
      <c r="S2132">
        <v>0</v>
      </c>
      <c r="T2132">
        <v>6</v>
      </c>
      <c r="U2132">
        <v>12</v>
      </c>
      <c r="V2132">
        <v>12</v>
      </c>
      <c r="W2132">
        <v>0</v>
      </c>
      <c r="X2132">
        <v>0</v>
      </c>
    </row>
    <row r="2133" spans="1:24" x14ac:dyDescent="0.2">
      <c r="A2133">
        <v>21140000</v>
      </c>
      <c r="B2133" t="s">
        <v>2132</v>
      </c>
      <c r="C2133">
        <v>0</v>
      </c>
      <c r="D2133">
        <v>8100</v>
      </c>
      <c r="E2133">
        <v>10000</v>
      </c>
      <c r="F2133">
        <v>87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31</v>
      </c>
      <c r="Q2133">
        <v>0</v>
      </c>
      <c r="R2133">
        <v>0</v>
      </c>
      <c r="S2133">
        <v>0</v>
      </c>
      <c r="T2133">
        <v>7</v>
      </c>
      <c r="U2133">
        <v>10</v>
      </c>
      <c r="V2133">
        <v>0</v>
      </c>
      <c r="W2133">
        <v>0</v>
      </c>
      <c r="X2133">
        <v>0</v>
      </c>
    </row>
    <row r="2134" spans="1:24" x14ac:dyDescent="0.2">
      <c r="A2134">
        <v>21140100</v>
      </c>
      <c r="B2134" t="s">
        <v>2133</v>
      </c>
      <c r="C2134">
        <v>200</v>
      </c>
      <c r="D2134">
        <v>100</v>
      </c>
      <c r="E2134">
        <v>10000</v>
      </c>
      <c r="F2134">
        <v>87</v>
      </c>
      <c r="G2134">
        <v>0</v>
      </c>
      <c r="H2134">
        <v>0</v>
      </c>
      <c r="I2134">
        <v>0</v>
      </c>
      <c r="J2134">
        <v>0</v>
      </c>
      <c r="K2134">
        <v>1</v>
      </c>
      <c r="L2134">
        <v>0</v>
      </c>
      <c r="M2134">
        <v>0</v>
      </c>
      <c r="N2134">
        <v>0</v>
      </c>
      <c r="O2134">
        <v>0</v>
      </c>
      <c r="P2134">
        <v>31</v>
      </c>
      <c r="Q2134">
        <v>0</v>
      </c>
      <c r="R2134">
        <v>0</v>
      </c>
      <c r="S2134">
        <v>0</v>
      </c>
      <c r="T2134">
        <v>7</v>
      </c>
      <c r="U2134">
        <v>10</v>
      </c>
      <c r="V2134">
        <v>0</v>
      </c>
      <c r="W2134">
        <v>0</v>
      </c>
      <c r="X2134">
        <v>0</v>
      </c>
    </row>
    <row r="2135" spans="1:24" x14ac:dyDescent="0.2">
      <c r="A2135">
        <v>21140200</v>
      </c>
      <c r="B2135" t="s">
        <v>2134</v>
      </c>
      <c r="C2135">
        <v>100</v>
      </c>
      <c r="D2135">
        <v>200</v>
      </c>
      <c r="E2135">
        <v>10000</v>
      </c>
      <c r="F2135">
        <v>87</v>
      </c>
      <c r="G2135">
        <v>0</v>
      </c>
      <c r="H2135">
        <v>0</v>
      </c>
      <c r="I2135">
        <v>0</v>
      </c>
      <c r="J2135">
        <v>0</v>
      </c>
      <c r="K2135">
        <v>1</v>
      </c>
      <c r="L2135">
        <v>0</v>
      </c>
      <c r="M2135">
        <v>0</v>
      </c>
      <c r="N2135">
        <v>0</v>
      </c>
      <c r="O2135">
        <v>0</v>
      </c>
      <c r="P2135">
        <v>31</v>
      </c>
      <c r="Q2135">
        <v>0</v>
      </c>
      <c r="R2135">
        <v>0</v>
      </c>
      <c r="S2135">
        <v>0</v>
      </c>
      <c r="T2135">
        <v>7</v>
      </c>
      <c r="U2135">
        <v>10</v>
      </c>
      <c r="V2135">
        <v>0</v>
      </c>
      <c r="W2135">
        <v>0</v>
      </c>
      <c r="X2135">
        <v>0</v>
      </c>
    </row>
    <row r="2136" spans="1:24" x14ac:dyDescent="0.2">
      <c r="A2136">
        <v>21140300</v>
      </c>
      <c r="B2136" t="s">
        <v>2135</v>
      </c>
      <c r="C2136">
        <v>300</v>
      </c>
      <c r="D2136">
        <v>300</v>
      </c>
      <c r="E2136">
        <v>10000</v>
      </c>
      <c r="F2136">
        <v>87</v>
      </c>
      <c r="G2136">
        <v>0</v>
      </c>
      <c r="H2136">
        <v>0</v>
      </c>
      <c r="I2136">
        <v>0</v>
      </c>
      <c r="J2136">
        <v>0</v>
      </c>
      <c r="K2136">
        <v>8</v>
      </c>
      <c r="L2136">
        <v>0</v>
      </c>
      <c r="M2136">
        <v>0</v>
      </c>
      <c r="N2136">
        <v>0</v>
      </c>
      <c r="O2136">
        <v>0</v>
      </c>
      <c r="P2136">
        <v>25</v>
      </c>
      <c r="Q2136">
        <v>25</v>
      </c>
      <c r="R2136">
        <v>0</v>
      </c>
      <c r="S2136">
        <v>0</v>
      </c>
      <c r="T2136">
        <v>7</v>
      </c>
      <c r="U2136">
        <v>10</v>
      </c>
      <c r="V2136">
        <v>0</v>
      </c>
      <c r="W2136">
        <v>0</v>
      </c>
      <c r="X2136">
        <v>0</v>
      </c>
    </row>
    <row r="2137" spans="1:24" x14ac:dyDescent="0.2">
      <c r="A2137">
        <v>21140400</v>
      </c>
      <c r="B2137" t="s">
        <v>2136</v>
      </c>
      <c r="C2137">
        <v>500</v>
      </c>
      <c r="D2137">
        <v>500</v>
      </c>
      <c r="E2137">
        <v>10000</v>
      </c>
      <c r="F2137">
        <v>96</v>
      </c>
      <c r="G2137">
        <v>96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31</v>
      </c>
      <c r="Q2137">
        <v>0</v>
      </c>
      <c r="R2137">
        <v>31</v>
      </c>
      <c r="S2137">
        <v>0</v>
      </c>
      <c r="T2137">
        <v>7</v>
      </c>
      <c r="U2137">
        <v>10</v>
      </c>
      <c r="V2137">
        <v>0</v>
      </c>
      <c r="W2137">
        <v>0</v>
      </c>
      <c r="X2137">
        <v>0</v>
      </c>
    </row>
    <row r="2138" spans="1:24" x14ac:dyDescent="0.2">
      <c r="A2138">
        <v>21140500</v>
      </c>
      <c r="B2138" t="s">
        <v>2137</v>
      </c>
      <c r="C2138">
        <v>400</v>
      </c>
      <c r="D2138">
        <v>400</v>
      </c>
      <c r="E2138">
        <v>10000</v>
      </c>
      <c r="F2138">
        <v>96</v>
      </c>
      <c r="G2138">
        <v>96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31</v>
      </c>
      <c r="Q2138">
        <v>0</v>
      </c>
      <c r="R2138">
        <v>31</v>
      </c>
      <c r="S2138">
        <v>0</v>
      </c>
      <c r="T2138">
        <v>7</v>
      </c>
      <c r="U2138">
        <v>10</v>
      </c>
      <c r="V2138">
        <v>0</v>
      </c>
      <c r="W2138">
        <v>0</v>
      </c>
      <c r="X2138">
        <v>0</v>
      </c>
    </row>
    <row r="2139" spans="1:24" x14ac:dyDescent="0.2">
      <c r="A2139">
        <v>21140600</v>
      </c>
      <c r="B2139" t="s">
        <v>2138</v>
      </c>
      <c r="C2139">
        <v>600</v>
      </c>
      <c r="D2139">
        <v>600</v>
      </c>
      <c r="E2139">
        <v>10000</v>
      </c>
      <c r="F2139">
        <v>77</v>
      </c>
      <c r="G2139">
        <v>0</v>
      </c>
      <c r="H2139">
        <v>77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31</v>
      </c>
      <c r="Q2139">
        <v>0</v>
      </c>
      <c r="R2139">
        <v>0</v>
      </c>
      <c r="S2139">
        <v>0</v>
      </c>
      <c r="T2139">
        <v>7</v>
      </c>
      <c r="U2139">
        <v>10</v>
      </c>
      <c r="V2139">
        <v>0</v>
      </c>
      <c r="W2139">
        <v>0</v>
      </c>
      <c r="X2139">
        <v>0</v>
      </c>
    </row>
    <row r="2140" spans="1:24" x14ac:dyDescent="0.2">
      <c r="A2140">
        <v>21140700</v>
      </c>
      <c r="B2140" t="s">
        <v>2139</v>
      </c>
      <c r="C2140">
        <v>700</v>
      </c>
      <c r="D2140">
        <v>700</v>
      </c>
      <c r="E2140">
        <v>10000</v>
      </c>
      <c r="F2140">
        <v>96</v>
      </c>
      <c r="G2140">
        <v>0</v>
      </c>
      <c r="H2140">
        <v>96</v>
      </c>
      <c r="I2140">
        <v>0</v>
      </c>
      <c r="J2140">
        <v>0</v>
      </c>
      <c r="K2140">
        <v>0</v>
      </c>
      <c r="L2140">
        <v>0</v>
      </c>
      <c r="M2140">
        <v>4</v>
      </c>
      <c r="N2140">
        <v>0</v>
      </c>
      <c r="O2140">
        <v>0</v>
      </c>
      <c r="P2140">
        <v>31</v>
      </c>
      <c r="Q2140">
        <v>0</v>
      </c>
      <c r="R2140">
        <v>31</v>
      </c>
      <c r="S2140">
        <v>31</v>
      </c>
      <c r="T2140">
        <v>7</v>
      </c>
      <c r="U2140">
        <v>10</v>
      </c>
      <c r="V2140">
        <v>0</v>
      </c>
      <c r="W2140">
        <v>0</v>
      </c>
      <c r="X2140">
        <v>0</v>
      </c>
    </row>
    <row r="2141" spans="1:24" x14ac:dyDescent="0.2">
      <c r="A2141">
        <v>21140800</v>
      </c>
      <c r="B2141" t="s">
        <v>2140</v>
      </c>
      <c r="C2141">
        <v>800</v>
      </c>
      <c r="D2141">
        <v>800</v>
      </c>
      <c r="E2141">
        <v>10000</v>
      </c>
      <c r="F2141">
        <v>96</v>
      </c>
      <c r="G2141">
        <v>0</v>
      </c>
      <c r="H2141">
        <v>0</v>
      </c>
      <c r="I2141">
        <v>96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31</v>
      </c>
      <c r="Q2141">
        <v>0</v>
      </c>
      <c r="R2141">
        <v>0</v>
      </c>
      <c r="S2141">
        <v>31</v>
      </c>
      <c r="T2141">
        <v>7</v>
      </c>
      <c r="U2141">
        <v>10</v>
      </c>
      <c r="V2141">
        <v>0</v>
      </c>
      <c r="W2141">
        <v>0</v>
      </c>
      <c r="X2141">
        <v>0</v>
      </c>
    </row>
    <row r="2142" spans="1:24" x14ac:dyDescent="0.2">
      <c r="A2142">
        <v>21140900</v>
      </c>
      <c r="B2142" t="s">
        <v>2141</v>
      </c>
      <c r="C2142">
        <v>900</v>
      </c>
      <c r="D2142">
        <v>900</v>
      </c>
      <c r="E2142">
        <v>10000</v>
      </c>
      <c r="F2142">
        <v>77</v>
      </c>
      <c r="G2142">
        <v>0</v>
      </c>
      <c r="H2142">
        <v>0</v>
      </c>
      <c r="I2142">
        <v>0</v>
      </c>
      <c r="J2142">
        <v>77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31</v>
      </c>
      <c r="Q2142">
        <v>0</v>
      </c>
      <c r="R2142">
        <v>0</v>
      </c>
      <c r="S2142">
        <v>0</v>
      </c>
      <c r="T2142">
        <v>7</v>
      </c>
      <c r="U2142">
        <v>10</v>
      </c>
      <c r="V2142">
        <v>0</v>
      </c>
      <c r="W2142">
        <v>0</v>
      </c>
      <c r="X2142">
        <v>0</v>
      </c>
    </row>
    <row r="2143" spans="1:24" x14ac:dyDescent="0.2">
      <c r="A2143">
        <v>21141000</v>
      </c>
      <c r="B2143" t="s">
        <v>2142</v>
      </c>
      <c r="C2143">
        <v>1000</v>
      </c>
      <c r="D2143">
        <v>1000</v>
      </c>
      <c r="E2143">
        <v>10000</v>
      </c>
      <c r="F2143">
        <v>96</v>
      </c>
      <c r="G2143">
        <v>0</v>
      </c>
      <c r="H2143">
        <v>0</v>
      </c>
      <c r="I2143">
        <v>0</v>
      </c>
      <c r="J2143">
        <v>96</v>
      </c>
      <c r="K2143">
        <v>0</v>
      </c>
      <c r="L2143">
        <v>0</v>
      </c>
      <c r="M2143">
        <v>0</v>
      </c>
      <c r="N2143">
        <v>0</v>
      </c>
      <c r="O2143">
        <v>4</v>
      </c>
      <c r="P2143">
        <v>31</v>
      </c>
      <c r="Q2143">
        <v>0</v>
      </c>
      <c r="R2143">
        <v>31</v>
      </c>
      <c r="S2143">
        <v>31</v>
      </c>
      <c r="T2143">
        <v>7</v>
      </c>
      <c r="U2143">
        <v>10</v>
      </c>
      <c r="V2143">
        <v>0</v>
      </c>
      <c r="W2143">
        <v>0</v>
      </c>
      <c r="X2143">
        <v>0</v>
      </c>
    </row>
    <row r="2144" spans="1:24" x14ac:dyDescent="0.2">
      <c r="A2144">
        <v>21141100</v>
      </c>
      <c r="B2144" t="s">
        <v>2143</v>
      </c>
      <c r="C2144">
        <v>1100</v>
      </c>
      <c r="D2144">
        <v>1100</v>
      </c>
      <c r="E2144">
        <v>10000</v>
      </c>
      <c r="F2144">
        <v>87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31</v>
      </c>
      <c r="Q2144">
        <v>0</v>
      </c>
      <c r="R2144">
        <v>0</v>
      </c>
      <c r="S2144">
        <v>0</v>
      </c>
      <c r="T2144">
        <v>7</v>
      </c>
      <c r="U2144">
        <v>10</v>
      </c>
      <c r="V2144">
        <v>0</v>
      </c>
      <c r="W2144">
        <v>0</v>
      </c>
      <c r="X2144">
        <v>0</v>
      </c>
    </row>
    <row r="2145" spans="1:24" x14ac:dyDescent="0.2">
      <c r="A2145">
        <v>21141200</v>
      </c>
      <c r="B2145" t="s">
        <v>2144</v>
      </c>
      <c r="C2145">
        <v>1200</v>
      </c>
      <c r="D2145">
        <v>1200</v>
      </c>
      <c r="E2145">
        <v>10000</v>
      </c>
      <c r="F2145">
        <v>87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31</v>
      </c>
      <c r="Q2145">
        <v>0</v>
      </c>
      <c r="R2145">
        <v>0</v>
      </c>
      <c r="S2145">
        <v>0</v>
      </c>
      <c r="T2145">
        <v>7</v>
      </c>
      <c r="U2145">
        <v>10</v>
      </c>
      <c r="V2145">
        <v>0</v>
      </c>
      <c r="W2145">
        <v>0</v>
      </c>
      <c r="X2145">
        <v>0</v>
      </c>
    </row>
    <row r="2146" spans="1:24" x14ac:dyDescent="0.2">
      <c r="A2146">
        <v>21141300</v>
      </c>
      <c r="B2146" t="s">
        <v>2145</v>
      </c>
      <c r="C2146">
        <v>1300</v>
      </c>
      <c r="D2146">
        <v>1300</v>
      </c>
      <c r="E2146">
        <v>10000</v>
      </c>
      <c r="F2146">
        <v>87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31</v>
      </c>
      <c r="Q2146">
        <v>0</v>
      </c>
      <c r="R2146">
        <v>0</v>
      </c>
      <c r="S2146">
        <v>0</v>
      </c>
      <c r="T2146">
        <v>7</v>
      </c>
      <c r="U2146">
        <v>10</v>
      </c>
      <c r="V2146">
        <v>0</v>
      </c>
      <c r="W2146">
        <v>0</v>
      </c>
      <c r="X2146">
        <v>0</v>
      </c>
    </row>
    <row r="2147" spans="1:24" x14ac:dyDescent="0.2">
      <c r="A2147">
        <v>21141400</v>
      </c>
      <c r="B2147" t="s">
        <v>2146</v>
      </c>
      <c r="C2147">
        <v>1400</v>
      </c>
      <c r="D2147">
        <v>1400</v>
      </c>
      <c r="E2147">
        <v>10014</v>
      </c>
      <c r="F2147">
        <v>96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31</v>
      </c>
      <c r="Q2147">
        <v>0</v>
      </c>
      <c r="R2147">
        <v>0</v>
      </c>
      <c r="S2147">
        <v>31</v>
      </c>
      <c r="T2147">
        <v>7</v>
      </c>
      <c r="U2147">
        <v>10</v>
      </c>
      <c r="V2147">
        <v>0</v>
      </c>
      <c r="W2147">
        <v>0</v>
      </c>
      <c r="X2147">
        <v>0</v>
      </c>
    </row>
    <row r="2148" spans="1:24" x14ac:dyDescent="0.2">
      <c r="A2148">
        <v>21141500</v>
      </c>
      <c r="B2148" t="s">
        <v>2147</v>
      </c>
      <c r="C2148">
        <v>1500</v>
      </c>
      <c r="D2148">
        <v>1500</v>
      </c>
      <c r="E2148">
        <v>10015</v>
      </c>
      <c r="F2148">
        <v>87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31</v>
      </c>
      <c r="Q2148">
        <v>0</v>
      </c>
      <c r="R2148">
        <v>0</v>
      </c>
      <c r="S2148">
        <v>0</v>
      </c>
      <c r="T2148">
        <v>7</v>
      </c>
      <c r="U2148">
        <v>10</v>
      </c>
      <c r="V2148">
        <v>0</v>
      </c>
      <c r="W2148">
        <v>0</v>
      </c>
      <c r="X2148">
        <v>0</v>
      </c>
    </row>
    <row r="2149" spans="1:24" x14ac:dyDescent="0.2">
      <c r="A2149">
        <v>21150000</v>
      </c>
      <c r="B2149" t="s">
        <v>2148</v>
      </c>
      <c r="C2149">
        <v>0</v>
      </c>
      <c r="D2149">
        <v>8100</v>
      </c>
      <c r="E2149">
        <v>10000</v>
      </c>
      <c r="F2149">
        <v>76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29</v>
      </c>
      <c r="Q2149">
        <v>0</v>
      </c>
      <c r="R2149">
        <v>0</v>
      </c>
      <c r="S2149">
        <v>0</v>
      </c>
      <c r="T2149">
        <v>6</v>
      </c>
      <c r="U2149">
        <v>8</v>
      </c>
      <c r="V2149">
        <v>0</v>
      </c>
      <c r="W2149">
        <v>0</v>
      </c>
      <c r="X2149">
        <v>0</v>
      </c>
    </row>
    <row r="2150" spans="1:24" x14ac:dyDescent="0.2">
      <c r="A2150">
        <v>21150100</v>
      </c>
      <c r="B2150" t="s">
        <v>2149</v>
      </c>
      <c r="C2150">
        <v>200</v>
      </c>
      <c r="D2150">
        <v>100</v>
      </c>
      <c r="E2150">
        <v>10000</v>
      </c>
      <c r="F2150">
        <v>76</v>
      </c>
      <c r="G2150">
        <v>0</v>
      </c>
      <c r="H2150">
        <v>0</v>
      </c>
      <c r="I2150">
        <v>0</v>
      </c>
      <c r="J2150">
        <v>0</v>
      </c>
      <c r="K2150">
        <v>1</v>
      </c>
      <c r="L2150">
        <v>0</v>
      </c>
      <c r="M2150">
        <v>0</v>
      </c>
      <c r="N2150">
        <v>0</v>
      </c>
      <c r="O2150">
        <v>0</v>
      </c>
      <c r="P2150">
        <v>29</v>
      </c>
      <c r="Q2150">
        <v>0</v>
      </c>
      <c r="R2150">
        <v>0</v>
      </c>
      <c r="S2150">
        <v>0</v>
      </c>
      <c r="T2150">
        <v>6</v>
      </c>
      <c r="U2150">
        <v>8</v>
      </c>
      <c r="V2150">
        <v>0</v>
      </c>
      <c r="W2150">
        <v>0</v>
      </c>
      <c r="X2150">
        <v>0</v>
      </c>
    </row>
    <row r="2151" spans="1:24" x14ac:dyDescent="0.2">
      <c r="A2151">
        <v>21150200</v>
      </c>
      <c r="B2151" t="s">
        <v>2150</v>
      </c>
      <c r="C2151">
        <v>100</v>
      </c>
      <c r="D2151">
        <v>200</v>
      </c>
      <c r="E2151">
        <v>10000</v>
      </c>
      <c r="F2151">
        <v>76</v>
      </c>
      <c r="G2151">
        <v>0</v>
      </c>
      <c r="H2151">
        <v>0</v>
      </c>
      <c r="I2151">
        <v>0</v>
      </c>
      <c r="J2151">
        <v>0</v>
      </c>
      <c r="K2151">
        <v>1</v>
      </c>
      <c r="L2151">
        <v>0</v>
      </c>
      <c r="M2151">
        <v>0</v>
      </c>
      <c r="N2151">
        <v>0</v>
      </c>
      <c r="O2151">
        <v>0</v>
      </c>
      <c r="P2151">
        <v>29</v>
      </c>
      <c r="Q2151">
        <v>0</v>
      </c>
      <c r="R2151">
        <v>0</v>
      </c>
      <c r="S2151">
        <v>0</v>
      </c>
      <c r="T2151">
        <v>6</v>
      </c>
      <c r="U2151">
        <v>8</v>
      </c>
      <c r="V2151">
        <v>0</v>
      </c>
      <c r="W2151">
        <v>0</v>
      </c>
      <c r="X2151">
        <v>0</v>
      </c>
    </row>
    <row r="2152" spans="1:24" x14ac:dyDescent="0.2">
      <c r="A2152">
        <v>21150300</v>
      </c>
      <c r="B2152" t="s">
        <v>2151</v>
      </c>
      <c r="C2152">
        <v>300</v>
      </c>
      <c r="D2152">
        <v>300</v>
      </c>
      <c r="E2152">
        <v>10000</v>
      </c>
      <c r="F2152">
        <v>76</v>
      </c>
      <c r="G2152">
        <v>0</v>
      </c>
      <c r="H2152">
        <v>0</v>
      </c>
      <c r="I2152">
        <v>0</v>
      </c>
      <c r="J2152">
        <v>0</v>
      </c>
      <c r="K2152">
        <v>8</v>
      </c>
      <c r="L2152">
        <v>0</v>
      </c>
      <c r="M2152">
        <v>0</v>
      </c>
      <c r="N2152">
        <v>0</v>
      </c>
      <c r="O2152">
        <v>0</v>
      </c>
      <c r="P2152">
        <v>24</v>
      </c>
      <c r="Q2152">
        <v>24</v>
      </c>
      <c r="R2152">
        <v>0</v>
      </c>
      <c r="S2152">
        <v>0</v>
      </c>
      <c r="T2152">
        <v>6</v>
      </c>
      <c r="U2152">
        <v>8</v>
      </c>
      <c r="V2152">
        <v>0</v>
      </c>
      <c r="W2152">
        <v>0</v>
      </c>
      <c r="X2152">
        <v>0</v>
      </c>
    </row>
    <row r="2153" spans="1:24" x14ac:dyDescent="0.2">
      <c r="A2153">
        <v>21150400</v>
      </c>
      <c r="B2153" t="s">
        <v>2152</v>
      </c>
      <c r="C2153">
        <v>500</v>
      </c>
      <c r="D2153">
        <v>500</v>
      </c>
      <c r="E2153">
        <v>10000</v>
      </c>
      <c r="F2153">
        <v>85</v>
      </c>
      <c r="G2153">
        <v>85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29</v>
      </c>
      <c r="Q2153">
        <v>0</v>
      </c>
      <c r="R2153">
        <v>29</v>
      </c>
      <c r="S2153">
        <v>0</v>
      </c>
      <c r="T2153">
        <v>6</v>
      </c>
      <c r="U2153">
        <v>8</v>
      </c>
      <c r="V2153">
        <v>0</v>
      </c>
      <c r="W2153">
        <v>0</v>
      </c>
      <c r="X2153">
        <v>0</v>
      </c>
    </row>
    <row r="2154" spans="1:24" x14ac:dyDescent="0.2">
      <c r="A2154">
        <v>21150500</v>
      </c>
      <c r="B2154" t="s">
        <v>2153</v>
      </c>
      <c r="C2154">
        <v>400</v>
      </c>
      <c r="D2154">
        <v>400</v>
      </c>
      <c r="E2154">
        <v>10000</v>
      </c>
      <c r="F2154">
        <v>85</v>
      </c>
      <c r="G2154">
        <v>85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29</v>
      </c>
      <c r="Q2154">
        <v>0</v>
      </c>
      <c r="R2154">
        <v>29</v>
      </c>
      <c r="S2154">
        <v>0</v>
      </c>
      <c r="T2154">
        <v>6</v>
      </c>
      <c r="U2154">
        <v>8</v>
      </c>
      <c r="V2154">
        <v>0</v>
      </c>
      <c r="W2154">
        <v>0</v>
      </c>
      <c r="X2154">
        <v>0</v>
      </c>
    </row>
    <row r="2155" spans="1:24" x14ac:dyDescent="0.2">
      <c r="A2155">
        <v>21150600</v>
      </c>
      <c r="B2155" t="s">
        <v>2154</v>
      </c>
      <c r="C2155">
        <v>600</v>
      </c>
      <c r="D2155">
        <v>600</v>
      </c>
      <c r="E2155">
        <v>10000</v>
      </c>
      <c r="F2155">
        <v>66</v>
      </c>
      <c r="G2155">
        <v>0</v>
      </c>
      <c r="H2155">
        <v>66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29</v>
      </c>
      <c r="Q2155">
        <v>0</v>
      </c>
      <c r="R2155">
        <v>0</v>
      </c>
      <c r="S2155">
        <v>0</v>
      </c>
      <c r="T2155">
        <v>6</v>
      </c>
      <c r="U2155">
        <v>8</v>
      </c>
      <c r="V2155">
        <v>0</v>
      </c>
      <c r="W2155">
        <v>0</v>
      </c>
      <c r="X2155">
        <v>0</v>
      </c>
    </row>
    <row r="2156" spans="1:24" x14ac:dyDescent="0.2">
      <c r="A2156">
        <v>21150700</v>
      </c>
      <c r="B2156" t="s">
        <v>2155</v>
      </c>
      <c r="C2156">
        <v>700</v>
      </c>
      <c r="D2156">
        <v>700</v>
      </c>
      <c r="E2156">
        <v>10000</v>
      </c>
      <c r="F2156">
        <v>85</v>
      </c>
      <c r="G2156">
        <v>0</v>
      </c>
      <c r="H2156">
        <v>85</v>
      </c>
      <c r="I2156">
        <v>0</v>
      </c>
      <c r="J2156">
        <v>0</v>
      </c>
      <c r="K2156">
        <v>0</v>
      </c>
      <c r="L2156">
        <v>0</v>
      </c>
      <c r="M2156">
        <v>4</v>
      </c>
      <c r="N2156">
        <v>0</v>
      </c>
      <c r="O2156">
        <v>0</v>
      </c>
      <c r="P2156">
        <v>29</v>
      </c>
      <c r="Q2156">
        <v>0</v>
      </c>
      <c r="R2156">
        <v>29</v>
      </c>
      <c r="S2156">
        <v>29</v>
      </c>
      <c r="T2156">
        <v>6</v>
      </c>
      <c r="U2156">
        <v>8</v>
      </c>
      <c r="V2156">
        <v>0</v>
      </c>
      <c r="W2156">
        <v>0</v>
      </c>
      <c r="X2156">
        <v>0</v>
      </c>
    </row>
    <row r="2157" spans="1:24" x14ac:dyDescent="0.2">
      <c r="A2157">
        <v>21150800</v>
      </c>
      <c r="B2157" t="s">
        <v>2156</v>
      </c>
      <c r="C2157">
        <v>800</v>
      </c>
      <c r="D2157">
        <v>800</v>
      </c>
      <c r="E2157">
        <v>10000</v>
      </c>
      <c r="F2157">
        <v>85</v>
      </c>
      <c r="G2157">
        <v>0</v>
      </c>
      <c r="H2157">
        <v>0</v>
      </c>
      <c r="I2157">
        <v>85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29</v>
      </c>
      <c r="Q2157">
        <v>0</v>
      </c>
      <c r="R2157">
        <v>0</v>
      </c>
      <c r="S2157">
        <v>29</v>
      </c>
      <c r="T2157">
        <v>6</v>
      </c>
      <c r="U2157">
        <v>8</v>
      </c>
      <c r="V2157">
        <v>0</v>
      </c>
      <c r="W2157">
        <v>0</v>
      </c>
      <c r="X2157">
        <v>0</v>
      </c>
    </row>
    <row r="2158" spans="1:24" x14ac:dyDescent="0.2">
      <c r="A2158">
        <v>21150900</v>
      </c>
      <c r="B2158" t="s">
        <v>2157</v>
      </c>
      <c r="C2158">
        <v>900</v>
      </c>
      <c r="D2158">
        <v>900</v>
      </c>
      <c r="E2158">
        <v>10000</v>
      </c>
      <c r="F2158">
        <v>66</v>
      </c>
      <c r="G2158">
        <v>0</v>
      </c>
      <c r="H2158">
        <v>0</v>
      </c>
      <c r="I2158">
        <v>0</v>
      </c>
      <c r="J2158">
        <v>66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29</v>
      </c>
      <c r="Q2158">
        <v>0</v>
      </c>
      <c r="R2158">
        <v>0</v>
      </c>
      <c r="S2158">
        <v>0</v>
      </c>
      <c r="T2158">
        <v>6</v>
      </c>
      <c r="U2158">
        <v>8</v>
      </c>
      <c r="V2158">
        <v>0</v>
      </c>
      <c r="W2158">
        <v>0</v>
      </c>
      <c r="X2158">
        <v>0</v>
      </c>
    </row>
    <row r="2159" spans="1:24" x14ac:dyDescent="0.2">
      <c r="A2159">
        <v>21151000</v>
      </c>
      <c r="B2159" t="s">
        <v>2158</v>
      </c>
      <c r="C2159">
        <v>1000</v>
      </c>
      <c r="D2159">
        <v>1000</v>
      </c>
      <c r="E2159">
        <v>10000</v>
      </c>
      <c r="F2159">
        <v>85</v>
      </c>
      <c r="G2159">
        <v>0</v>
      </c>
      <c r="H2159">
        <v>0</v>
      </c>
      <c r="I2159">
        <v>0</v>
      </c>
      <c r="J2159">
        <v>85</v>
      </c>
      <c r="K2159">
        <v>0</v>
      </c>
      <c r="L2159">
        <v>0</v>
      </c>
      <c r="M2159">
        <v>0</v>
      </c>
      <c r="N2159">
        <v>0</v>
      </c>
      <c r="O2159">
        <v>4</v>
      </c>
      <c r="P2159">
        <v>29</v>
      </c>
      <c r="Q2159">
        <v>0</v>
      </c>
      <c r="R2159">
        <v>29</v>
      </c>
      <c r="S2159">
        <v>29</v>
      </c>
      <c r="T2159">
        <v>6</v>
      </c>
      <c r="U2159">
        <v>8</v>
      </c>
      <c r="V2159">
        <v>0</v>
      </c>
      <c r="W2159">
        <v>0</v>
      </c>
      <c r="X2159">
        <v>0</v>
      </c>
    </row>
    <row r="2160" spans="1:24" x14ac:dyDescent="0.2">
      <c r="A2160">
        <v>21151100</v>
      </c>
      <c r="B2160" t="s">
        <v>2159</v>
      </c>
      <c r="C2160">
        <v>1100</v>
      </c>
      <c r="D2160">
        <v>1100</v>
      </c>
      <c r="E2160">
        <v>10000</v>
      </c>
      <c r="F2160">
        <v>76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29</v>
      </c>
      <c r="Q2160">
        <v>0</v>
      </c>
      <c r="R2160">
        <v>0</v>
      </c>
      <c r="S2160">
        <v>0</v>
      </c>
      <c r="T2160">
        <v>6</v>
      </c>
      <c r="U2160">
        <v>8</v>
      </c>
      <c r="V2160">
        <v>0</v>
      </c>
      <c r="W2160">
        <v>0</v>
      </c>
      <c r="X2160">
        <v>0</v>
      </c>
    </row>
    <row r="2161" spans="1:24" x14ac:dyDescent="0.2">
      <c r="A2161">
        <v>21151200</v>
      </c>
      <c r="B2161" t="s">
        <v>2160</v>
      </c>
      <c r="C2161">
        <v>1200</v>
      </c>
      <c r="D2161">
        <v>1200</v>
      </c>
      <c r="E2161">
        <v>10000</v>
      </c>
      <c r="F2161">
        <v>76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29</v>
      </c>
      <c r="Q2161">
        <v>0</v>
      </c>
      <c r="R2161">
        <v>0</v>
      </c>
      <c r="S2161">
        <v>0</v>
      </c>
      <c r="T2161">
        <v>6</v>
      </c>
      <c r="U2161">
        <v>8</v>
      </c>
      <c r="V2161">
        <v>0</v>
      </c>
      <c r="W2161">
        <v>0</v>
      </c>
      <c r="X2161">
        <v>0</v>
      </c>
    </row>
    <row r="2162" spans="1:24" x14ac:dyDescent="0.2">
      <c r="A2162">
        <v>21151300</v>
      </c>
      <c r="B2162" t="s">
        <v>2161</v>
      </c>
      <c r="C2162">
        <v>1300</v>
      </c>
      <c r="D2162">
        <v>1300</v>
      </c>
      <c r="E2162">
        <v>10000</v>
      </c>
      <c r="F2162">
        <v>76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29</v>
      </c>
      <c r="Q2162">
        <v>0</v>
      </c>
      <c r="R2162">
        <v>0</v>
      </c>
      <c r="S2162">
        <v>0</v>
      </c>
      <c r="T2162">
        <v>6</v>
      </c>
      <c r="U2162">
        <v>8</v>
      </c>
      <c r="V2162">
        <v>0</v>
      </c>
      <c r="W2162">
        <v>0</v>
      </c>
      <c r="X2162">
        <v>0</v>
      </c>
    </row>
    <row r="2163" spans="1:24" x14ac:dyDescent="0.2">
      <c r="A2163">
        <v>21151400</v>
      </c>
      <c r="B2163" t="s">
        <v>2162</v>
      </c>
      <c r="C2163">
        <v>1400</v>
      </c>
      <c r="D2163">
        <v>1400</v>
      </c>
      <c r="E2163">
        <v>10014</v>
      </c>
      <c r="F2163">
        <v>85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29</v>
      </c>
      <c r="Q2163">
        <v>0</v>
      </c>
      <c r="R2163">
        <v>0</v>
      </c>
      <c r="S2163">
        <v>29</v>
      </c>
      <c r="T2163">
        <v>6</v>
      </c>
      <c r="U2163">
        <v>8</v>
      </c>
      <c r="V2163">
        <v>0</v>
      </c>
      <c r="W2163">
        <v>0</v>
      </c>
      <c r="X2163">
        <v>0</v>
      </c>
    </row>
    <row r="2164" spans="1:24" x14ac:dyDescent="0.2">
      <c r="A2164">
        <v>21151500</v>
      </c>
      <c r="B2164" t="s">
        <v>2163</v>
      </c>
      <c r="C2164">
        <v>1500</v>
      </c>
      <c r="D2164">
        <v>1500</v>
      </c>
      <c r="E2164">
        <v>10015</v>
      </c>
      <c r="F2164">
        <v>76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29</v>
      </c>
      <c r="Q2164">
        <v>0</v>
      </c>
      <c r="R2164">
        <v>0</v>
      </c>
      <c r="S2164">
        <v>0</v>
      </c>
      <c r="T2164">
        <v>6</v>
      </c>
      <c r="U2164">
        <v>8</v>
      </c>
      <c r="V2164">
        <v>0</v>
      </c>
      <c r="W2164">
        <v>0</v>
      </c>
      <c r="X2164">
        <v>0</v>
      </c>
    </row>
    <row r="2165" spans="1:24" x14ac:dyDescent="0.2">
      <c r="A2165">
        <v>21160000</v>
      </c>
      <c r="B2165" t="s">
        <v>2164</v>
      </c>
      <c r="C2165">
        <v>0</v>
      </c>
      <c r="D2165">
        <v>8100</v>
      </c>
      <c r="E2165">
        <v>10000</v>
      </c>
      <c r="F2165">
        <v>82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30</v>
      </c>
      <c r="Q2165">
        <v>0</v>
      </c>
      <c r="R2165">
        <v>0</v>
      </c>
      <c r="S2165">
        <v>0</v>
      </c>
      <c r="T2165">
        <v>6</v>
      </c>
      <c r="U2165">
        <v>12</v>
      </c>
      <c r="V2165">
        <v>0</v>
      </c>
      <c r="W2165">
        <v>0</v>
      </c>
      <c r="X2165">
        <v>0</v>
      </c>
    </row>
    <row r="2166" spans="1:24" x14ac:dyDescent="0.2">
      <c r="A2166">
        <v>21160100</v>
      </c>
      <c r="B2166" t="s">
        <v>2165</v>
      </c>
      <c r="C2166">
        <v>200</v>
      </c>
      <c r="D2166">
        <v>100</v>
      </c>
      <c r="E2166">
        <v>10000</v>
      </c>
      <c r="F2166">
        <v>82</v>
      </c>
      <c r="G2166">
        <v>0</v>
      </c>
      <c r="H2166">
        <v>0</v>
      </c>
      <c r="I2166">
        <v>0</v>
      </c>
      <c r="J2166">
        <v>0</v>
      </c>
      <c r="K2166">
        <v>1</v>
      </c>
      <c r="L2166">
        <v>0</v>
      </c>
      <c r="M2166">
        <v>0</v>
      </c>
      <c r="N2166">
        <v>0</v>
      </c>
      <c r="O2166">
        <v>0</v>
      </c>
      <c r="P2166">
        <v>30</v>
      </c>
      <c r="Q2166">
        <v>0</v>
      </c>
      <c r="R2166">
        <v>0</v>
      </c>
      <c r="S2166">
        <v>0</v>
      </c>
      <c r="T2166">
        <v>6</v>
      </c>
      <c r="U2166">
        <v>12</v>
      </c>
      <c r="V2166">
        <v>0</v>
      </c>
      <c r="W2166">
        <v>0</v>
      </c>
      <c r="X2166">
        <v>0</v>
      </c>
    </row>
    <row r="2167" spans="1:24" x14ac:dyDescent="0.2">
      <c r="A2167">
        <v>21160200</v>
      </c>
      <c r="B2167" t="s">
        <v>2166</v>
      </c>
      <c r="C2167">
        <v>100</v>
      </c>
      <c r="D2167">
        <v>200</v>
      </c>
      <c r="E2167">
        <v>10000</v>
      </c>
      <c r="F2167">
        <v>82</v>
      </c>
      <c r="G2167">
        <v>0</v>
      </c>
      <c r="H2167">
        <v>0</v>
      </c>
      <c r="I2167">
        <v>0</v>
      </c>
      <c r="J2167">
        <v>0</v>
      </c>
      <c r="K2167">
        <v>1</v>
      </c>
      <c r="L2167">
        <v>0</v>
      </c>
      <c r="M2167">
        <v>0</v>
      </c>
      <c r="N2167">
        <v>0</v>
      </c>
      <c r="O2167">
        <v>0</v>
      </c>
      <c r="P2167">
        <v>30</v>
      </c>
      <c r="Q2167">
        <v>0</v>
      </c>
      <c r="R2167">
        <v>0</v>
      </c>
      <c r="S2167">
        <v>0</v>
      </c>
      <c r="T2167">
        <v>6</v>
      </c>
      <c r="U2167">
        <v>12</v>
      </c>
      <c r="V2167">
        <v>0</v>
      </c>
      <c r="W2167">
        <v>0</v>
      </c>
      <c r="X2167">
        <v>0</v>
      </c>
    </row>
    <row r="2168" spans="1:24" x14ac:dyDescent="0.2">
      <c r="A2168">
        <v>21160300</v>
      </c>
      <c r="B2168" t="s">
        <v>2167</v>
      </c>
      <c r="C2168">
        <v>300</v>
      </c>
      <c r="D2168">
        <v>300</v>
      </c>
      <c r="E2168">
        <v>10000</v>
      </c>
      <c r="F2168">
        <v>82</v>
      </c>
      <c r="G2168">
        <v>0</v>
      </c>
      <c r="H2168">
        <v>0</v>
      </c>
      <c r="I2168">
        <v>0</v>
      </c>
      <c r="J2168">
        <v>0</v>
      </c>
      <c r="K2168">
        <v>8</v>
      </c>
      <c r="L2168">
        <v>0</v>
      </c>
      <c r="M2168">
        <v>0</v>
      </c>
      <c r="N2168">
        <v>0</v>
      </c>
      <c r="O2168">
        <v>0</v>
      </c>
      <c r="P2168">
        <v>25</v>
      </c>
      <c r="Q2168">
        <v>25</v>
      </c>
      <c r="R2168">
        <v>0</v>
      </c>
      <c r="S2168">
        <v>0</v>
      </c>
      <c r="T2168">
        <v>6</v>
      </c>
      <c r="U2168">
        <v>12</v>
      </c>
      <c r="V2168">
        <v>0</v>
      </c>
      <c r="W2168">
        <v>0</v>
      </c>
      <c r="X2168">
        <v>0</v>
      </c>
    </row>
    <row r="2169" spans="1:24" x14ac:dyDescent="0.2">
      <c r="A2169">
        <v>21160400</v>
      </c>
      <c r="B2169" t="s">
        <v>2168</v>
      </c>
      <c r="C2169">
        <v>500</v>
      </c>
      <c r="D2169">
        <v>500</v>
      </c>
      <c r="E2169">
        <v>10000</v>
      </c>
      <c r="F2169">
        <v>91</v>
      </c>
      <c r="G2169">
        <v>91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30</v>
      </c>
      <c r="Q2169">
        <v>0</v>
      </c>
      <c r="R2169">
        <v>30</v>
      </c>
      <c r="S2169">
        <v>0</v>
      </c>
      <c r="T2169">
        <v>6</v>
      </c>
      <c r="U2169">
        <v>12</v>
      </c>
      <c r="V2169">
        <v>0</v>
      </c>
      <c r="W2169">
        <v>0</v>
      </c>
      <c r="X2169">
        <v>0</v>
      </c>
    </row>
    <row r="2170" spans="1:24" x14ac:dyDescent="0.2">
      <c r="A2170">
        <v>21160500</v>
      </c>
      <c r="B2170" t="s">
        <v>2169</v>
      </c>
      <c r="C2170">
        <v>400</v>
      </c>
      <c r="D2170">
        <v>400</v>
      </c>
      <c r="E2170">
        <v>10000</v>
      </c>
      <c r="F2170">
        <v>91</v>
      </c>
      <c r="G2170">
        <v>91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30</v>
      </c>
      <c r="Q2170">
        <v>0</v>
      </c>
      <c r="R2170">
        <v>30</v>
      </c>
      <c r="S2170">
        <v>0</v>
      </c>
      <c r="T2170">
        <v>6</v>
      </c>
      <c r="U2170">
        <v>12</v>
      </c>
      <c r="V2170">
        <v>0</v>
      </c>
      <c r="W2170">
        <v>0</v>
      </c>
      <c r="X2170">
        <v>0</v>
      </c>
    </row>
    <row r="2171" spans="1:24" x14ac:dyDescent="0.2">
      <c r="A2171">
        <v>21160600</v>
      </c>
      <c r="B2171" t="s">
        <v>2170</v>
      </c>
      <c r="C2171">
        <v>600</v>
      </c>
      <c r="D2171">
        <v>600</v>
      </c>
      <c r="E2171">
        <v>10000</v>
      </c>
      <c r="F2171">
        <v>72</v>
      </c>
      <c r="G2171">
        <v>0</v>
      </c>
      <c r="H2171">
        <v>72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30</v>
      </c>
      <c r="Q2171">
        <v>0</v>
      </c>
      <c r="R2171">
        <v>0</v>
      </c>
      <c r="S2171">
        <v>0</v>
      </c>
      <c r="T2171">
        <v>6</v>
      </c>
      <c r="U2171">
        <v>12</v>
      </c>
      <c r="V2171">
        <v>0</v>
      </c>
      <c r="W2171">
        <v>0</v>
      </c>
      <c r="X2171">
        <v>0</v>
      </c>
    </row>
    <row r="2172" spans="1:24" x14ac:dyDescent="0.2">
      <c r="A2172">
        <v>21160700</v>
      </c>
      <c r="B2172" t="s">
        <v>2171</v>
      </c>
      <c r="C2172">
        <v>700</v>
      </c>
      <c r="D2172">
        <v>700</v>
      </c>
      <c r="E2172">
        <v>10000</v>
      </c>
      <c r="F2172">
        <v>91</v>
      </c>
      <c r="G2172">
        <v>0</v>
      </c>
      <c r="H2172">
        <v>91</v>
      </c>
      <c r="I2172">
        <v>0</v>
      </c>
      <c r="J2172">
        <v>0</v>
      </c>
      <c r="K2172">
        <v>0</v>
      </c>
      <c r="L2172">
        <v>0</v>
      </c>
      <c r="M2172">
        <v>4</v>
      </c>
      <c r="N2172">
        <v>0</v>
      </c>
      <c r="O2172">
        <v>0</v>
      </c>
      <c r="P2172">
        <v>30</v>
      </c>
      <c r="Q2172">
        <v>0</v>
      </c>
      <c r="R2172">
        <v>30</v>
      </c>
      <c r="S2172">
        <v>30</v>
      </c>
      <c r="T2172">
        <v>6</v>
      </c>
      <c r="U2172">
        <v>12</v>
      </c>
      <c r="V2172">
        <v>0</v>
      </c>
      <c r="W2172">
        <v>0</v>
      </c>
      <c r="X2172">
        <v>0</v>
      </c>
    </row>
    <row r="2173" spans="1:24" x14ac:dyDescent="0.2">
      <c r="A2173">
        <v>21160800</v>
      </c>
      <c r="B2173" t="s">
        <v>2172</v>
      </c>
      <c r="C2173">
        <v>800</v>
      </c>
      <c r="D2173">
        <v>800</v>
      </c>
      <c r="E2173">
        <v>10000</v>
      </c>
      <c r="F2173">
        <v>91</v>
      </c>
      <c r="G2173">
        <v>0</v>
      </c>
      <c r="H2173">
        <v>0</v>
      </c>
      <c r="I2173">
        <v>91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30</v>
      </c>
      <c r="Q2173">
        <v>0</v>
      </c>
      <c r="R2173">
        <v>0</v>
      </c>
      <c r="S2173">
        <v>30</v>
      </c>
      <c r="T2173">
        <v>6</v>
      </c>
      <c r="U2173">
        <v>12</v>
      </c>
      <c r="V2173">
        <v>0</v>
      </c>
      <c r="W2173">
        <v>0</v>
      </c>
      <c r="X2173">
        <v>0</v>
      </c>
    </row>
    <row r="2174" spans="1:24" x14ac:dyDescent="0.2">
      <c r="A2174">
        <v>21160900</v>
      </c>
      <c r="B2174" t="s">
        <v>2173</v>
      </c>
      <c r="C2174">
        <v>900</v>
      </c>
      <c r="D2174">
        <v>900</v>
      </c>
      <c r="E2174">
        <v>10000</v>
      </c>
      <c r="F2174">
        <v>72</v>
      </c>
      <c r="G2174">
        <v>0</v>
      </c>
      <c r="H2174">
        <v>0</v>
      </c>
      <c r="I2174">
        <v>0</v>
      </c>
      <c r="J2174">
        <v>72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30</v>
      </c>
      <c r="Q2174">
        <v>0</v>
      </c>
      <c r="R2174">
        <v>0</v>
      </c>
      <c r="S2174">
        <v>0</v>
      </c>
      <c r="T2174">
        <v>6</v>
      </c>
      <c r="U2174">
        <v>12</v>
      </c>
      <c r="V2174">
        <v>0</v>
      </c>
      <c r="W2174">
        <v>0</v>
      </c>
      <c r="X2174">
        <v>0</v>
      </c>
    </row>
    <row r="2175" spans="1:24" x14ac:dyDescent="0.2">
      <c r="A2175">
        <v>21161000</v>
      </c>
      <c r="B2175" t="s">
        <v>2174</v>
      </c>
      <c r="C2175">
        <v>1000</v>
      </c>
      <c r="D2175">
        <v>1000</v>
      </c>
      <c r="E2175">
        <v>10000</v>
      </c>
      <c r="F2175">
        <v>91</v>
      </c>
      <c r="G2175">
        <v>0</v>
      </c>
      <c r="H2175">
        <v>0</v>
      </c>
      <c r="I2175">
        <v>0</v>
      </c>
      <c r="J2175">
        <v>91</v>
      </c>
      <c r="K2175">
        <v>0</v>
      </c>
      <c r="L2175">
        <v>0</v>
      </c>
      <c r="M2175">
        <v>0</v>
      </c>
      <c r="N2175">
        <v>0</v>
      </c>
      <c r="O2175">
        <v>4</v>
      </c>
      <c r="P2175">
        <v>30</v>
      </c>
      <c r="Q2175">
        <v>0</v>
      </c>
      <c r="R2175">
        <v>30</v>
      </c>
      <c r="S2175">
        <v>30</v>
      </c>
      <c r="T2175">
        <v>6</v>
      </c>
      <c r="U2175">
        <v>12</v>
      </c>
      <c r="V2175">
        <v>0</v>
      </c>
      <c r="W2175">
        <v>0</v>
      </c>
      <c r="X2175">
        <v>0</v>
      </c>
    </row>
    <row r="2176" spans="1:24" x14ac:dyDescent="0.2">
      <c r="A2176">
        <v>21161100</v>
      </c>
      <c r="B2176" t="s">
        <v>2175</v>
      </c>
      <c r="C2176">
        <v>1100</v>
      </c>
      <c r="D2176">
        <v>1100</v>
      </c>
      <c r="E2176">
        <v>10000</v>
      </c>
      <c r="F2176">
        <v>82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30</v>
      </c>
      <c r="Q2176">
        <v>0</v>
      </c>
      <c r="R2176">
        <v>0</v>
      </c>
      <c r="S2176">
        <v>0</v>
      </c>
      <c r="T2176">
        <v>6</v>
      </c>
      <c r="U2176">
        <v>12</v>
      </c>
      <c r="V2176">
        <v>0</v>
      </c>
      <c r="W2176">
        <v>0</v>
      </c>
      <c r="X2176">
        <v>0</v>
      </c>
    </row>
    <row r="2177" spans="1:24" x14ac:dyDescent="0.2">
      <c r="A2177">
        <v>21161200</v>
      </c>
      <c r="B2177" t="s">
        <v>2176</v>
      </c>
      <c r="C2177">
        <v>1200</v>
      </c>
      <c r="D2177">
        <v>1200</v>
      </c>
      <c r="E2177">
        <v>10000</v>
      </c>
      <c r="F2177">
        <v>82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30</v>
      </c>
      <c r="Q2177">
        <v>0</v>
      </c>
      <c r="R2177">
        <v>0</v>
      </c>
      <c r="S2177">
        <v>0</v>
      </c>
      <c r="T2177">
        <v>6</v>
      </c>
      <c r="U2177">
        <v>12</v>
      </c>
      <c r="V2177">
        <v>0</v>
      </c>
      <c r="W2177">
        <v>0</v>
      </c>
      <c r="X2177">
        <v>0</v>
      </c>
    </row>
    <row r="2178" spans="1:24" x14ac:dyDescent="0.2">
      <c r="A2178">
        <v>21161300</v>
      </c>
      <c r="B2178" t="s">
        <v>2177</v>
      </c>
      <c r="C2178">
        <v>1300</v>
      </c>
      <c r="D2178">
        <v>1300</v>
      </c>
      <c r="E2178">
        <v>10000</v>
      </c>
      <c r="F2178">
        <v>82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30</v>
      </c>
      <c r="Q2178">
        <v>0</v>
      </c>
      <c r="R2178">
        <v>0</v>
      </c>
      <c r="S2178">
        <v>0</v>
      </c>
      <c r="T2178">
        <v>6</v>
      </c>
      <c r="U2178">
        <v>12</v>
      </c>
      <c r="V2178">
        <v>0</v>
      </c>
      <c r="W2178">
        <v>0</v>
      </c>
      <c r="X2178">
        <v>0</v>
      </c>
    </row>
    <row r="2179" spans="1:24" x14ac:dyDescent="0.2">
      <c r="A2179">
        <v>21161400</v>
      </c>
      <c r="B2179" t="s">
        <v>2178</v>
      </c>
      <c r="C2179">
        <v>1400</v>
      </c>
      <c r="D2179">
        <v>1400</v>
      </c>
      <c r="E2179">
        <v>10014</v>
      </c>
      <c r="F2179">
        <v>91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30</v>
      </c>
      <c r="Q2179">
        <v>0</v>
      </c>
      <c r="R2179">
        <v>0</v>
      </c>
      <c r="S2179">
        <v>30</v>
      </c>
      <c r="T2179">
        <v>6</v>
      </c>
      <c r="U2179">
        <v>12</v>
      </c>
      <c r="V2179">
        <v>0</v>
      </c>
      <c r="W2179">
        <v>0</v>
      </c>
      <c r="X2179">
        <v>0</v>
      </c>
    </row>
    <row r="2180" spans="1:24" x14ac:dyDescent="0.2">
      <c r="A2180">
        <v>21161500</v>
      </c>
      <c r="B2180" t="s">
        <v>2179</v>
      </c>
      <c r="C2180">
        <v>1500</v>
      </c>
      <c r="D2180">
        <v>1500</v>
      </c>
      <c r="E2180">
        <v>10015</v>
      </c>
      <c r="F2180">
        <v>82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30</v>
      </c>
      <c r="Q2180">
        <v>0</v>
      </c>
      <c r="R2180">
        <v>0</v>
      </c>
      <c r="S2180">
        <v>0</v>
      </c>
      <c r="T2180">
        <v>6</v>
      </c>
      <c r="U2180">
        <v>12</v>
      </c>
      <c r="V2180">
        <v>0</v>
      </c>
      <c r="W2180">
        <v>0</v>
      </c>
      <c r="X2180">
        <v>0</v>
      </c>
    </row>
    <row r="2181" spans="1:24" x14ac:dyDescent="0.2">
      <c r="A2181">
        <v>21170000</v>
      </c>
      <c r="B2181" t="s">
        <v>2180</v>
      </c>
      <c r="C2181">
        <v>2200</v>
      </c>
      <c r="D2181">
        <v>8500</v>
      </c>
      <c r="E2181">
        <v>10000</v>
      </c>
      <c r="F2181">
        <v>83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31</v>
      </c>
      <c r="Q2181">
        <v>0</v>
      </c>
      <c r="R2181">
        <v>0</v>
      </c>
      <c r="S2181">
        <v>0</v>
      </c>
      <c r="T2181">
        <v>7</v>
      </c>
      <c r="U2181">
        <v>14</v>
      </c>
      <c r="V2181">
        <v>0</v>
      </c>
      <c r="W2181">
        <v>0</v>
      </c>
      <c r="X2181">
        <v>0</v>
      </c>
    </row>
    <row r="2182" spans="1:24" x14ac:dyDescent="0.2">
      <c r="A2182">
        <v>21180000</v>
      </c>
      <c r="B2182" t="s">
        <v>2181</v>
      </c>
      <c r="C2182">
        <v>2200</v>
      </c>
      <c r="D2182">
        <v>8500</v>
      </c>
      <c r="E2182">
        <v>10000</v>
      </c>
      <c r="F2182">
        <v>83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31</v>
      </c>
      <c r="Q2182">
        <v>0</v>
      </c>
      <c r="R2182">
        <v>0</v>
      </c>
      <c r="S2182">
        <v>0</v>
      </c>
      <c r="T2182">
        <v>7</v>
      </c>
      <c r="U2182">
        <v>14</v>
      </c>
      <c r="V2182">
        <v>0</v>
      </c>
      <c r="W2182">
        <v>0</v>
      </c>
      <c r="X2182">
        <v>0</v>
      </c>
    </row>
    <row r="2183" spans="1:24" x14ac:dyDescent="0.2">
      <c r="A2183">
        <v>21190000</v>
      </c>
      <c r="B2183" t="s">
        <v>2182</v>
      </c>
      <c r="C2183">
        <v>0</v>
      </c>
      <c r="D2183">
        <v>8100</v>
      </c>
      <c r="E2183">
        <v>10000</v>
      </c>
      <c r="F2183">
        <v>88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30</v>
      </c>
      <c r="Q2183">
        <v>0</v>
      </c>
      <c r="R2183">
        <v>0</v>
      </c>
      <c r="S2183">
        <v>0</v>
      </c>
      <c r="T2183">
        <v>6</v>
      </c>
      <c r="U2183">
        <v>10</v>
      </c>
      <c r="V2183">
        <v>0</v>
      </c>
      <c r="W2183">
        <v>0</v>
      </c>
      <c r="X2183">
        <v>0</v>
      </c>
    </row>
    <row r="2184" spans="1:24" x14ac:dyDescent="0.2">
      <c r="A2184">
        <v>21190100</v>
      </c>
      <c r="B2184" t="s">
        <v>2183</v>
      </c>
      <c r="C2184">
        <v>200</v>
      </c>
      <c r="D2184">
        <v>100</v>
      </c>
      <c r="E2184">
        <v>10000</v>
      </c>
      <c r="F2184">
        <v>88</v>
      </c>
      <c r="G2184">
        <v>0</v>
      </c>
      <c r="H2184">
        <v>0</v>
      </c>
      <c r="I2184">
        <v>0</v>
      </c>
      <c r="J2184">
        <v>0</v>
      </c>
      <c r="K2184">
        <v>1</v>
      </c>
      <c r="L2184">
        <v>0</v>
      </c>
      <c r="M2184">
        <v>0</v>
      </c>
      <c r="N2184">
        <v>0</v>
      </c>
      <c r="O2184">
        <v>0</v>
      </c>
      <c r="P2184">
        <v>30</v>
      </c>
      <c r="Q2184">
        <v>0</v>
      </c>
      <c r="R2184">
        <v>0</v>
      </c>
      <c r="S2184">
        <v>0</v>
      </c>
      <c r="T2184">
        <v>6</v>
      </c>
      <c r="U2184">
        <v>10</v>
      </c>
      <c r="V2184">
        <v>0</v>
      </c>
      <c r="W2184">
        <v>0</v>
      </c>
      <c r="X2184">
        <v>0</v>
      </c>
    </row>
    <row r="2185" spans="1:24" x14ac:dyDescent="0.2">
      <c r="A2185">
        <v>21190200</v>
      </c>
      <c r="B2185" t="s">
        <v>2184</v>
      </c>
      <c r="C2185">
        <v>100</v>
      </c>
      <c r="D2185">
        <v>200</v>
      </c>
      <c r="E2185">
        <v>10000</v>
      </c>
      <c r="F2185">
        <v>88</v>
      </c>
      <c r="G2185">
        <v>0</v>
      </c>
      <c r="H2185">
        <v>0</v>
      </c>
      <c r="I2185">
        <v>0</v>
      </c>
      <c r="J2185">
        <v>0</v>
      </c>
      <c r="K2185">
        <v>1</v>
      </c>
      <c r="L2185">
        <v>0</v>
      </c>
      <c r="M2185">
        <v>0</v>
      </c>
      <c r="N2185">
        <v>0</v>
      </c>
      <c r="O2185">
        <v>0</v>
      </c>
      <c r="P2185">
        <v>30</v>
      </c>
      <c r="Q2185">
        <v>0</v>
      </c>
      <c r="R2185">
        <v>0</v>
      </c>
      <c r="S2185">
        <v>0</v>
      </c>
      <c r="T2185">
        <v>6</v>
      </c>
      <c r="U2185">
        <v>10</v>
      </c>
      <c r="V2185">
        <v>0</v>
      </c>
      <c r="W2185">
        <v>0</v>
      </c>
      <c r="X2185">
        <v>0</v>
      </c>
    </row>
    <row r="2186" spans="1:24" x14ac:dyDescent="0.2">
      <c r="A2186">
        <v>21190300</v>
      </c>
      <c r="B2186" t="s">
        <v>2185</v>
      </c>
      <c r="C2186">
        <v>300</v>
      </c>
      <c r="D2186">
        <v>300</v>
      </c>
      <c r="E2186">
        <v>10000</v>
      </c>
      <c r="F2186">
        <v>88</v>
      </c>
      <c r="G2186">
        <v>0</v>
      </c>
      <c r="H2186">
        <v>0</v>
      </c>
      <c r="I2186">
        <v>0</v>
      </c>
      <c r="J2186">
        <v>0</v>
      </c>
      <c r="K2186">
        <v>8</v>
      </c>
      <c r="L2186">
        <v>0</v>
      </c>
      <c r="M2186">
        <v>0</v>
      </c>
      <c r="N2186">
        <v>0</v>
      </c>
      <c r="O2186">
        <v>0</v>
      </c>
      <c r="P2186">
        <v>25</v>
      </c>
      <c r="Q2186">
        <v>25</v>
      </c>
      <c r="R2186">
        <v>0</v>
      </c>
      <c r="S2186">
        <v>0</v>
      </c>
      <c r="T2186">
        <v>6</v>
      </c>
      <c r="U2186">
        <v>10</v>
      </c>
      <c r="V2186">
        <v>0</v>
      </c>
      <c r="W2186">
        <v>0</v>
      </c>
      <c r="X2186">
        <v>0</v>
      </c>
    </row>
    <row r="2187" spans="1:24" x14ac:dyDescent="0.2">
      <c r="A2187">
        <v>21190400</v>
      </c>
      <c r="B2187" t="s">
        <v>2186</v>
      </c>
      <c r="C2187">
        <v>500</v>
      </c>
      <c r="D2187">
        <v>500</v>
      </c>
      <c r="E2187">
        <v>10000</v>
      </c>
      <c r="F2187">
        <v>97</v>
      </c>
      <c r="G2187">
        <v>97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30</v>
      </c>
      <c r="Q2187">
        <v>0</v>
      </c>
      <c r="R2187">
        <v>30</v>
      </c>
      <c r="S2187">
        <v>0</v>
      </c>
      <c r="T2187">
        <v>6</v>
      </c>
      <c r="U2187">
        <v>10</v>
      </c>
      <c r="V2187">
        <v>0</v>
      </c>
      <c r="W2187">
        <v>0</v>
      </c>
      <c r="X2187">
        <v>0</v>
      </c>
    </row>
    <row r="2188" spans="1:24" x14ac:dyDescent="0.2">
      <c r="A2188">
        <v>21190500</v>
      </c>
      <c r="B2188" t="s">
        <v>2187</v>
      </c>
      <c r="C2188">
        <v>400</v>
      </c>
      <c r="D2188">
        <v>400</v>
      </c>
      <c r="E2188">
        <v>10000</v>
      </c>
      <c r="F2188">
        <v>97</v>
      </c>
      <c r="G2188">
        <v>97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30</v>
      </c>
      <c r="Q2188">
        <v>0</v>
      </c>
      <c r="R2188">
        <v>30</v>
      </c>
      <c r="S2188">
        <v>0</v>
      </c>
      <c r="T2188">
        <v>6</v>
      </c>
      <c r="U2188">
        <v>10</v>
      </c>
      <c r="V2188">
        <v>0</v>
      </c>
      <c r="W2188">
        <v>0</v>
      </c>
      <c r="X2188">
        <v>0</v>
      </c>
    </row>
    <row r="2189" spans="1:24" x14ac:dyDescent="0.2">
      <c r="A2189">
        <v>21190600</v>
      </c>
      <c r="B2189" t="s">
        <v>2188</v>
      </c>
      <c r="C2189">
        <v>600</v>
      </c>
      <c r="D2189">
        <v>600</v>
      </c>
      <c r="E2189">
        <v>10000</v>
      </c>
      <c r="F2189">
        <v>78</v>
      </c>
      <c r="G2189">
        <v>0</v>
      </c>
      <c r="H2189">
        <v>78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30</v>
      </c>
      <c r="Q2189">
        <v>0</v>
      </c>
      <c r="R2189">
        <v>0</v>
      </c>
      <c r="S2189">
        <v>0</v>
      </c>
      <c r="T2189">
        <v>6</v>
      </c>
      <c r="U2189">
        <v>10</v>
      </c>
      <c r="V2189">
        <v>0</v>
      </c>
      <c r="W2189">
        <v>0</v>
      </c>
      <c r="X2189">
        <v>0</v>
      </c>
    </row>
    <row r="2190" spans="1:24" x14ac:dyDescent="0.2">
      <c r="A2190">
        <v>21190700</v>
      </c>
      <c r="B2190" t="s">
        <v>2189</v>
      </c>
      <c r="C2190">
        <v>700</v>
      </c>
      <c r="D2190">
        <v>700</v>
      </c>
      <c r="E2190">
        <v>10000</v>
      </c>
      <c r="F2190">
        <v>97</v>
      </c>
      <c r="G2190">
        <v>0</v>
      </c>
      <c r="H2190">
        <v>97</v>
      </c>
      <c r="I2190">
        <v>0</v>
      </c>
      <c r="J2190">
        <v>0</v>
      </c>
      <c r="K2190">
        <v>0</v>
      </c>
      <c r="L2190">
        <v>0</v>
      </c>
      <c r="M2190">
        <v>4</v>
      </c>
      <c r="N2190">
        <v>0</v>
      </c>
      <c r="O2190">
        <v>0</v>
      </c>
      <c r="P2190">
        <v>30</v>
      </c>
      <c r="Q2190">
        <v>0</v>
      </c>
      <c r="R2190">
        <v>30</v>
      </c>
      <c r="S2190">
        <v>30</v>
      </c>
      <c r="T2190">
        <v>6</v>
      </c>
      <c r="U2190">
        <v>10</v>
      </c>
      <c r="V2190">
        <v>0</v>
      </c>
      <c r="W2190">
        <v>0</v>
      </c>
      <c r="X2190">
        <v>0</v>
      </c>
    </row>
    <row r="2191" spans="1:24" x14ac:dyDescent="0.2">
      <c r="A2191">
        <v>21190800</v>
      </c>
      <c r="B2191" t="s">
        <v>2190</v>
      </c>
      <c r="C2191">
        <v>800</v>
      </c>
      <c r="D2191">
        <v>800</v>
      </c>
      <c r="E2191">
        <v>10000</v>
      </c>
      <c r="F2191">
        <v>97</v>
      </c>
      <c r="G2191">
        <v>0</v>
      </c>
      <c r="H2191">
        <v>0</v>
      </c>
      <c r="I2191">
        <v>97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30</v>
      </c>
      <c r="Q2191">
        <v>0</v>
      </c>
      <c r="R2191">
        <v>0</v>
      </c>
      <c r="S2191">
        <v>30</v>
      </c>
      <c r="T2191">
        <v>6</v>
      </c>
      <c r="U2191">
        <v>10</v>
      </c>
      <c r="V2191">
        <v>0</v>
      </c>
      <c r="W2191">
        <v>0</v>
      </c>
      <c r="X2191">
        <v>0</v>
      </c>
    </row>
    <row r="2192" spans="1:24" x14ac:dyDescent="0.2">
      <c r="A2192">
        <v>21190900</v>
      </c>
      <c r="B2192" t="s">
        <v>2191</v>
      </c>
      <c r="C2192">
        <v>900</v>
      </c>
      <c r="D2192">
        <v>900</v>
      </c>
      <c r="E2192">
        <v>10000</v>
      </c>
      <c r="F2192">
        <v>78</v>
      </c>
      <c r="G2192">
        <v>0</v>
      </c>
      <c r="H2192">
        <v>0</v>
      </c>
      <c r="I2192">
        <v>0</v>
      </c>
      <c r="J2192">
        <v>78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30</v>
      </c>
      <c r="Q2192">
        <v>0</v>
      </c>
      <c r="R2192">
        <v>0</v>
      </c>
      <c r="S2192">
        <v>0</v>
      </c>
      <c r="T2192">
        <v>6</v>
      </c>
      <c r="U2192">
        <v>10</v>
      </c>
      <c r="V2192">
        <v>0</v>
      </c>
      <c r="W2192">
        <v>0</v>
      </c>
      <c r="X2192">
        <v>0</v>
      </c>
    </row>
    <row r="2193" spans="1:24" x14ac:dyDescent="0.2">
      <c r="A2193">
        <v>21191000</v>
      </c>
      <c r="B2193" t="s">
        <v>2192</v>
      </c>
      <c r="C2193">
        <v>1000</v>
      </c>
      <c r="D2193">
        <v>1000</v>
      </c>
      <c r="E2193">
        <v>10000</v>
      </c>
      <c r="F2193">
        <v>97</v>
      </c>
      <c r="G2193">
        <v>0</v>
      </c>
      <c r="H2193">
        <v>0</v>
      </c>
      <c r="I2193">
        <v>0</v>
      </c>
      <c r="J2193">
        <v>97</v>
      </c>
      <c r="K2193">
        <v>0</v>
      </c>
      <c r="L2193">
        <v>0</v>
      </c>
      <c r="M2193">
        <v>0</v>
      </c>
      <c r="N2193">
        <v>0</v>
      </c>
      <c r="O2193">
        <v>4</v>
      </c>
      <c r="P2193">
        <v>30</v>
      </c>
      <c r="Q2193">
        <v>0</v>
      </c>
      <c r="R2193">
        <v>30</v>
      </c>
      <c r="S2193">
        <v>30</v>
      </c>
      <c r="T2193">
        <v>6</v>
      </c>
      <c r="U2193">
        <v>10</v>
      </c>
      <c r="V2193">
        <v>0</v>
      </c>
      <c r="W2193">
        <v>0</v>
      </c>
      <c r="X2193">
        <v>0</v>
      </c>
    </row>
    <row r="2194" spans="1:24" x14ac:dyDescent="0.2">
      <c r="A2194">
        <v>21191100</v>
      </c>
      <c r="B2194" t="s">
        <v>2193</v>
      </c>
      <c r="C2194">
        <v>1100</v>
      </c>
      <c r="D2194">
        <v>1100</v>
      </c>
      <c r="E2194">
        <v>10000</v>
      </c>
      <c r="F2194">
        <v>88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30</v>
      </c>
      <c r="Q2194">
        <v>0</v>
      </c>
      <c r="R2194">
        <v>0</v>
      </c>
      <c r="S2194">
        <v>0</v>
      </c>
      <c r="T2194">
        <v>6</v>
      </c>
      <c r="U2194">
        <v>10</v>
      </c>
      <c r="V2194">
        <v>0</v>
      </c>
      <c r="W2194">
        <v>0</v>
      </c>
      <c r="X2194">
        <v>0</v>
      </c>
    </row>
    <row r="2195" spans="1:24" x14ac:dyDescent="0.2">
      <c r="A2195">
        <v>21191200</v>
      </c>
      <c r="B2195" t="s">
        <v>2194</v>
      </c>
      <c r="C2195">
        <v>1200</v>
      </c>
      <c r="D2195">
        <v>1200</v>
      </c>
      <c r="E2195">
        <v>10000</v>
      </c>
      <c r="F2195">
        <v>88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30</v>
      </c>
      <c r="Q2195">
        <v>0</v>
      </c>
      <c r="R2195">
        <v>0</v>
      </c>
      <c r="S2195">
        <v>0</v>
      </c>
      <c r="T2195">
        <v>6</v>
      </c>
      <c r="U2195">
        <v>10</v>
      </c>
      <c r="V2195">
        <v>0</v>
      </c>
      <c r="W2195">
        <v>0</v>
      </c>
      <c r="X2195">
        <v>0</v>
      </c>
    </row>
    <row r="2196" spans="1:24" x14ac:dyDescent="0.2">
      <c r="A2196">
        <v>21191300</v>
      </c>
      <c r="B2196" t="s">
        <v>2195</v>
      </c>
      <c r="C2196">
        <v>1300</v>
      </c>
      <c r="D2196">
        <v>1300</v>
      </c>
      <c r="E2196">
        <v>10000</v>
      </c>
      <c r="F2196">
        <v>88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30</v>
      </c>
      <c r="Q2196">
        <v>0</v>
      </c>
      <c r="R2196">
        <v>0</v>
      </c>
      <c r="S2196">
        <v>0</v>
      </c>
      <c r="T2196">
        <v>6</v>
      </c>
      <c r="U2196">
        <v>10</v>
      </c>
      <c r="V2196">
        <v>0</v>
      </c>
      <c r="W2196">
        <v>0</v>
      </c>
      <c r="X2196">
        <v>0</v>
      </c>
    </row>
    <row r="2197" spans="1:24" x14ac:dyDescent="0.2">
      <c r="A2197">
        <v>21191400</v>
      </c>
      <c r="B2197" t="s">
        <v>2196</v>
      </c>
      <c r="C2197">
        <v>1400</v>
      </c>
      <c r="D2197">
        <v>1400</v>
      </c>
      <c r="E2197">
        <v>10014</v>
      </c>
      <c r="F2197">
        <v>97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30</v>
      </c>
      <c r="Q2197">
        <v>0</v>
      </c>
      <c r="R2197">
        <v>0</v>
      </c>
      <c r="S2197">
        <v>30</v>
      </c>
      <c r="T2197">
        <v>6</v>
      </c>
      <c r="U2197">
        <v>10</v>
      </c>
      <c r="V2197">
        <v>0</v>
      </c>
      <c r="W2197">
        <v>0</v>
      </c>
      <c r="X2197">
        <v>0</v>
      </c>
    </row>
    <row r="2198" spans="1:24" x14ac:dyDescent="0.2">
      <c r="A2198">
        <v>21191500</v>
      </c>
      <c r="B2198" t="s">
        <v>2197</v>
      </c>
      <c r="C2198">
        <v>1500</v>
      </c>
      <c r="D2198">
        <v>1500</v>
      </c>
      <c r="E2198">
        <v>10015</v>
      </c>
      <c r="F2198">
        <v>88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30</v>
      </c>
      <c r="Q2198">
        <v>0</v>
      </c>
      <c r="R2198">
        <v>0</v>
      </c>
      <c r="S2198">
        <v>0</v>
      </c>
      <c r="T2198">
        <v>6</v>
      </c>
      <c r="U2198">
        <v>10</v>
      </c>
      <c r="V2198">
        <v>0</v>
      </c>
      <c r="W2198">
        <v>0</v>
      </c>
      <c r="X2198">
        <v>0</v>
      </c>
    </row>
    <row r="2199" spans="1:24" x14ac:dyDescent="0.2">
      <c r="A2199">
        <v>21200000</v>
      </c>
      <c r="B2199" t="s">
        <v>2198</v>
      </c>
      <c r="C2199">
        <v>2200</v>
      </c>
      <c r="D2199">
        <v>8500</v>
      </c>
      <c r="E2199">
        <v>10000</v>
      </c>
      <c r="F2199">
        <v>80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30</v>
      </c>
      <c r="Q2199">
        <v>0</v>
      </c>
      <c r="R2199">
        <v>0</v>
      </c>
      <c r="S2199">
        <v>0</v>
      </c>
      <c r="T2199">
        <v>6</v>
      </c>
      <c r="U2199">
        <v>10</v>
      </c>
      <c r="V2199">
        <v>0</v>
      </c>
      <c r="W2199">
        <v>0</v>
      </c>
      <c r="X2199">
        <v>0</v>
      </c>
    </row>
    <row r="2200" spans="1:24" x14ac:dyDescent="0.2">
      <c r="A2200">
        <v>21210000</v>
      </c>
      <c r="B2200" t="s">
        <v>2199</v>
      </c>
      <c r="C2200">
        <v>0</v>
      </c>
      <c r="D2200">
        <v>8100</v>
      </c>
      <c r="E2200">
        <v>10000</v>
      </c>
      <c r="F2200">
        <v>82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30</v>
      </c>
      <c r="Q2200">
        <v>0</v>
      </c>
      <c r="R2200">
        <v>0</v>
      </c>
      <c r="S2200">
        <v>0</v>
      </c>
      <c r="T2200">
        <v>6</v>
      </c>
      <c r="U2200">
        <v>12</v>
      </c>
      <c r="V2200">
        <v>0</v>
      </c>
      <c r="W2200">
        <v>0</v>
      </c>
      <c r="X2200">
        <v>0</v>
      </c>
    </row>
    <row r="2201" spans="1:24" x14ac:dyDescent="0.2">
      <c r="A2201">
        <v>21210100</v>
      </c>
      <c r="B2201" t="s">
        <v>2200</v>
      </c>
      <c r="C2201">
        <v>200</v>
      </c>
      <c r="D2201">
        <v>100</v>
      </c>
      <c r="E2201">
        <v>10000</v>
      </c>
      <c r="F2201">
        <v>82</v>
      </c>
      <c r="G2201">
        <v>0</v>
      </c>
      <c r="H2201">
        <v>0</v>
      </c>
      <c r="I2201">
        <v>0</v>
      </c>
      <c r="J2201">
        <v>0</v>
      </c>
      <c r="K2201">
        <v>1</v>
      </c>
      <c r="L2201">
        <v>0</v>
      </c>
      <c r="M2201">
        <v>0</v>
      </c>
      <c r="N2201">
        <v>0</v>
      </c>
      <c r="O2201">
        <v>0</v>
      </c>
      <c r="P2201">
        <v>30</v>
      </c>
      <c r="Q2201">
        <v>0</v>
      </c>
      <c r="R2201">
        <v>0</v>
      </c>
      <c r="S2201">
        <v>0</v>
      </c>
      <c r="T2201">
        <v>6</v>
      </c>
      <c r="U2201">
        <v>12</v>
      </c>
      <c r="V2201">
        <v>0</v>
      </c>
      <c r="W2201">
        <v>0</v>
      </c>
      <c r="X2201">
        <v>0</v>
      </c>
    </row>
    <row r="2202" spans="1:24" x14ac:dyDescent="0.2">
      <c r="A2202">
        <v>21210200</v>
      </c>
      <c r="B2202" t="s">
        <v>2201</v>
      </c>
      <c r="C2202">
        <v>100</v>
      </c>
      <c r="D2202">
        <v>200</v>
      </c>
      <c r="E2202">
        <v>10000</v>
      </c>
      <c r="F2202">
        <v>82</v>
      </c>
      <c r="G2202">
        <v>0</v>
      </c>
      <c r="H2202">
        <v>0</v>
      </c>
      <c r="I2202">
        <v>0</v>
      </c>
      <c r="J2202">
        <v>0</v>
      </c>
      <c r="K2202">
        <v>1</v>
      </c>
      <c r="L2202">
        <v>0</v>
      </c>
      <c r="M2202">
        <v>0</v>
      </c>
      <c r="N2202">
        <v>0</v>
      </c>
      <c r="O2202">
        <v>0</v>
      </c>
      <c r="P2202">
        <v>30</v>
      </c>
      <c r="Q2202">
        <v>0</v>
      </c>
      <c r="R2202">
        <v>0</v>
      </c>
      <c r="S2202">
        <v>0</v>
      </c>
      <c r="T2202">
        <v>6</v>
      </c>
      <c r="U2202">
        <v>12</v>
      </c>
      <c r="V2202">
        <v>0</v>
      </c>
      <c r="W2202">
        <v>0</v>
      </c>
      <c r="X2202">
        <v>0</v>
      </c>
    </row>
    <row r="2203" spans="1:24" x14ac:dyDescent="0.2">
      <c r="A2203">
        <v>21210300</v>
      </c>
      <c r="B2203" t="s">
        <v>2202</v>
      </c>
      <c r="C2203">
        <v>300</v>
      </c>
      <c r="D2203">
        <v>300</v>
      </c>
      <c r="E2203">
        <v>10000</v>
      </c>
      <c r="F2203">
        <v>82</v>
      </c>
      <c r="G2203">
        <v>0</v>
      </c>
      <c r="H2203">
        <v>0</v>
      </c>
      <c r="I2203">
        <v>0</v>
      </c>
      <c r="J2203">
        <v>0</v>
      </c>
      <c r="K2203">
        <v>8</v>
      </c>
      <c r="L2203">
        <v>0</v>
      </c>
      <c r="M2203">
        <v>0</v>
      </c>
      <c r="N2203">
        <v>0</v>
      </c>
      <c r="O2203">
        <v>0</v>
      </c>
      <c r="P2203">
        <v>25</v>
      </c>
      <c r="Q2203">
        <v>25</v>
      </c>
      <c r="R2203">
        <v>0</v>
      </c>
      <c r="S2203">
        <v>0</v>
      </c>
      <c r="T2203">
        <v>6</v>
      </c>
      <c r="U2203">
        <v>12</v>
      </c>
      <c r="V2203">
        <v>0</v>
      </c>
      <c r="W2203">
        <v>0</v>
      </c>
      <c r="X2203">
        <v>0</v>
      </c>
    </row>
    <row r="2204" spans="1:24" x14ac:dyDescent="0.2">
      <c r="A2204">
        <v>21210400</v>
      </c>
      <c r="B2204" t="s">
        <v>2203</v>
      </c>
      <c r="C2204">
        <v>500</v>
      </c>
      <c r="D2204">
        <v>500</v>
      </c>
      <c r="E2204">
        <v>10000</v>
      </c>
      <c r="F2204">
        <v>91</v>
      </c>
      <c r="G2204">
        <v>91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30</v>
      </c>
      <c r="Q2204">
        <v>0</v>
      </c>
      <c r="R2204">
        <v>30</v>
      </c>
      <c r="S2204">
        <v>0</v>
      </c>
      <c r="T2204">
        <v>6</v>
      </c>
      <c r="U2204">
        <v>12</v>
      </c>
      <c r="V2204">
        <v>0</v>
      </c>
      <c r="W2204">
        <v>0</v>
      </c>
      <c r="X2204">
        <v>0</v>
      </c>
    </row>
    <row r="2205" spans="1:24" x14ac:dyDescent="0.2">
      <c r="A2205">
        <v>21210500</v>
      </c>
      <c r="B2205" t="s">
        <v>2204</v>
      </c>
      <c r="C2205">
        <v>400</v>
      </c>
      <c r="D2205">
        <v>400</v>
      </c>
      <c r="E2205">
        <v>10000</v>
      </c>
      <c r="F2205">
        <v>91</v>
      </c>
      <c r="G2205">
        <v>91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30</v>
      </c>
      <c r="Q2205">
        <v>0</v>
      </c>
      <c r="R2205">
        <v>30</v>
      </c>
      <c r="S2205">
        <v>0</v>
      </c>
      <c r="T2205">
        <v>6</v>
      </c>
      <c r="U2205">
        <v>12</v>
      </c>
      <c r="V2205">
        <v>0</v>
      </c>
      <c r="W2205">
        <v>0</v>
      </c>
      <c r="X2205">
        <v>0</v>
      </c>
    </row>
    <row r="2206" spans="1:24" x14ac:dyDescent="0.2">
      <c r="A2206">
        <v>21210600</v>
      </c>
      <c r="B2206" t="s">
        <v>2205</v>
      </c>
      <c r="C2206">
        <v>600</v>
      </c>
      <c r="D2206">
        <v>600</v>
      </c>
      <c r="E2206">
        <v>10000</v>
      </c>
      <c r="F2206">
        <v>72</v>
      </c>
      <c r="G2206">
        <v>0</v>
      </c>
      <c r="H2206">
        <v>72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30</v>
      </c>
      <c r="Q2206">
        <v>0</v>
      </c>
      <c r="R2206">
        <v>0</v>
      </c>
      <c r="S2206">
        <v>0</v>
      </c>
      <c r="T2206">
        <v>6</v>
      </c>
      <c r="U2206">
        <v>12</v>
      </c>
      <c r="V2206">
        <v>0</v>
      </c>
      <c r="W2206">
        <v>0</v>
      </c>
      <c r="X2206">
        <v>0</v>
      </c>
    </row>
    <row r="2207" spans="1:24" x14ac:dyDescent="0.2">
      <c r="A2207">
        <v>21210700</v>
      </c>
      <c r="B2207" t="s">
        <v>2206</v>
      </c>
      <c r="C2207">
        <v>700</v>
      </c>
      <c r="D2207">
        <v>700</v>
      </c>
      <c r="E2207">
        <v>10000</v>
      </c>
      <c r="F2207">
        <v>91</v>
      </c>
      <c r="G2207">
        <v>0</v>
      </c>
      <c r="H2207">
        <v>91</v>
      </c>
      <c r="I2207">
        <v>0</v>
      </c>
      <c r="J2207">
        <v>0</v>
      </c>
      <c r="K2207">
        <v>0</v>
      </c>
      <c r="L2207">
        <v>0</v>
      </c>
      <c r="M2207">
        <v>4</v>
      </c>
      <c r="N2207">
        <v>0</v>
      </c>
      <c r="O2207">
        <v>0</v>
      </c>
      <c r="P2207">
        <v>30</v>
      </c>
      <c r="Q2207">
        <v>0</v>
      </c>
      <c r="R2207">
        <v>30</v>
      </c>
      <c r="S2207">
        <v>30</v>
      </c>
      <c r="T2207">
        <v>6</v>
      </c>
      <c r="U2207">
        <v>12</v>
      </c>
      <c r="V2207">
        <v>0</v>
      </c>
      <c r="W2207">
        <v>0</v>
      </c>
      <c r="X2207">
        <v>0</v>
      </c>
    </row>
    <row r="2208" spans="1:24" x14ac:dyDescent="0.2">
      <c r="A2208">
        <v>21210800</v>
      </c>
      <c r="B2208" t="s">
        <v>2207</v>
      </c>
      <c r="C2208">
        <v>800</v>
      </c>
      <c r="D2208">
        <v>800</v>
      </c>
      <c r="E2208">
        <v>10000</v>
      </c>
      <c r="F2208">
        <v>91</v>
      </c>
      <c r="G2208">
        <v>0</v>
      </c>
      <c r="H2208">
        <v>0</v>
      </c>
      <c r="I2208">
        <v>91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30</v>
      </c>
      <c r="Q2208">
        <v>0</v>
      </c>
      <c r="R2208">
        <v>0</v>
      </c>
      <c r="S2208">
        <v>30</v>
      </c>
      <c r="T2208">
        <v>6</v>
      </c>
      <c r="U2208">
        <v>12</v>
      </c>
      <c r="V2208">
        <v>0</v>
      </c>
      <c r="W2208">
        <v>0</v>
      </c>
      <c r="X2208">
        <v>0</v>
      </c>
    </row>
    <row r="2209" spans="1:24" x14ac:dyDescent="0.2">
      <c r="A2209">
        <v>21210900</v>
      </c>
      <c r="B2209" t="s">
        <v>2208</v>
      </c>
      <c r="C2209">
        <v>900</v>
      </c>
      <c r="D2209">
        <v>900</v>
      </c>
      <c r="E2209">
        <v>10000</v>
      </c>
      <c r="F2209">
        <v>72</v>
      </c>
      <c r="G2209">
        <v>0</v>
      </c>
      <c r="H2209">
        <v>0</v>
      </c>
      <c r="I2209">
        <v>0</v>
      </c>
      <c r="J2209">
        <v>72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30</v>
      </c>
      <c r="Q2209">
        <v>0</v>
      </c>
      <c r="R2209">
        <v>0</v>
      </c>
      <c r="S2209">
        <v>0</v>
      </c>
      <c r="T2209">
        <v>6</v>
      </c>
      <c r="U2209">
        <v>12</v>
      </c>
      <c r="V2209">
        <v>0</v>
      </c>
      <c r="W2209">
        <v>0</v>
      </c>
      <c r="X2209">
        <v>0</v>
      </c>
    </row>
    <row r="2210" spans="1:24" x14ac:dyDescent="0.2">
      <c r="A2210">
        <v>21211000</v>
      </c>
      <c r="B2210" t="s">
        <v>2209</v>
      </c>
      <c r="C2210">
        <v>1000</v>
      </c>
      <c r="D2210">
        <v>1000</v>
      </c>
      <c r="E2210">
        <v>10000</v>
      </c>
      <c r="F2210">
        <v>91</v>
      </c>
      <c r="G2210">
        <v>0</v>
      </c>
      <c r="H2210">
        <v>0</v>
      </c>
      <c r="I2210">
        <v>0</v>
      </c>
      <c r="J2210">
        <v>91</v>
      </c>
      <c r="K2210">
        <v>0</v>
      </c>
      <c r="L2210">
        <v>0</v>
      </c>
      <c r="M2210">
        <v>0</v>
      </c>
      <c r="N2210">
        <v>0</v>
      </c>
      <c r="O2210">
        <v>4</v>
      </c>
      <c r="P2210">
        <v>30</v>
      </c>
      <c r="Q2210">
        <v>0</v>
      </c>
      <c r="R2210">
        <v>30</v>
      </c>
      <c r="S2210">
        <v>30</v>
      </c>
      <c r="T2210">
        <v>6</v>
      </c>
      <c r="U2210">
        <v>12</v>
      </c>
      <c r="V2210">
        <v>0</v>
      </c>
      <c r="W2210">
        <v>0</v>
      </c>
      <c r="X2210">
        <v>0</v>
      </c>
    </row>
    <row r="2211" spans="1:24" x14ac:dyDescent="0.2">
      <c r="A2211">
        <v>21211100</v>
      </c>
      <c r="B2211" t="s">
        <v>2210</v>
      </c>
      <c r="C2211">
        <v>1100</v>
      </c>
      <c r="D2211">
        <v>1100</v>
      </c>
      <c r="E2211">
        <v>10000</v>
      </c>
      <c r="F2211">
        <v>82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30</v>
      </c>
      <c r="Q2211">
        <v>0</v>
      </c>
      <c r="R2211">
        <v>0</v>
      </c>
      <c r="S2211">
        <v>0</v>
      </c>
      <c r="T2211">
        <v>6</v>
      </c>
      <c r="U2211">
        <v>12</v>
      </c>
      <c r="V2211">
        <v>0</v>
      </c>
      <c r="W2211">
        <v>0</v>
      </c>
      <c r="X2211">
        <v>0</v>
      </c>
    </row>
    <row r="2212" spans="1:24" x14ac:dyDescent="0.2">
      <c r="A2212">
        <v>21211200</v>
      </c>
      <c r="B2212" t="s">
        <v>2211</v>
      </c>
      <c r="C2212">
        <v>1200</v>
      </c>
      <c r="D2212">
        <v>1200</v>
      </c>
      <c r="E2212">
        <v>10000</v>
      </c>
      <c r="F2212">
        <v>82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30</v>
      </c>
      <c r="Q2212">
        <v>0</v>
      </c>
      <c r="R2212">
        <v>0</v>
      </c>
      <c r="S2212">
        <v>0</v>
      </c>
      <c r="T2212">
        <v>6</v>
      </c>
      <c r="U2212">
        <v>12</v>
      </c>
      <c r="V2212">
        <v>0</v>
      </c>
      <c r="W2212">
        <v>0</v>
      </c>
      <c r="X2212">
        <v>0</v>
      </c>
    </row>
    <row r="2213" spans="1:24" x14ac:dyDescent="0.2">
      <c r="A2213">
        <v>21211300</v>
      </c>
      <c r="B2213" t="s">
        <v>2212</v>
      </c>
      <c r="C2213">
        <v>1300</v>
      </c>
      <c r="D2213">
        <v>1300</v>
      </c>
      <c r="E2213">
        <v>10000</v>
      </c>
      <c r="F2213">
        <v>82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30</v>
      </c>
      <c r="Q2213">
        <v>0</v>
      </c>
      <c r="R2213">
        <v>0</v>
      </c>
      <c r="S2213">
        <v>0</v>
      </c>
      <c r="T2213">
        <v>6</v>
      </c>
      <c r="U2213">
        <v>12</v>
      </c>
      <c r="V2213">
        <v>0</v>
      </c>
      <c r="W2213">
        <v>0</v>
      </c>
      <c r="X2213">
        <v>0</v>
      </c>
    </row>
    <row r="2214" spans="1:24" x14ac:dyDescent="0.2">
      <c r="A2214">
        <v>21211400</v>
      </c>
      <c r="B2214" t="s">
        <v>2213</v>
      </c>
      <c r="C2214">
        <v>1400</v>
      </c>
      <c r="D2214">
        <v>1400</v>
      </c>
      <c r="E2214">
        <v>10014</v>
      </c>
      <c r="F2214">
        <v>91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30</v>
      </c>
      <c r="Q2214">
        <v>0</v>
      </c>
      <c r="R2214">
        <v>0</v>
      </c>
      <c r="S2214">
        <v>30</v>
      </c>
      <c r="T2214">
        <v>6</v>
      </c>
      <c r="U2214">
        <v>12</v>
      </c>
      <c r="V2214">
        <v>0</v>
      </c>
      <c r="W2214">
        <v>0</v>
      </c>
      <c r="X2214">
        <v>0</v>
      </c>
    </row>
    <row r="2215" spans="1:24" x14ac:dyDescent="0.2">
      <c r="A2215">
        <v>21211500</v>
      </c>
      <c r="B2215" t="s">
        <v>2214</v>
      </c>
      <c r="C2215">
        <v>1500</v>
      </c>
      <c r="D2215">
        <v>1500</v>
      </c>
      <c r="E2215">
        <v>10015</v>
      </c>
      <c r="F2215">
        <v>82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30</v>
      </c>
      <c r="Q2215">
        <v>0</v>
      </c>
      <c r="R2215">
        <v>0</v>
      </c>
      <c r="S2215">
        <v>0</v>
      </c>
      <c r="T2215">
        <v>6</v>
      </c>
      <c r="U2215">
        <v>12</v>
      </c>
      <c r="V2215">
        <v>0</v>
      </c>
      <c r="W2215">
        <v>0</v>
      </c>
      <c r="X2215">
        <v>0</v>
      </c>
    </row>
    <row r="2216" spans="1:24" x14ac:dyDescent="0.2">
      <c r="A2216">
        <v>21220000</v>
      </c>
      <c r="B2216" t="s">
        <v>2215</v>
      </c>
      <c r="C2216">
        <v>2200</v>
      </c>
      <c r="D2216">
        <v>8500</v>
      </c>
      <c r="E2216">
        <v>10000</v>
      </c>
      <c r="F2216">
        <v>89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31</v>
      </c>
      <c r="Q2216">
        <v>0</v>
      </c>
      <c r="R2216">
        <v>0</v>
      </c>
      <c r="S2216">
        <v>0</v>
      </c>
      <c r="T2216">
        <v>7</v>
      </c>
      <c r="U2216">
        <v>14</v>
      </c>
      <c r="V2216">
        <v>0</v>
      </c>
      <c r="W2216">
        <v>0</v>
      </c>
      <c r="X2216">
        <v>0</v>
      </c>
    </row>
    <row r="2217" spans="1:24" x14ac:dyDescent="0.2">
      <c r="A2217">
        <v>21230000</v>
      </c>
      <c r="B2217" t="s">
        <v>2216</v>
      </c>
      <c r="C2217">
        <v>0</v>
      </c>
      <c r="D2217">
        <v>8100</v>
      </c>
      <c r="E2217">
        <v>10000</v>
      </c>
      <c r="F2217">
        <v>77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29</v>
      </c>
      <c r="Q2217">
        <v>0</v>
      </c>
      <c r="R2217">
        <v>0</v>
      </c>
      <c r="S2217">
        <v>0</v>
      </c>
      <c r="T2217">
        <v>6</v>
      </c>
      <c r="U2217">
        <v>8</v>
      </c>
      <c r="V2217">
        <v>0</v>
      </c>
      <c r="W2217">
        <v>0</v>
      </c>
      <c r="X2217">
        <v>0</v>
      </c>
    </row>
    <row r="2218" spans="1:24" x14ac:dyDescent="0.2">
      <c r="A2218">
        <v>21230100</v>
      </c>
      <c r="B2218" t="s">
        <v>2217</v>
      </c>
      <c r="C2218">
        <v>200</v>
      </c>
      <c r="D2218">
        <v>100</v>
      </c>
      <c r="E2218">
        <v>10000</v>
      </c>
      <c r="F2218">
        <v>77</v>
      </c>
      <c r="G2218">
        <v>0</v>
      </c>
      <c r="H2218">
        <v>0</v>
      </c>
      <c r="I2218">
        <v>0</v>
      </c>
      <c r="J2218">
        <v>0</v>
      </c>
      <c r="K2218">
        <v>1</v>
      </c>
      <c r="L2218">
        <v>0</v>
      </c>
      <c r="M2218">
        <v>0</v>
      </c>
      <c r="N2218">
        <v>0</v>
      </c>
      <c r="O2218">
        <v>0</v>
      </c>
      <c r="P2218">
        <v>29</v>
      </c>
      <c r="Q2218">
        <v>0</v>
      </c>
      <c r="R2218">
        <v>0</v>
      </c>
      <c r="S2218">
        <v>0</v>
      </c>
      <c r="T2218">
        <v>6</v>
      </c>
      <c r="U2218">
        <v>8</v>
      </c>
      <c r="V2218">
        <v>0</v>
      </c>
      <c r="W2218">
        <v>0</v>
      </c>
      <c r="X2218">
        <v>0</v>
      </c>
    </row>
    <row r="2219" spans="1:24" x14ac:dyDescent="0.2">
      <c r="A2219">
        <v>21230200</v>
      </c>
      <c r="B2219" t="s">
        <v>2218</v>
      </c>
      <c r="C2219">
        <v>100</v>
      </c>
      <c r="D2219">
        <v>200</v>
      </c>
      <c r="E2219">
        <v>10000</v>
      </c>
      <c r="F2219">
        <v>77</v>
      </c>
      <c r="G2219">
        <v>0</v>
      </c>
      <c r="H2219">
        <v>0</v>
      </c>
      <c r="I2219">
        <v>0</v>
      </c>
      <c r="J2219">
        <v>0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29</v>
      </c>
      <c r="Q2219">
        <v>0</v>
      </c>
      <c r="R2219">
        <v>0</v>
      </c>
      <c r="S2219">
        <v>0</v>
      </c>
      <c r="T2219">
        <v>6</v>
      </c>
      <c r="U2219">
        <v>8</v>
      </c>
      <c r="V2219">
        <v>0</v>
      </c>
      <c r="W2219">
        <v>0</v>
      </c>
      <c r="X2219">
        <v>0</v>
      </c>
    </row>
    <row r="2220" spans="1:24" x14ac:dyDescent="0.2">
      <c r="A2220">
        <v>21230300</v>
      </c>
      <c r="B2220" t="s">
        <v>2219</v>
      </c>
      <c r="C2220">
        <v>300</v>
      </c>
      <c r="D2220">
        <v>300</v>
      </c>
      <c r="E2220">
        <v>10000</v>
      </c>
      <c r="F2220">
        <v>77</v>
      </c>
      <c r="G2220">
        <v>0</v>
      </c>
      <c r="H2220">
        <v>0</v>
      </c>
      <c r="I2220">
        <v>0</v>
      </c>
      <c r="J2220">
        <v>0</v>
      </c>
      <c r="K2220">
        <v>8</v>
      </c>
      <c r="L2220">
        <v>0</v>
      </c>
      <c r="M2220">
        <v>0</v>
      </c>
      <c r="N2220">
        <v>0</v>
      </c>
      <c r="O2220">
        <v>0</v>
      </c>
      <c r="P2220">
        <v>24</v>
      </c>
      <c r="Q2220">
        <v>24</v>
      </c>
      <c r="R2220">
        <v>0</v>
      </c>
      <c r="S2220">
        <v>0</v>
      </c>
      <c r="T2220">
        <v>6</v>
      </c>
      <c r="U2220">
        <v>8</v>
      </c>
      <c r="V2220">
        <v>0</v>
      </c>
      <c r="W2220">
        <v>0</v>
      </c>
      <c r="X2220">
        <v>0</v>
      </c>
    </row>
    <row r="2221" spans="1:24" x14ac:dyDescent="0.2">
      <c r="A2221">
        <v>21230400</v>
      </c>
      <c r="B2221" t="s">
        <v>2220</v>
      </c>
      <c r="C2221">
        <v>500</v>
      </c>
      <c r="D2221">
        <v>500</v>
      </c>
      <c r="E2221">
        <v>10000</v>
      </c>
      <c r="F2221">
        <v>86</v>
      </c>
      <c r="G2221">
        <v>86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29</v>
      </c>
      <c r="Q2221">
        <v>0</v>
      </c>
      <c r="R2221">
        <v>29</v>
      </c>
      <c r="S2221">
        <v>0</v>
      </c>
      <c r="T2221">
        <v>6</v>
      </c>
      <c r="U2221">
        <v>8</v>
      </c>
      <c r="V2221">
        <v>0</v>
      </c>
      <c r="W2221">
        <v>0</v>
      </c>
      <c r="X2221">
        <v>0</v>
      </c>
    </row>
    <row r="2222" spans="1:24" x14ac:dyDescent="0.2">
      <c r="A2222">
        <v>21230500</v>
      </c>
      <c r="B2222" t="s">
        <v>2221</v>
      </c>
      <c r="C2222">
        <v>400</v>
      </c>
      <c r="D2222">
        <v>400</v>
      </c>
      <c r="E2222">
        <v>10000</v>
      </c>
      <c r="F2222">
        <v>86</v>
      </c>
      <c r="G2222">
        <v>86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29</v>
      </c>
      <c r="Q2222">
        <v>0</v>
      </c>
      <c r="R2222">
        <v>29</v>
      </c>
      <c r="S2222">
        <v>0</v>
      </c>
      <c r="T2222">
        <v>6</v>
      </c>
      <c r="U2222">
        <v>8</v>
      </c>
      <c r="V2222">
        <v>0</v>
      </c>
      <c r="W2222">
        <v>0</v>
      </c>
      <c r="X2222">
        <v>0</v>
      </c>
    </row>
    <row r="2223" spans="1:24" x14ac:dyDescent="0.2">
      <c r="A2223">
        <v>21230600</v>
      </c>
      <c r="B2223" t="s">
        <v>2222</v>
      </c>
      <c r="C2223">
        <v>600</v>
      </c>
      <c r="D2223">
        <v>600</v>
      </c>
      <c r="E2223">
        <v>10000</v>
      </c>
      <c r="F2223">
        <v>67</v>
      </c>
      <c r="G2223">
        <v>0</v>
      </c>
      <c r="H2223">
        <v>67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29</v>
      </c>
      <c r="Q2223">
        <v>0</v>
      </c>
      <c r="R2223">
        <v>0</v>
      </c>
      <c r="S2223">
        <v>0</v>
      </c>
      <c r="T2223">
        <v>6</v>
      </c>
      <c r="U2223">
        <v>8</v>
      </c>
      <c r="V2223">
        <v>0</v>
      </c>
      <c r="W2223">
        <v>0</v>
      </c>
      <c r="X2223">
        <v>0</v>
      </c>
    </row>
    <row r="2224" spans="1:24" x14ac:dyDescent="0.2">
      <c r="A2224">
        <v>21230700</v>
      </c>
      <c r="B2224" t="s">
        <v>2223</v>
      </c>
      <c r="C2224">
        <v>700</v>
      </c>
      <c r="D2224">
        <v>700</v>
      </c>
      <c r="E2224">
        <v>10000</v>
      </c>
      <c r="F2224">
        <v>86</v>
      </c>
      <c r="G2224">
        <v>0</v>
      </c>
      <c r="H2224">
        <v>86</v>
      </c>
      <c r="I2224">
        <v>0</v>
      </c>
      <c r="J2224">
        <v>0</v>
      </c>
      <c r="K2224">
        <v>0</v>
      </c>
      <c r="L2224">
        <v>0</v>
      </c>
      <c r="M2224">
        <v>4</v>
      </c>
      <c r="N2224">
        <v>0</v>
      </c>
      <c r="O2224">
        <v>0</v>
      </c>
      <c r="P2224">
        <v>29</v>
      </c>
      <c r="Q2224">
        <v>0</v>
      </c>
      <c r="R2224">
        <v>29</v>
      </c>
      <c r="S2224">
        <v>29</v>
      </c>
      <c r="T2224">
        <v>6</v>
      </c>
      <c r="U2224">
        <v>8</v>
      </c>
      <c r="V2224">
        <v>0</v>
      </c>
      <c r="W2224">
        <v>0</v>
      </c>
      <c r="X2224">
        <v>0</v>
      </c>
    </row>
    <row r="2225" spans="1:24" x14ac:dyDescent="0.2">
      <c r="A2225">
        <v>21230800</v>
      </c>
      <c r="B2225" t="s">
        <v>2224</v>
      </c>
      <c r="C2225">
        <v>800</v>
      </c>
      <c r="D2225">
        <v>800</v>
      </c>
      <c r="E2225">
        <v>10000</v>
      </c>
      <c r="F2225">
        <v>86</v>
      </c>
      <c r="G2225">
        <v>0</v>
      </c>
      <c r="H2225">
        <v>0</v>
      </c>
      <c r="I2225">
        <v>86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29</v>
      </c>
      <c r="Q2225">
        <v>0</v>
      </c>
      <c r="R2225">
        <v>0</v>
      </c>
      <c r="S2225">
        <v>29</v>
      </c>
      <c r="T2225">
        <v>6</v>
      </c>
      <c r="U2225">
        <v>8</v>
      </c>
      <c r="V2225">
        <v>0</v>
      </c>
      <c r="W2225">
        <v>0</v>
      </c>
      <c r="X2225">
        <v>0</v>
      </c>
    </row>
    <row r="2226" spans="1:24" x14ac:dyDescent="0.2">
      <c r="A2226">
        <v>21230900</v>
      </c>
      <c r="B2226" t="s">
        <v>2225</v>
      </c>
      <c r="C2226">
        <v>900</v>
      </c>
      <c r="D2226">
        <v>900</v>
      </c>
      <c r="E2226">
        <v>10000</v>
      </c>
      <c r="F2226">
        <v>67</v>
      </c>
      <c r="G2226">
        <v>0</v>
      </c>
      <c r="H2226">
        <v>0</v>
      </c>
      <c r="I2226">
        <v>0</v>
      </c>
      <c r="J2226">
        <v>67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29</v>
      </c>
      <c r="Q2226">
        <v>0</v>
      </c>
      <c r="R2226">
        <v>0</v>
      </c>
      <c r="S2226">
        <v>0</v>
      </c>
      <c r="T2226">
        <v>6</v>
      </c>
      <c r="U2226">
        <v>8</v>
      </c>
      <c r="V2226">
        <v>0</v>
      </c>
      <c r="W2226">
        <v>0</v>
      </c>
      <c r="X2226">
        <v>0</v>
      </c>
    </row>
    <row r="2227" spans="1:24" x14ac:dyDescent="0.2">
      <c r="A2227">
        <v>21231000</v>
      </c>
      <c r="B2227" t="s">
        <v>2226</v>
      </c>
      <c r="C2227">
        <v>1000</v>
      </c>
      <c r="D2227">
        <v>1000</v>
      </c>
      <c r="E2227">
        <v>10000</v>
      </c>
      <c r="F2227">
        <v>86</v>
      </c>
      <c r="G2227">
        <v>0</v>
      </c>
      <c r="H2227">
        <v>0</v>
      </c>
      <c r="I2227">
        <v>0</v>
      </c>
      <c r="J2227">
        <v>86</v>
      </c>
      <c r="K2227">
        <v>0</v>
      </c>
      <c r="L2227">
        <v>0</v>
      </c>
      <c r="M2227">
        <v>0</v>
      </c>
      <c r="N2227">
        <v>0</v>
      </c>
      <c r="O2227">
        <v>4</v>
      </c>
      <c r="P2227">
        <v>29</v>
      </c>
      <c r="Q2227">
        <v>0</v>
      </c>
      <c r="R2227">
        <v>29</v>
      </c>
      <c r="S2227">
        <v>29</v>
      </c>
      <c r="T2227">
        <v>6</v>
      </c>
      <c r="U2227">
        <v>8</v>
      </c>
      <c r="V2227">
        <v>0</v>
      </c>
      <c r="W2227">
        <v>0</v>
      </c>
      <c r="X2227">
        <v>0</v>
      </c>
    </row>
    <row r="2228" spans="1:24" x14ac:dyDescent="0.2">
      <c r="A2228">
        <v>21231100</v>
      </c>
      <c r="B2228" t="s">
        <v>2227</v>
      </c>
      <c r="C2228">
        <v>1100</v>
      </c>
      <c r="D2228">
        <v>1100</v>
      </c>
      <c r="E2228">
        <v>10000</v>
      </c>
      <c r="F2228">
        <v>77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29</v>
      </c>
      <c r="Q2228">
        <v>0</v>
      </c>
      <c r="R2228">
        <v>0</v>
      </c>
      <c r="S2228">
        <v>0</v>
      </c>
      <c r="T2228">
        <v>6</v>
      </c>
      <c r="U2228">
        <v>8</v>
      </c>
      <c r="V2228">
        <v>0</v>
      </c>
      <c r="W2228">
        <v>0</v>
      </c>
      <c r="X2228">
        <v>0</v>
      </c>
    </row>
    <row r="2229" spans="1:24" x14ac:dyDescent="0.2">
      <c r="A2229">
        <v>21231200</v>
      </c>
      <c r="B2229" t="s">
        <v>2228</v>
      </c>
      <c r="C2229">
        <v>1200</v>
      </c>
      <c r="D2229">
        <v>1200</v>
      </c>
      <c r="E2229">
        <v>10000</v>
      </c>
      <c r="F2229">
        <v>77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29</v>
      </c>
      <c r="Q2229">
        <v>0</v>
      </c>
      <c r="R2229">
        <v>0</v>
      </c>
      <c r="S2229">
        <v>0</v>
      </c>
      <c r="T2229">
        <v>6</v>
      </c>
      <c r="U2229">
        <v>8</v>
      </c>
      <c r="V2229">
        <v>0</v>
      </c>
      <c r="W2229">
        <v>0</v>
      </c>
      <c r="X2229">
        <v>0</v>
      </c>
    </row>
    <row r="2230" spans="1:24" x14ac:dyDescent="0.2">
      <c r="A2230">
        <v>21231300</v>
      </c>
      <c r="B2230" t="s">
        <v>2229</v>
      </c>
      <c r="C2230">
        <v>1300</v>
      </c>
      <c r="D2230">
        <v>1300</v>
      </c>
      <c r="E2230">
        <v>10000</v>
      </c>
      <c r="F2230">
        <v>77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29</v>
      </c>
      <c r="Q2230">
        <v>0</v>
      </c>
      <c r="R2230">
        <v>0</v>
      </c>
      <c r="S2230">
        <v>0</v>
      </c>
      <c r="T2230">
        <v>6</v>
      </c>
      <c r="U2230">
        <v>8</v>
      </c>
      <c r="V2230">
        <v>0</v>
      </c>
      <c r="W2230">
        <v>0</v>
      </c>
      <c r="X2230">
        <v>0</v>
      </c>
    </row>
    <row r="2231" spans="1:24" x14ac:dyDescent="0.2">
      <c r="A2231">
        <v>21231400</v>
      </c>
      <c r="B2231" t="s">
        <v>2230</v>
      </c>
      <c r="C2231">
        <v>1400</v>
      </c>
      <c r="D2231">
        <v>1400</v>
      </c>
      <c r="E2231">
        <v>10014</v>
      </c>
      <c r="F2231">
        <v>86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29</v>
      </c>
      <c r="Q2231">
        <v>0</v>
      </c>
      <c r="R2231">
        <v>0</v>
      </c>
      <c r="S2231">
        <v>29</v>
      </c>
      <c r="T2231">
        <v>6</v>
      </c>
      <c r="U2231">
        <v>8</v>
      </c>
      <c r="V2231">
        <v>0</v>
      </c>
      <c r="W2231">
        <v>0</v>
      </c>
      <c r="X2231">
        <v>0</v>
      </c>
    </row>
    <row r="2232" spans="1:24" x14ac:dyDescent="0.2">
      <c r="A2232">
        <v>21231500</v>
      </c>
      <c r="B2232" t="s">
        <v>2231</v>
      </c>
      <c r="C2232">
        <v>1500</v>
      </c>
      <c r="D2232">
        <v>1500</v>
      </c>
      <c r="E2232">
        <v>10015</v>
      </c>
      <c r="F2232">
        <v>77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29</v>
      </c>
      <c r="Q2232">
        <v>0</v>
      </c>
      <c r="R2232">
        <v>0</v>
      </c>
      <c r="S2232">
        <v>0</v>
      </c>
      <c r="T2232">
        <v>6</v>
      </c>
      <c r="U2232">
        <v>8</v>
      </c>
      <c r="V2232">
        <v>0</v>
      </c>
      <c r="W2232">
        <v>0</v>
      </c>
      <c r="X2232">
        <v>0</v>
      </c>
    </row>
    <row r="2233" spans="1:24" x14ac:dyDescent="0.2">
      <c r="A2233">
        <v>21240000</v>
      </c>
      <c r="B2233" t="s">
        <v>2232</v>
      </c>
      <c r="C2233">
        <v>0</v>
      </c>
      <c r="D2233">
        <v>8100</v>
      </c>
      <c r="E2233">
        <v>10000</v>
      </c>
      <c r="F2233">
        <v>88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29</v>
      </c>
      <c r="Q2233">
        <v>0</v>
      </c>
      <c r="R2233">
        <v>0</v>
      </c>
      <c r="S2233">
        <v>0</v>
      </c>
      <c r="T2233">
        <v>6</v>
      </c>
      <c r="U2233">
        <v>11</v>
      </c>
      <c r="V2233">
        <v>0</v>
      </c>
      <c r="W2233">
        <v>0</v>
      </c>
      <c r="X2233">
        <v>0</v>
      </c>
    </row>
    <row r="2234" spans="1:24" x14ac:dyDescent="0.2">
      <c r="A2234">
        <v>21240100</v>
      </c>
      <c r="B2234" t="s">
        <v>2233</v>
      </c>
      <c r="C2234">
        <v>200</v>
      </c>
      <c r="D2234">
        <v>100</v>
      </c>
      <c r="E2234">
        <v>10000</v>
      </c>
      <c r="F2234">
        <v>88</v>
      </c>
      <c r="G2234">
        <v>0</v>
      </c>
      <c r="H2234">
        <v>0</v>
      </c>
      <c r="I2234">
        <v>0</v>
      </c>
      <c r="J2234">
        <v>0</v>
      </c>
      <c r="K2234">
        <v>1</v>
      </c>
      <c r="L2234">
        <v>0</v>
      </c>
      <c r="M2234">
        <v>0</v>
      </c>
      <c r="N2234">
        <v>0</v>
      </c>
      <c r="O2234">
        <v>0</v>
      </c>
      <c r="P2234">
        <v>29</v>
      </c>
      <c r="Q2234">
        <v>0</v>
      </c>
      <c r="R2234">
        <v>0</v>
      </c>
      <c r="S2234">
        <v>0</v>
      </c>
      <c r="T2234">
        <v>6</v>
      </c>
      <c r="U2234">
        <v>11</v>
      </c>
      <c r="V2234">
        <v>0</v>
      </c>
      <c r="W2234">
        <v>0</v>
      </c>
      <c r="X2234">
        <v>0</v>
      </c>
    </row>
    <row r="2235" spans="1:24" x14ac:dyDescent="0.2">
      <c r="A2235">
        <v>21240200</v>
      </c>
      <c r="B2235" t="s">
        <v>2234</v>
      </c>
      <c r="C2235">
        <v>100</v>
      </c>
      <c r="D2235">
        <v>200</v>
      </c>
      <c r="E2235">
        <v>10000</v>
      </c>
      <c r="F2235">
        <v>88</v>
      </c>
      <c r="G2235">
        <v>0</v>
      </c>
      <c r="H2235">
        <v>0</v>
      </c>
      <c r="I2235">
        <v>0</v>
      </c>
      <c r="J2235">
        <v>0</v>
      </c>
      <c r="K2235">
        <v>1</v>
      </c>
      <c r="L2235">
        <v>0</v>
      </c>
      <c r="M2235">
        <v>0</v>
      </c>
      <c r="N2235">
        <v>0</v>
      </c>
      <c r="O2235">
        <v>0</v>
      </c>
      <c r="P2235">
        <v>29</v>
      </c>
      <c r="Q2235">
        <v>0</v>
      </c>
      <c r="R2235">
        <v>0</v>
      </c>
      <c r="S2235">
        <v>0</v>
      </c>
      <c r="T2235">
        <v>6</v>
      </c>
      <c r="U2235">
        <v>11</v>
      </c>
      <c r="V2235">
        <v>0</v>
      </c>
      <c r="W2235">
        <v>0</v>
      </c>
      <c r="X2235">
        <v>0</v>
      </c>
    </row>
    <row r="2236" spans="1:24" x14ac:dyDescent="0.2">
      <c r="A2236">
        <v>21240300</v>
      </c>
      <c r="B2236" t="s">
        <v>2235</v>
      </c>
      <c r="C2236">
        <v>300</v>
      </c>
      <c r="D2236">
        <v>300</v>
      </c>
      <c r="E2236">
        <v>10000</v>
      </c>
      <c r="F2236">
        <v>88</v>
      </c>
      <c r="G2236">
        <v>0</v>
      </c>
      <c r="H2236">
        <v>0</v>
      </c>
      <c r="I2236">
        <v>0</v>
      </c>
      <c r="J2236">
        <v>0</v>
      </c>
      <c r="K2236">
        <v>8</v>
      </c>
      <c r="L2236">
        <v>0</v>
      </c>
      <c r="M2236">
        <v>0</v>
      </c>
      <c r="N2236">
        <v>0</v>
      </c>
      <c r="O2236">
        <v>0</v>
      </c>
      <c r="P2236">
        <v>24</v>
      </c>
      <c r="Q2236">
        <v>24</v>
      </c>
      <c r="R2236">
        <v>0</v>
      </c>
      <c r="S2236">
        <v>0</v>
      </c>
      <c r="T2236">
        <v>6</v>
      </c>
      <c r="U2236">
        <v>11</v>
      </c>
      <c r="V2236">
        <v>0</v>
      </c>
      <c r="W2236">
        <v>0</v>
      </c>
      <c r="X2236">
        <v>0</v>
      </c>
    </row>
    <row r="2237" spans="1:24" x14ac:dyDescent="0.2">
      <c r="A2237">
        <v>21240400</v>
      </c>
      <c r="B2237" t="s">
        <v>2236</v>
      </c>
      <c r="C2237">
        <v>500</v>
      </c>
      <c r="D2237">
        <v>500</v>
      </c>
      <c r="E2237">
        <v>10000</v>
      </c>
      <c r="F2237">
        <v>97</v>
      </c>
      <c r="G2237">
        <v>97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29</v>
      </c>
      <c r="Q2237">
        <v>0</v>
      </c>
      <c r="R2237">
        <v>29</v>
      </c>
      <c r="S2237">
        <v>0</v>
      </c>
      <c r="T2237">
        <v>6</v>
      </c>
      <c r="U2237">
        <v>11</v>
      </c>
      <c r="V2237">
        <v>0</v>
      </c>
      <c r="W2237">
        <v>0</v>
      </c>
      <c r="X2237">
        <v>0</v>
      </c>
    </row>
    <row r="2238" spans="1:24" x14ac:dyDescent="0.2">
      <c r="A2238">
        <v>21240500</v>
      </c>
      <c r="B2238" t="s">
        <v>2237</v>
      </c>
      <c r="C2238">
        <v>400</v>
      </c>
      <c r="D2238">
        <v>400</v>
      </c>
      <c r="E2238">
        <v>10000</v>
      </c>
      <c r="F2238">
        <v>97</v>
      </c>
      <c r="G2238">
        <v>97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29</v>
      </c>
      <c r="Q2238">
        <v>0</v>
      </c>
      <c r="R2238">
        <v>29</v>
      </c>
      <c r="S2238">
        <v>0</v>
      </c>
      <c r="T2238">
        <v>6</v>
      </c>
      <c r="U2238">
        <v>11</v>
      </c>
      <c r="V2238">
        <v>0</v>
      </c>
      <c r="W2238">
        <v>0</v>
      </c>
      <c r="X2238">
        <v>0</v>
      </c>
    </row>
    <row r="2239" spans="1:24" x14ac:dyDescent="0.2">
      <c r="A2239">
        <v>21240600</v>
      </c>
      <c r="B2239" t="s">
        <v>2238</v>
      </c>
      <c r="C2239">
        <v>600</v>
      </c>
      <c r="D2239">
        <v>600</v>
      </c>
      <c r="E2239">
        <v>10000</v>
      </c>
      <c r="F2239">
        <v>78</v>
      </c>
      <c r="G2239">
        <v>0</v>
      </c>
      <c r="H2239">
        <v>78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29</v>
      </c>
      <c r="Q2239">
        <v>0</v>
      </c>
      <c r="R2239">
        <v>0</v>
      </c>
      <c r="S2239">
        <v>0</v>
      </c>
      <c r="T2239">
        <v>6</v>
      </c>
      <c r="U2239">
        <v>11</v>
      </c>
      <c r="V2239">
        <v>0</v>
      </c>
      <c r="W2239">
        <v>0</v>
      </c>
      <c r="X2239">
        <v>0</v>
      </c>
    </row>
    <row r="2240" spans="1:24" x14ac:dyDescent="0.2">
      <c r="A2240">
        <v>21240700</v>
      </c>
      <c r="B2240" t="s">
        <v>2239</v>
      </c>
      <c r="C2240">
        <v>700</v>
      </c>
      <c r="D2240">
        <v>700</v>
      </c>
      <c r="E2240">
        <v>10000</v>
      </c>
      <c r="F2240">
        <v>97</v>
      </c>
      <c r="G2240">
        <v>0</v>
      </c>
      <c r="H2240">
        <v>97</v>
      </c>
      <c r="I2240">
        <v>0</v>
      </c>
      <c r="J2240">
        <v>0</v>
      </c>
      <c r="K2240">
        <v>0</v>
      </c>
      <c r="L2240">
        <v>0</v>
      </c>
      <c r="M2240">
        <v>4</v>
      </c>
      <c r="N2240">
        <v>0</v>
      </c>
      <c r="O2240">
        <v>0</v>
      </c>
      <c r="P2240">
        <v>29</v>
      </c>
      <c r="Q2240">
        <v>0</v>
      </c>
      <c r="R2240">
        <v>29</v>
      </c>
      <c r="S2240">
        <v>29</v>
      </c>
      <c r="T2240">
        <v>6</v>
      </c>
      <c r="U2240">
        <v>11</v>
      </c>
      <c r="V2240">
        <v>0</v>
      </c>
      <c r="W2240">
        <v>0</v>
      </c>
      <c r="X2240">
        <v>0</v>
      </c>
    </row>
    <row r="2241" spans="1:24" x14ac:dyDescent="0.2">
      <c r="A2241">
        <v>21240800</v>
      </c>
      <c r="B2241" t="s">
        <v>2240</v>
      </c>
      <c r="C2241">
        <v>800</v>
      </c>
      <c r="D2241">
        <v>800</v>
      </c>
      <c r="E2241">
        <v>10000</v>
      </c>
      <c r="F2241">
        <v>97</v>
      </c>
      <c r="G2241">
        <v>0</v>
      </c>
      <c r="H2241">
        <v>0</v>
      </c>
      <c r="I2241">
        <v>97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29</v>
      </c>
      <c r="Q2241">
        <v>0</v>
      </c>
      <c r="R2241">
        <v>0</v>
      </c>
      <c r="S2241">
        <v>29</v>
      </c>
      <c r="T2241">
        <v>6</v>
      </c>
      <c r="U2241">
        <v>11</v>
      </c>
      <c r="V2241">
        <v>0</v>
      </c>
      <c r="W2241">
        <v>0</v>
      </c>
      <c r="X2241">
        <v>0</v>
      </c>
    </row>
    <row r="2242" spans="1:24" x14ac:dyDescent="0.2">
      <c r="A2242">
        <v>21240900</v>
      </c>
      <c r="B2242" t="s">
        <v>2241</v>
      </c>
      <c r="C2242">
        <v>900</v>
      </c>
      <c r="D2242">
        <v>900</v>
      </c>
      <c r="E2242">
        <v>10000</v>
      </c>
      <c r="F2242">
        <v>78</v>
      </c>
      <c r="G2242">
        <v>0</v>
      </c>
      <c r="H2242">
        <v>0</v>
      </c>
      <c r="I2242">
        <v>0</v>
      </c>
      <c r="J2242">
        <v>78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29</v>
      </c>
      <c r="Q2242">
        <v>0</v>
      </c>
      <c r="R2242">
        <v>0</v>
      </c>
      <c r="S2242">
        <v>0</v>
      </c>
      <c r="T2242">
        <v>6</v>
      </c>
      <c r="U2242">
        <v>11</v>
      </c>
      <c r="V2242">
        <v>0</v>
      </c>
      <c r="W2242">
        <v>0</v>
      </c>
      <c r="X2242">
        <v>0</v>
      </c>
    </row>
    <row r="2243" spans="1:24" x14ac:dyDescent="0.2">
      <c r="A2243">
        <v>21241000</v>
      </c>
      <c r="B2243" t="s">
        <v>2242</v>
      </c>
      <c r="C2243">
        <v>1000</v>
      </c>
      <c r="D2243">
        <v>1000</v>
      </c>
      <c r="E2243">
        <v>10000</v>
      </c>
      <c r="F2243">
        <v>97</v>
      </c>
      <c r="G2243">
        <v>0</v>
      </c>
      <c r="H2243">
        <v>0</v>
      </c>
      <c r="I2243">
        <v>0</v>
      </c>
      <c r="J2243">
        <v>97</v>
      </c>
      <c r="K2243">
        <v>0</v>
      </c>
      <c r="L2243">
        <v>0</v>
      </c>
      <c r="M2243">
        <v>0</v>
      </c>
      <c r="N2243">
        <v>0</v>
      </c>
      <c r="O2243">
        <v>4</v>
      </c>
      <c r="P2243">
        <v>29</v>
      </c>
      <c r="Q2243">
        <v>0</v>
      </c>
      <c r="R2243">
        <v>29</v>
      </c>
      <c r="S2243">
        <v>29</v>
      </c>
      <c r="T2243">
        <v>6</v>
      </c>
      <c r="U2243">
        <v>11</v>
      </c>
      <c r="V2243">
        <v>0</v>
      </c>
      <c r="W2243">
        <v>0</v>
      </c>
      <c r="X2243">
        <v>0</v>
      </c>
    </row>
    <row r="2244" spans="1:24" x14ac:dyDescent="0.2">
      <c r="A2244">
        <v>21241100</v>
      </c>
      <c r="B2244" t="s">
        <v>2243</v>
      </c>
      <c r="C2244">
        <v>1100</v>
      </c>
      <c r="D2244">
        <v>1100</v>
      </c>
      <c r="E2244">
        <v>10000</v>
      </c>
      <c r="F2244">
        <v>88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29</v>
      </c>
      <c r="Q2244">
        <v>0</v>
      </c>
      <c r="R2244">
        <v>0</v>
      </c>
      <c r="S2244">
        <v>0</v>
      </c>
      <c r="T2244">
        <v>6</v>
      </c>
      <c r="U2244">
        <v>11</v>
      </c>
      <c r="V2244">
        <v>0</v>
      </c>
      <c r="W2244">
        <v>0</v>
      </c>
      <c r="X2244">
        <v>0</v>
      </c>
    </row>
    <row r="2245" spans="1:24" x14ac:dyDescent="0.2">
      <c r="A2245">
        <v>21241200</v>
      </c>
      <c r="B2245" t="s">
        <v>2244</v>
      </c>
      <c r="C2245">
        <v>1200</v>
      </c>
      <c r="D2245">
        <v>1200</v>
      </c>
      <c r="E2245">
        <v>10000</v>
      </c>
      <c r="F2245">
        <v>88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29</v>
      </c>
      <c r="Q2245">
        <v>0</v>
      </c>
      <c r="R2245">
        <v>0</v>
      </c>
      <c r="S2245">
        <v>0</v>
      </c>
      <c r="T2245">
        <v>6</v>
      </c>
      <c r="U2245">
        <v>11</v>
      </c>
      <c r="V2245">
        <v>0</v>
      </c>
      <c r="W2245">
        <v>0</v>
      </c>
      <c r="X2245">
        <v>0</v>
      </c>
    </row>
    <row r="2246" spans="1:24" x14ac:dyDescent="0.2">
      <c r="A2246">
        <v>21241300</v>
      </c>
      <c r="B2246" t="s">
        <v>2245</v>
      </c>
      <c r="C2246">
        <v>1300</v>
      </c>
      <c r="D2246">
        <v>1300</v>
      </c>
      <c r="E2246">
        <v>10000</v>
      </c>
      <c r="F2246">
        <v>88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29</v>
      </c>
      <c r="Q2246">
        <v>0</v>
      </c>
      <c r="R2246">
        <v>0</v>
      </c>
      <c r="S2246">
        <v>0</v>
      </c>
      <c r="T2246">
        <v>6</v>
      </c>
      <c r="U2246">
        <v>11</v>
      </c>
      <c r="V2246">
        <v>0</v>
      </c>
      <c r="W2246">
        <v>0</v>
      </c>
      <c r="X2246">
        <v>0</v>
      </c>
    </row>
    <row r="2247" spans="1:24" x14ac:dyDescent="0.2">
      <c r="A2247">
        <v>21241400</v>
      </c>
      <c r="B2247" t="s">
        <v>2246</v>
      </c>
      <c r="C2247">
        <v>1400</v>
      </c>
      <c r="D2247">
        <v>1400</v>
      </c>
      <c r="E2247">
        <v>10014</v>
      </c>
      <c r="F2247">
        <v>97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29</v>
      </c>
      <c r="Q2247">
        <v>0</v>
      </c>
      <c r="R2247">
        <v>0</v>
      </c>
      <c r="S2247">
        <v>29</v>
      </c>
      <c r="T2247">
        <v>6</v>
      </c>
      <c r="U2247">
        <v>11</v>
      </c>
      <c r="V2247">
        <v>0</v>
      </c>
      <c r="W2247">
        <v>0</v>
      </c>
      <c r="X2247">
        <v>0</v>
      </c>
    </row>
    <row r="2248" spans="1:24" x14ac:dyDescent="0.2">
      <c r="A2248">
        <v>21241500</v>
      </c>
      <c r="B2248" t="s">
        <v>2247</v>
      </c>
      <c r="C2248">
        <v>1500</v>
      </c>
      <c r="D2248">
        <v>1500</v>
      </c>
      <c r="E2248">
        <v>10015</v>
      </c>
      <c r="F2248">
        <v>88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29</v>
      </c>
      <c r="Q2248">
        <v>0</v>
      </c>
      <c r="R2248">
        <v>0</v>
      </c>
      <c r="S2248">
        <v>0</v>
      </c>
      <c r="T2248">
        <v>6</v>
      </c>
      <c r="U2248">
        <v>11</v>
      </c>
      <c r="V2248">
        <v>0</v>
      </c>
      <c r="W2248">
        <v>0</v>
      </c>
      <c r="X2248">
        <v>0</v>
      </c>
    </row>
    <row r="2249" spans="1:24" x14ac:dyDescent="0.2">
      <c r="A2249">
        <v>21250000</v>
      </c>
      <c r="B2249" t="s">
        <v>2248</v>
      </c>
      <c r="C2249">
        <v>0</v>
      </c>
      <c r="D2249">
        <v>8200</v>
      </c>
      <c r="E2249">
        <v>10000</v>
      </c>
      <c r="F2249">
        <v>94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30</v>
      </c>
      <c r="Q2249">
        <v>0</v>
      </c>
      <c r="R2249">
        <v>0</v>
      </c>
      <c r="S2249">
        <v>0</v>
      </c>
      <c r="T2249">
        <v>6</v>
      </c>
      <c r="U2249">
        <v>17</v>
      </c>
      <c r="V2249">
        <v>0</v>
      </c>
      <c r="W2249">
        <v>0</v>
      </c>
      <c r="X2249">
        <v>0</v>
      </c>
    </row>
    <row r="2250" spans="1:24" x14ac:dyDescent="0.2">
      <c r="A2250">
        <v>21250100</v>
      </c>
      <c r="B2250" t="s">
        <v>2249</v>
      </c>
      <c r="C2250">
        <v>200</v>
      </c>
      <c r="D2250">
        <v>100</v>
      </c>
      <c r="E2250">
        <v>10000</v>
      </c>
      <c r="F2250">
        <v>94</v>
      </c>
      <c r="G2250">
        <v>0</v>
      </c>
      <c r="H2250">
        <v>0</v>
      </c>
      <c r="I2250">
        <v>0</v>
      </c>
      <c r="J2250">
        <v>0</v>
      </c>
      <c r="K2250">
        <v>1</v>
      </c>
      <c r="L2250">
        <v>0</v>
      </c>
      <c r="M2250">
        <v>0</v>
      </c>
      <c r="N2250">
        <v>0</v>
      </c>
      <c r="O2250">
        <v>0</v>
      </c>
      <c r="P2250">
        <v>30</v>
      </c>
      <c r="Q2250">
        <v>0</v>
      </c>
      <c r="R2250">
        <v>0</v>
      </c>
      <c r="S2250">
        <v>0</v>
      </c>
      <c r="T2250">
        <v>6</v>
      </c>
      <c r="U2250">
        <v>17</v>
      </c>
      <c r="V2250">
        <v>0</v>
      </c>
      <c r="W2250">
        <v>0</v>
      </c>
      <c r="X2250">
        <v>0</v>
      </c>
    </row>
    <row r="2251" spans="1:24" x14ac:dyDescent="0.2">
      <c r="A2251">
        <v>21250200</v>
      </c>
      <c r="B2251" t="s">
        <v>2250</v>
      </c>
      <c r="C2251">
        <v>100</v>
      </c>
      <c r="D2251">
        <v>200</v>
      </c>
      <c r="E2251">
        <v>10000</v>
      </c>
      <c r="F2251">
        <v>94</v>
      </c>
      <c r="G2251">
        <v>0</v>
      </c>
      <c r="H2251">
        <v>0</v>
      </c>
      <c r="I2251">
        <v>0</v>
      </c>
      <c r="J2251">
        <v>0</v>
      </c>
      <c r="K2251">
        <v>1</v>
      </c>
      <c r="L2251">
        <v>0</v>
      </c>
      <c r="M2251">
        <v>0</v>
      </c>
      <c r="N2251">
        <v>0</v>
      </c>
      <c r="O2251">
        <v>0</v>
      </c>
      <c r="P2251">
        <v>30</v>
      </c>
      <c r="Q2251">
        <v>0</v>
      </c>
      <c r="R2251">
        <v>0</v>
      </c>
      <c r="S2251">
        <v>0</v>
      </c>
      <c r="T2251">
        <v>6</v>
      </c>
      <c r="U2251">
        <v>17</v>
      </c>
      <c r="V2251">
        <v>0</v>
      </c>
      <c r="W2251">
        <v>0</v>
      </c>
      <c r="X2251">
        <v>0</v>
      </c>
    </row>
    <row r="2252" spans="1:24" x14ac:dyDescent="0.2">
      <c r="A2252">
        <v>21250300</v>
      </c>
      <c r="B2252" t="s">
        <v>2251</v>
      </c>
      <c r="C2252">
        <v>300</v>
      </c>
      <c r="D2252">
        <v>300</v>
      </c>
      <c r="E2252">
        <v>10000</v>
      </c>
      <c r="F2252">
        <v>94</v>
      </c>
      <c r="G2252">
        <v>0</v>
      </c>
      <c r="H2252">
        <v>0</v>
      </c>
      <c r="I2252">
        <v>0</v>
      </c>
      <c r="J2252">
        <v>0</v>
      </c>
      <c r="K2252">
        <v>8</v>
      </c>
      <c r="L2252">
        <v>0</v>
      </c>
      <c r="M2252">
        <v>0</v>
      </c>
      <c r="N2252">
        <v>0</v>
      </c>
      <c r="O2252">
        <v>0</v>
      </c>
      <c r="P2252">
        <v>25</v>
      </c>
      <c r="Q2252">
        <v>25</v>
      </c>
      <c r="R2252">
        <v>0</v>
      </c>
      <c r="S2252">
        <v>0</v>
      </c>
      <c r="T2252">
        <v>6</v>
      </c>
      <c r="U2252">
        <v>17</v>
      </c>
      <c r="V2252">
        <v>0</v>
      </c>
      <c r="W2252">
        <v>0</v>
      </c>
      <c r="X2252">
        <v>0</v>
      </c>
    </row>
    <row r="2253" spans="1:24" x14ac:dyDescent="0.2">
      <c r="A2253">
        <v>21250400</v>
      </c>
      <c r="B2253" t="s">
        <v>2252</v>
      </c>
      <c r="C2253">
        <v>500</v>
      </c>
      <c r="D2253">
        <v>500</v>
      </c>
      <c r="E2253">
        <v>10000</v>
      </c>
      <c r="F2253">
        <v>103</v>
      </c>
      <c r="G2253">
        <v>103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30</v>
      </c>
      <c r="Q2253">
        <v>0</v>
      </c>
      <c r="R2253">
        <v>30</v>
      </c>
      <c r="S2253">
        <v>0</v>
      </c>
      <c r="T2253">
        <v>6</v>
      </c>
      <c r="U2253">
        <v>17</v>
      </c>
      <c r="V2253">
        <v>0</v>
      </c>
      <c r="W2253">
        <v>0</v>
      </c>
      <c r="X2253">
        <v>0</v>
      </c>
    </row>
    <row r="2254" spans="1:24" x14ac:dyDescent="0.2">
      <c r="A2254">
        <v>21250500</v>
      </c>
      <c r="B2254" t="s">
        <v>2253</v>
      </c>
      <c r="C2254">
        <v>400</v>
      </c>
      <c r="D2254">
        <v>400</v>
      </c>
      <c r="E2254">
        <v>10000</v>
      </c>
      <c r="F2254">
        <v>103</v>
      </c>
      <c r="G2254">
        <v>103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30</v>
      </c>
      <c r="Q2254">
        <v>0</v>
      </c>
      <c r="R2254">
        <v>30</v>
      </c>
      <c r="S2254">
        <v>0</v>
      </c>
      <c r="T2254">
        <v>6</v>
      </c>
      <c r="U2254">
        <v>17</v>
      </c>
      <c r="V2254">
        <v>0</v>
      </c>
      <c r="W2254">
        <v>0</v>
      </c>
      <c r="X2254">
        <v>0</v>
      </c>
    </row>
    <row r="2255" spans="1:24" x14ac:dyDescent="0.2">
      <c r="A2255">
        <v>21250600</v>
      </c>
      <c r="B2255" t="s">
        <v>2254</v>
      </c>
      <c r="C2255">
        <v>600</v>
      </c>
      <c r="D2255">
        <v>600</v>
      </c>
      <c r="E2255">
        <v>10000</v>
      </c>
      <c r="F2255">
        <v>84</v>
      </c>
      <c r="G2255">
        <v>0</v>
      </c>
      <c r="H2255">
        <v>84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30</v>
      </c>
      <c r="Q2255">
        <v>0</v>
      </c>
      <c r="R2255">
        <v>0</v>
      </c>
      <c r="S2255">
        <v>0</v>
      </c>
      <c r="T2255">
        <v>6</v>
      </c>
      <c r="U2255">
        <v>17</v>
      </c>
      <c r="V2255">
        <v>0</v>
      </c>
      <c r="W2255">
        <v>0</v>
      </c>
      <c r="X2255">
        <v>0</v>
      </c>
    </row>
    <row r="2256" spans="1:24" x14ac:dyDescent="0.2">
      <c r="A2256">
        <v>21250700</v>
      </c>
      <c r="B2256" t="s">
        <v>2255</v>
      </c>
      <c r="C2256">
        <v>700</v>
      </c>
      <c r="D2256">
        <v>700</v>
      </c>
      <c r="E2256">
        <v>10000</v>
      </c>
      <c r="F2256">
        <v>103</v>
      </c>
      <c r="G2256">
        <v>0</v>
      </c>
      <c r="H2256">
        <v>103</v>
      </c>
      <c r="I2256">
        <v>0</v>
      </c>
      <c r="J2256">
        <v>0</v>
      </c>
      <c r="K2256">
        <v>0</v>
      </c>
      <c r="L2256">
        <v>0</v>
      </c>
      <c r="M2256">
        <v>4</v>
      </c>
      <c r="N2256">
        <v>0</v>
      </c>
      <c r="O2256">
        <v>0</v>
      </c>
      <c r="P2256">
        <v>30</v>
      </c>
      <c r="Q2256">
        <v>0</v>
      </c>
      <c r="R2256">
        <v>30</v>
      </c>
      <c r="S2256">
        <v>30</v>
      </c>
      <c r="T2256">
        <v>6</v>
      </c>
      <c r="U2256">
        <v>17</v>
      </c>
      <c r="V2256">
        <v>0</v>
      </c>
      <c r="W2256">
        <v>0</v>
      </c>
      <c r="X2256">
        <v>0</v>
      </c>
    </row>
    <row r="2257" spans="1:24" x14ac:dyDescent="0.2">
      <c r="A2257">
        <v>21250800</v>
      </c>
      <c r="B2257" t="s">
        <v>2256</v>
      </c>
      <c r="C2257">
        <v>800</v>
      </c>
      <c r="D2257">
        <v>800</v>
      </c>
      <c r="E2257">
        <v>10000</v>
      </c>
      <c r="F2257">
        <v>103</v>
      </c>
      <c r="G2257">
        <v>0</v>
      </c>
      <c r="H2257">
        <v>0</v>
      </c>
      <c r="I2257">
        <v>103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30</v>
      </c>
      <c r="Q2257">
        <v>0</v>
      </c>
      <c r="R2257">
        <v>0</v>
      </c>
      <c r="S2257">
        <v>30</v>
      </c>
      <c r="T2257">
        <v>6</v>
      </c>
      <c r="U2257">
        <v>17</v>
      </c>
      <c r="V2257">
        <v>0</v>
      </c>
      <c r="W2257">
        <v>0</v>
      </c>
      <c r="X2257">
        <v>0</v>
      </c>
    </row>
    <row r="2258" spans="1:24" x14ac:dyDescent="0.2">
      <c r="A2258">
        <v>21250900</v>
      </c>
      <c r="B2258" t="s">
        <v>2257</v>
      </c>
      <c r="C2258">
        <v>900</v>
      </c>
      <c r="D2258">
        <v>900</v>
      </c>
      <c r="E2258">
        <v>10000</v>
      </c>
      <c r="F2258">
        <v>84</v>
      </c>
      <c r="G2258">
        <v>0</v>
      </c>
      <c r="H2258">
        <v>0</v>
      </c>
      <c r="I2258">
        <v>0</v>
      </c>
      <c r="J2258">
        <v>84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30</v>
      </c>
      <c r="Q2258">
        <v>0</v>
      </c>
      <c r="R2258">
        <v>0</v>
      </c>
      <c r="S2258">
        <v>0</v>
      </c>
      <c r="T2258">
        <v>6</v>
      </c>
      <c r="U2258">
        <v>17</v>
      </c>
      <c r="V2258">
        <v>0</v>
      </c>
      <c r="W2258">
        <v>0</v>
      </c>
      <c r="X2258">
        <v>0</v>
      </c>
    </row>
    <row r="2259" spans="1:24" x14ac:dyDescent="0.2">
      <c r="A2259">
        <v>21251000</v>
      </c>
      <c r="B2259" t="s">
        <v>2258</v>
      </c>
      <c r="C2259">
        <v>1000</v>
      </c>
      <c r="D2259">
        <v>1000</v>
      </c>
      <c r="E2259">
        <v>10000</v>
      </c>
      <c r="F2259">
        <v>103</v>
      </c>
      <c r="G2259">
        <v>0</v>
      </c>
      <c r="H2259">
        <v>0</v>
      </c>
      <c r="I2259">
        <v>0</v>
      </c>
      <c r="J2259">
        <v>103</v>
      </c>
      <c r="K2259">
        <v>0</v>
      </c>
      <c r="L2259">
        <v>0</v>
      </c>
      <c r="M2259">
        <v>0</v>
      </c>
      <c r="N2259">
        <v>0</v>
      </c>
      <c r="O2259">
        <v>4</v>
      </c>
      <c r="P2259">
        <v>30</v>
      </c>
      <c r="Q2259">
        <v>0</v>
      </c>
      <c r="R2259">
        <v>30</v>
      </c>
      <c r="S2259">
        <v>30</v>
      </c>
      <c r="T2259">
        <v>6</v>
      </c>
      <c r="U2259">
        <v>17</v>
      </c>
      <c r="V2259">
        <v>0</v>
      </c>
      <c r="W2259">
        <v>0</v>
      </c>
      <c r="X2259">
        <v>0</v>
      </c>
    </row>
    <row r="2260" spans="1:24" x14ac:dyDescent="0.2">
      <c r="A2260">
        <v>21251100</v>
      </c>
      <c r="B2260" t="s">
        <v>2259</v>
      </c>
      <c r="C2260">
        <v>1100</v>
      </c>
      <c r="D2260">
        <v>1100</v>
      </c>
      <c r="E2260">
        <v>10000</v>
      </c>
      <c r="F2260">
        <v>94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30</v>
      </c>
      <c r="Q2260">
        <v>0</v>
      </c>
      <c r="R2260">
        <v>0</v>
      </c>
      <c r="S2260">
        <v>0</v>
      </c>
      <c r="T2260">
        <v>6</v>
      </c>
      <c r="U2260">
        <v>17</v>
      </c>
      <c r="V2260">
        <v>0</v>
      </c>
      <c r="W2260">
        <v>0</v>
      </c>
      <c r="X2260">
        <v>0</v>
      </c>
    </row>
    <row r="2261" spans="1:24" x14ac:dyDescent="0.2">
      <c r="A2261">
        <v>21251200</v>
      </c>
      <c r="B2261" t="s">
        <v>2260</v>
      </c>
      <c r="C2261">
        <v>1200</v>
      </c>
      <c r="D2261">
        <v>1200</v>
      </c>
      <c r="E2261">
        <v>10000</v>
      </c>
      <c r="F2261">
        <v>94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30</v>
      </c>
      <c r="Q2261">
        <v>0</v>
      </c>
      <c r="R2261">
        <v>0</v>
      </c>
      <c r="S2261">
        <v>0</v>
      </c>
      <c r="T2261">
        <v>6</v>
      </c>
      <c r="U2261">
        <v>17</v>
      </c>
      <c r="V2261">
        <v>0</v>
      </c>
      <c r="W2261">
        <v>0</v>
      </c>
      <c r="X2261">
        <v>0</v>
      </c>
    </row>
    <row r="2262" spans="1:24" x14ac:dyDescent="0.2">
      <c r="A2262">
        <v>21251300</v>
      </c>
      <c r="B2262" t="s">
        <v>2261</v>
      </c>
      <c r="C2262">
        <v>1300</v>
      </c>
      <c r="D2262">
        <v>1300</v>
      </c>
      <c r="E2262">
        <v>10000</v>
      </c>
      <c r="F2262">
        <v>94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30</v>
      </c>
      <c r="Q2262">
        <v>0</v>
      </c>
      <c r="R2262">
        <v>0</v>
      </c>
      <c r="S2262">
        <v>0</v>
      </c>
      <c r="T2262">
        <v>6</v>
      </c>
      <c r="U2262">
        <v>17</v>
      </c>
      <c r="V2262">
        <v>0</v>
      </c>
      <c r="W2262">
        <v>0</v>
      </c>
      <c r="X2262">
        <v>0</v>
      </c>
    </row>
    <row r="2263" spans="1:24" x14ac:dyDescent="0.2">
      <c r="A2263">
        <v>21251400</v>
      </c>
      <c r="B2263" t="s">
        <v>2262</v>
      </c>
      <c r="C2263">
        <v>1400</v>
      </c>
      <c r="D2263">
        <v>1400</v>
      </c>
      <c r="E2263">
        <v>10014</v>
      </c>
      <c r="F2263">
        <v>103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30</v>
      </c>
      <c r="Q2263">
        <v>0</v>
      </c>
      <c r="R2263">
        <v>0</v>
      </c>
      <c r="S2263">
        <v>30</v>
      </c>
      <c r="T2263">
        <v>6</v>
      </c>
      <c r="U2263">
        <v>17</v>
      </c>
      <c r="V2263">
        <v>0</v>
      </c>
      <c r="W2263">
        <v>0</v>
      </c>
      <c r="X2263">
        <v>0</v>
      </c>
    </row>
    <row r="2264" spans="1:24" x14ac:dyDescent="0.2">
      <c r="A2264">
        <v>21251500</v>
      </c>
      <c r="B2264" t="s">
        <v>2263</v>
      </c>
      <c r="C2264">
        <v>1500</v>
      </c>
      <c r="D2264">
        <v>1500</v>
      </c>
      <c r="E2264">
        <v>10015</v>
      </c>
      <c r="F2264">
        <v>94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30</v>
      </c>
      <c r="Q2264">
        <v>0</v>
      </c>
      <c r="R2264">
        <v>0</v>
      </c>
      <c r="S2264">
        <v>0</v>
      </c>
      <c r="T2264">
        <v>6</v>
      </c>
      <c r="U2264">
        <v>17</v>
      </c>
      <c r="V2264">
        <v>0</v>
      </c>
      <c r="W2264">
        <v>0</v>
      </c>
      <c r="X2264">
        <v>0</v>
      </c>
    </row>
    <row r="2265" spans="1:24" x14ac:dyDescent="0.2">
      <c r="A2265">
        <v>21260000</v>
      </c>
      <c r="B2265" t="s">
        <v>2264</v>
      </c>
      <c r="C2265">
        <v>2200</v>
      </c>
      <c r="D2265">
        <v>8500</v>
      </c>
      <c r="E2265">
        <v>10000</v>
      </c>
      <c r="F2265">
        <v>83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31</v>
      </c>
      <c r="Q2265">
        <v>0</v>
      </c>
      <c r="R2265">
        <v>0</v>
      </c>
      <c r="S2265">
        <v>0</v>
      </c>
      <c r="T2265">
        <v>7</v>
      </c>
      <c r="U2265">
        <v>14</v>
      </c>
      <c r="V2265">
        <v>0</v>
      </c>
      <c r="W2265">
        <v>0</v>
      </c>
      <c r="X2265">
        <v>0</v>
      </c>
    </row>
    <row r="2266" spans="1:24" x14ac:dyDescent="0.2">
      <c r="A2266">
        <v>21270000</v>
      </c>
      <c r="B2266" t="s">
        <v>2265</v>
      </c>
      <c r="C2266">
        <v>0</v>
      </c>
      <c r="D2266">
        <v>8100</v>
      </c>
      <c r="E2266">
        <v>10000</v>
      </c>
      <c r="F2266">
        <v>85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30</v>
      </c>
      <c r="Q2266">
        <v>0</v>
      </c>
      <c r="R2266">
        <v>0</v>
      </c>
      <c r="S2266">
        <v>0</v>
      </c>
      <c r="T2266">
        <v>6</v>
      </c>
      <c r="U2266">
        <v>8</v>
      </c>
      <c r="V2266">
        <v>0</v>
      </c>
      <c r="W2266">
        <v>0</v>
      </c>
      <c r="X2266">
        <v>0</v>
      </c>
    </row>
    <row r="2267" spans="1:24" x14ac:dyDescent="0.2">
      <c r="A2267">
        <v>21270100</v>
      </c>
      <c r="B2267" t="s">
        <v>2266</v>
      </c>
      <c r="C2267">
        <v>200</v>
      </c>
      <c r="D2267">
        <v>100</v>
      </c>
      <c r="E2267">
        <v>10000</v>
      </c>
      <c r="F2267">
        <v>85</v>
      </c>
      <c r="G2267">
        <v>0</v>
      </c>
      <c r="H2267">
        <v>0</v>
      </c>
      <c r="I2267">
        <v>0</v>
      </c>
      <c r="J2267">
        <v>0</v>
      </c>
      <c r="K2267">
        <v>1</v>
      </c>
      <c r="L2267">
        <v>0</v>
      </c>
      <c r="M2267">
        <v>0</v>
      </c>
      <c r="N2267">
        <v>0</v>
      </c>
      <c r="O2267">
        <v>0</v>
      </c>
      <c r="P2267">
        <v>30</v>
      </c>
      <c r="Q2267">
        <v>0</v>
      </c>
      <c r="R2267">
        <v>0</v>
      </c>
      <c r="S2267">
        <v>0</v>
      </c>
      <c r="T2267">
        <v>6</v>
      </c>
      <c r="U2267">
        <v>8</v>
      </c>
      <c r="V2267">
        <v>0</v>
      </c>
      <c r="W2267">
        <v>0</v>
      </c>
      <c r="X2267">
        <v>0</v>
      </c>
    </row>
    <row r="2268" spans="1:24" x14ac:dyDescent="0.2">
      <c r="A2268">
        <v>21270200</v>
      </c>
      <c r="B2268" t="s">
        <v>2267</v>
      </c>
      <c r="C2268">
        <v>100</v>
      </c>
      <c r="D2268">
        <v>200</v>
      </c>
      <c r="E2268">
        <v>10000</v>
      </c>
      <c r="F2268">
        <v>85</v>
      </c>
      <c r="G2268">
        <v>0</v>
      </c>
      <c r="H2268">
        <v>0</v>
      </c>
      <c r="I2268">
        <v>0</v>
      </c>
      <c r="J2268">
        <v>0</v>
      </c>
      <c r="K2268">
        <v>1</v>
      </c>
      <c r="L2268">
        <v>0</v>
      </c>
      <c r="M2268">
        <v>0</v>
      </c>
      <c r="N2268">
        <v>0</v>
      </c>
      <c r="O2268">
        <v>0</v>
      </c>
      <c r="P2268">
        <v>30</v>
      </c>
      <c r="Q2268">
        <v>0</v>
      </c>
      <c r="R2268">
        <v>0</v>
      </c>
      <c r="S2268">
        <v>0</v>
      </c>
      <c r="T2268">
        <v>6</v>
      </c>
      <c r="U2268">
        <v>8</v>
      </c>
      <c r="V2268">
        <v>0</v>
      </c>
      <c r="W2268">
        <v>0</v>
      </c>
      <c r="X2268">
        <v>0</v>
      </c>
    </row>
    <row r="2269" spans="1:24" x14ac:dyDescent="0.2">
      <c r="A2269">
        <v>21270300</v>
      </c>
      <c r="B2269" t="s">
        <v>2268</v>
      </c>
      <c r="C2269">
        <v>300</v>
      </c>
      <c r="D2269">
        <v>300</v>
      </c>
      <c r="E2269">
        <v>10000</v>
      </c>
      <c r="F2269">
        <v>85</v>
      </c>
      <c r="G2269">
        <v>0</v>
      </c>
      <c r="H2269">
        <v>0</v>
      </c>
      <c r="I2269">
        <v>0</v>
      </c>
      <c r="J2269">
        <v>0</v>
      </c>
      <c r="K2269">
        <v>8</v>
      </c>
      <c r="L2269">
        <v>0</v>
      </c>
      <c r="M2269">
        <v>0</v>
      </c>
      <c r="N2269">
        <v>0</v>
      </c>
      <c r="O2269">
        <v>0</v>
      </c>
      <c r="P2269">
        <v>25</v>
      </c>
      <c r="Q2269">
        <v>25</v>
      </c>
      <c r="R2269">
        <v>0</v>
      </c>
      <c r="S2269">
        <v>0</v>
      </c>
      <c r="T2269">
        <v>6</v>
      </c>
      <c r="U2269">
        <v>8</v>
      </c>
      <c r="V2269">
        <v>0</v>
      </c>
      <c r="W2269">
        <v>0</v>
      </c>
      <c r="X2269">
        <v>0</v>
      </c>
    </row>
    <row r="2270" spans="1:24" x14ac:dyDescent="0.2">
      <c r="A2270">
        <v>21270400</v>
      </c>
      <c r="B2270" t="s">
        <v>2269</v>
      </c>
      <c r="C2270">
        <v>500</v>
      </c>
      <c r="D2270">
        <v>500</v>
      </c>
      <c r="E2270">
        <v>10000</v>
      </c>
      <c r="F2270">
        <v>94</v>
      </c>
      <c r="G2270">
        <v>94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30</v>
      </c>
      <c r="Q2270">
        <v>0</v>
      </c>
      <c r="R2270">
        <v>30</v>
      </c>
      <c r="S2270">
        <v>0</v>
      </c>
      <c r="T2270">
        <v>6</v>
      </c>
      <c r="U2270">
        <v>8</v>
      </c>
      <c r="V2270">
        <v>0</v>
      </c>
      <c r="W2270">
        <v>0</v>
      </c>
      <c r="X2270">
        <v>0</v>
      </c>
    </row>
    <row r="2271" spans="1:24" x14ac:dyDescent="0.2">
      <c r="A2271">
        <v>21270500</v>
      </c>
      <c r="B2271" t="s">
        <v>2270</v>
      </c>
      <c r="C2271">
        <v>400</v>
      </c>
      <c r="D2271">
        <v>400</v>
      </c>
      <c r="E2271">
        <v>10000</v>
      </c>
      <c r="F2271">
        <v>94</v>
      </c>
      <c r="G2271">
        <v>94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30</v>
      </c>
      <c r="Q2271">
        <v>0</v>
      </c>
      <c r="R2271">
        <v>30</v>
      </c>
      <c r="S2271">
        <v>0</v>
      </c>
      <c r="T2271">
        <v>6</v>
      </c>
      <c r="U2271">
        <v>8</v>
      </c>
      <c r="V2271">
        <v>0</v>
      </c>
      <c r="W2271">
        <v>0</v>
      </c>
      <c r="X2271">
        <v>0</v>
      </c>
    </row>
    <row r="2272" spans="1:24" x14ac:dyDescent="0.2">
      <c r="A2272">
        <v>21270600</v>
      </c>
      <c r="B2272" t="s">
        <v>2271</v>
      </c>
      <c r="C2272">
        <v>600</v>
      </c>
      <c r="D2272">
        <v>600</v>
      </c>
      <c r="E2272">
        <v>10000</v>
      </c>
      <c r="F2272">
        <v>75</v>
      </c>
      <c r="G2272">
        <v>0</v>
      </c>
      <c r="H2272">
        <v>75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30</v>
      </c>
      <c r="Q2272">
        <v>0</v>
      </c>
      <c r="R2272">
        <v>0</v>
      </c>
      <c r="S2272">
        <v>0</v>
      </c>
      <c r="T2272">
        <v>6</v>
      </c>
      <c r="U2272">
        <v>8</v>
      </c>
      <c r="V2272">
        <v>0</v>
      </c>
      <c r="W2272">
        <v>0</v>
      </c>
      <c r="X2272">
        <v>0</v>
      </c>
    </row>
    <row r="2273" spans="1:24" x14ac:dyDescent="0.2">
      <c r="A2273">
        <v>21270700</v>
      </c>
      <c r="B2273" t="s">
        <v>2272</v>
      </c>
      <c r="C2273">
        <v>700</v>
      </c>
      <c r="D2273">
        <v>700</v>
      </c>
      <c r="E2273">
        <v>10000</v>
      </c>
      <c r="F2273">
        <v>94</v>
      </c>
      <c r="G2273">
        <v>0</v>
      </c>
      <c r="H2273">
        <v>94</v>
      </c>
      <c r="I2273">
        <v>0</v>
      </c>
      <c r="J2273">
        <v>0</v>
      </c>
      <c r="K2273">
        <v>0</v>
      </c>
      <c r="L2273">
        <v>0</v>
      </c>
      <c r="M2273">
        <v>4</v>
      </c>
      <c r="N2273">
        <v>0</v>
      </c>
      <c r="O2273">
        <v>0</v>
      </c>
      <c r="P2273">
        <v>30</v>
      </c>
      <c r="Q2273">
        <v>0</v>
      </c>
      <c r="R2273">
        <v>30</v>
      </c>
      <c r="S2273">
        <v>30</v>
      </c>
      <c r="T2273">
        <v>6</v>
      </c>
      <c r="U2273">
        <v>8</v>
      </c>
      <c r="V2273">
        <v>0</v>
      </c>
      <c r="W2273">
        <v>0</v>
      </c>
      <c r="X2273">
        <v>0</v>
      </c>
    </row>
    <row r="2274" spans="1:24" x14ac:dyDescent="0.2">
      <c r="A2274">
        <v>21270800</v>
      </c>
      <c r="B2274" t="s">
        <v>2273</v>
      </c>
      <c r="C2274">
        <v>800</v>
      </c>
      <c r="D2274">
        <v>800</v>
      </c>
      <c r="E2274">
        <v>10000</v>
      </c>
      <c r="F2274">
        <v>94</v>
      </c>
      <c r="G2274">
        <v>0</v>
      </c>
      <c r="H2274">
        <v>0</v>
      </c>
      <c r="I2274">
        <v>94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30</v>
      </c>
      <c r="Q2274">
        <v>0</v>
      </c>
      <c r="R2274">
        <v>0</v>
      </c>
      <c r="S2274">
        <v>30</v>
      </c>
      <c r="T2274">
        <v>6</v>
      </c>
      <c r="U2274">
        <v>8</v>
      </c>
      <c r="V2274">
        <v>0</v>
      </c>
      <c r="W2274">
        <v>0</v>
      </c>
      <c r="X2274">
        <v>0</v>
      </c>
    </row>
    <row r="2275" spans="1:24" x14ac:dyDescent="0.2">
      <c r="A2275">
        <v>21270900</v>
      </c>
      <c r="B2275" t="s">
        <v>2274</v>
      </c>
      <c r="C2275">
        <v>900</v>
      </c>
      <c r="D2275">
        <v>900</v>
      </c>
      <c r="E2275">
        <v>10000</v>
      </c>
      <c r="F2275">
        <v>75</v>
      </c>
      <c r="G2275">
        <v>0</v>
      </c>
      <c r="H2275">
        <v>0</v>
      </c>
      <c r="I2275">
        <v>0</v>
      </c>
      <c r="J2275">
        <v>75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30</v>
      </c>
      <c r="Q2275">
        <v>0</v>
      </c>
      <c r="R2275">
        <v>0</v>
      </c>
      <c r="S2275">
        <v>0</v>
      </c>
      <c r="T2275">
        <v>6</v>
      </c>
      <c r="U2275">
        <v>8</v>
      </c>
      <c r="V2275">
        <v>0</v>
      </c>
      <c r="W2275">
        <v>0</v>
      </c>
      <c r="X2275">
        <v>0</v>
      </c>
    </row>
    <row r="2276" spans="1:24" x14ac:dyDescent="0.2">
      <c r="A2276">
        <v>21271000</v>
      </c>
      <c r="B2276" t="s">
        <v>2275</v>
      </c>
      <c r="C2276">
        <v>1000</v>
      </c>
      <c r="D2276">
        <v>1000</v>
      </c>
      <c r="E2276">
        <v>10000</v>
      </c>
      <c r="F2276">
        <v>94</v>
      </c>
      <c r="G2276">
        <v>0</v>
      </c>
      <c r="H2276">
        <v>0</v>
      </c>
      <c r="I2276">
        <v>0</v>
      </c>
      <c r="J2276">
        <v>94</v>
      </c>
      <c r="K2276">
        <v>0</v>
      </c>
      <c r="L2276">
        <v>0</v>
      </c>
      <c r="M2276">
        <v>0</v>
      </c>
      <c r="N2276">
        <v>0</v>
      </c>
      <c r="O2276">
        <v>4</v>
      </c>
      <c r="P2276">
        <v>30</v>
      </c>
      <c r="Q2276">
        <v>0</v>
      </c>
      <c r="R2276">
        <v>30</v>
      </c>
      <c r="S2276">
        <v>30</v>
      </c>
      <c r="T2276">
        <v>6</v>
      </c>
      <c r="U2276">
        <v>8</v>
      </c>
      <c r="V2276">
        <v>0</v>
      </c>
      <c r="W2276">
        <v>0</v>
      </c>
      <c r="X2276">
        <v>0</v>
      </c>
    </row>
    <row r="2277" spans="1:24" x14ac:dyDescent="0.2">
      <c r="A2277">
        <v>21271100</v>
      </c>
      <c r="B2277" t="s">
        <v>2276</v>
      </c>
      <c r="C2277">
        <v>1100</v>
      </c>
      <c r="D2277">
        <v>1100</v>
      </c>
      <c r="E2277">
        <v>10000</v>
      </c>
      <c r="F2277">
        <v>85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30</v>
      </c>
      <c r="Q2277">
        <v>0</v>
      </c>
      <c r="R2277">
        <v>0</v>
      </c>
      <c r="S2277">
        <v>0</v>
      </c>
      <c r="T2277">
        <v>6</v>
      </c>
      <c r="U2277">
        <v>8</v>
      </c>
      <c r="V2277">
        <v>0</v>
      </c>
      <c r="W2277">
        <v>0</v>
      </c>
      <c r="X2277">
        <v>0</v>
      </c>
    </row>
    <row r="2278" spans="1:24" x14ac:dyDescent="0.2">
      <c r="A2278">
        <v>21271200</v>
      </c>
      <c r="B2278" t="s">
        <v>2277</v>
      </c>
      <c r="C2278">
        <v>1200</v>
      </c>
      <c r="D2278">
        <v>1200</v>
      </c>
      <c r="E2278">
        <v>10000</v>
      </c>
      <c r="F2278">
        <v>85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30</v>
      </c>
      <c r="Q2278">
        <v>0</v>
      </c>
      <c r="R2278">
        <v>0</v>
      </c>
      <c r="S2278">
        <v>0</v>
      </c>
      <c r="T2278">
        <v>6</v>
      </c>
      <c r="U2278">
        <v>8</v>
      </c>
      <c r="V2278">
        <v>0</v>
      </c>
      <c r="W2278">
        <v>0</v>
      </c>
      <c r="X2278">
        <v>0</v>
      </c>
    </row>
    <row r="2279" spans="1:24" x14ac:dyDescent="0.2">
      <c r="A2279">
        <v>21271300</v>
      </c>
      <c r="B2279" t="s">
        <v>2278</v>
      </c>
      <c r="C2279">
        <v>1300</v>
      </c>
      <c r="D2279">
        <v>1300</v>
      </c>
      <c r="E2279">
        <v>10000</v>
      </c>
      <c r="F2279">
        <v>85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30</v>
      </c>
      <c r="Q2279">
        <v>0</v>
      </c>
      <c r="R2279">
        <v>0</v>
      </c>
      <c r="S2279">
        <v>0</v>
      </c>
      <c r="T2279">
        <v>6</v>
      </c>
      <c r="U2279">
        <v>8</v>
      </c>
      <c r="V2279">
        <v>0</v>
      </c>
      <c r="W2279">
        <v>0</v>
      </c>
      <c r="X2279">
        <v>0</v>
      </c>
    </row>
    <row r="2280" spans="1:24" x14ac:dyDescent="0.2">
      <c r="A2280">
        <v>21271400</v>
      </c>
      <c r="B2280" t="s">
        <v>2279</v>
      </c>
      <c r="C2280">
        <v>1400</v>
      </c>
      <c r="D2280">
        <v>1400</v>
      </c>
      <c r="E2280">
        <v>10014</v>
      </c>
      <c r="F2280">
        <v>94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30</v>
      </c>
      <c r="Q2280">
        <v>0</v>
      </c>
      <c r="R2280">
        <v>0</v>
      </c>
      <c r="S2280">
        <v>30</v>
      </c>
      <c r="T2280">
        <v>6</v>
      </c>
      <c r="U2280">
        <v>8</v>
      </c>
      <c r="V2280">
        <v>0</v>
      </c>
      <c r="W2280">
        <v>0</v>
      </c>
      <c r="X2280">
        <v>0</v>
      </c>
    </row>
    <row r="2281" spans="1:24" x14ac:dyDescent="0.2">
      <c r="A2281">
        <v>21271500</v>
      </c>
      <c r="B2281" t="s">
        <v>2280</v>
      </c>
      <c r="C2281">
        <v>1500</v>
      </c>
      <c r="D2281">
        <v>1500</v>
      </c>
      <c r="E2281">
        <v>10015</v>
      </c>
      <c r="F2281">
        <v>85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30</v>
      </c>
      <c r="Q2281">
        <v>0</v>
      </c>
      <c r="R2281">
        <v>0</v>
      </c>
      <c r="S2281">
        <v>0</v>
      </c>
      <c r="T2281">
        <v>6</v>
      </c>
      <c r="U2281">
        <v>8</v>
      </c>
      <c r="V2281">
        <v>0</v>
      </c>
      <c r="W2281">
        <v>0</v>
      </c>
      <c r="X2281">
        <v>0</v>
      </c>
    </row>
    <row r="2282" spans="1:24" x14ac:dyDescent="0.2">
      <c r="A2282">
        <v>21280000</v>
      </c>
      <c r="B2282" t="s">
        <v>2281</v>
      </c>
      <c r="C2282">
        <v>2000</v>
      </c>
      <c r="D2282">
        <v>8400</v>
      </c>
      <c r="E2282">
        <v>10000</v>
      </c>
      <c r="F2282">
        <v>95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31</v>
      </c>
      <c r="Q2282">
        <v>0</v>
      </c>
      <c r="R2282">
        <v>0</v>
      </c>
      <c r="S2282">
        <v>0</v>
      </c>
      <c r="T2282">
        <v>7</v>
      </c>
      <c r="U2282">
        <v>18</v>
      </c>
      <c r="V2282">
        <v>0</v>
      </c>
      <c r="W2282">
        <v>0</v>
      </c>
      <c r="X2282">
        <v>0</v>
      </c>
    </row>
    <row r="2283" spans="1:24" x14ac:dyDescent="0.2">
      <c r="A2283">
        <v>21290000</v>
      </c>
      <c r="B2283" t="s">
        <v>2282</v>
      </c>
      <c r="C2283">
        <v>0</v>
      </c>
      <c r="D2283">
        <v>8200</v>
      </c>
      <c r="E2283">
        <v>10000</v>
      </c>
      <c r="F2283">
        <v>88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30</v>
      </c>
      <c r="Q2283">
        <v>0</v>
      </c>
      <c r="R2283">
        <v>0</v>
      </c>
      <c r="S2283">
        <v>0</v>
      </c>
      <c r="T2283">
        <v>6</v>
      </c>
      <c r="U2283">
        <v>12</v>
      </c>
      <c r="V2283">
        <v>0</v>
      </c>
      <c r="W2283">
        <v>0</v>
      </c>
      <c r="X2283">
        <v>0</v>
      </c>
    </row>
    <row r="2284" spans="1:24" x14ac:dyDescent="0.2">
      <c r="A2284">
        <v>21290100</v>
      </c>
      <c r="B2284" t="s">
        <v>2283</v>
      </c>
      <c r="C2284">
        <v>200</v>
      </c>
      <c r="D2284">
        <v>100</v>
      </c>
      <c r="E2284">
        <v>10000</v>
      </c>
      <c r="F2284">
        <v>88</v>
      </c>
      <c r="G2284">
        <v>0</v>
      </c>
      <c r="H2284">
        <v>0</v>
      </c>
      <c r="I2284">
        <v>0</v>
      </c>
      <c r="J2284">
        <v>0</v>
      </c>
      <c r="K2284">
        <v>1</v>
      </c>
      <c r="L2284">
        <v>0</v>
      </c>
      <c r="M2284">
        <v>0</v>
      </c>
      <c r="N2284">
        <v>0</v>
      </c>
      <c r="O2284">
        <v>0</v>
      </c>
      <c r="P2284">
        <v>30</v>
      </c>
      <c r="Q2284">
        <v>0</v>
      </c>
      <c r="R2284">
        <v>0</v>
      </c>
      <c r="S2284">
        <v>0</v>
      </c>
      <c r="T2284">
        <v>6</v>
      </c>
      <c r="U2284">
        <v>12</v>
      </c>
      <c r="V2284">
        <v>0</v>
      </c>
      <c r="W2284">
        <v>0</v>
      </c>
      <c r="X2284">
        <v>0</v>
      </c>
    </row>
    <row r="2285" spans="1:24" x14ac:dyDescent="0.2">
      <c r="A2285">
        <v>21290200</v>
      </c>
      <c r="B2285" t="s">
        <v>2284</v>
      </c>
      <c r="C2285">
        <v>100</v>
      </c>
      <c r="D2285">
        <v>200</v>
      </c>
      <c r="E2285">
        <v>10000</v>
      </c>
      <c r="F2285">
        <v>88</v>
      </c>
      <c r="G2285">
        <v>0</v>
      </c>
      <c r="H2285">
        <v>0</v>
      </c>
      <c r="I2285">
        <v>0</v>
      </c>
      <c r="J2285">
        <v>0</v>
      </c>
      <c r="K2285">
        <v>1</v>
      </c>
      <c r="L2285">
        <v>0</v>
      </c>
      <c r="M2285">
        <v>0</v>
      </c>
      <c r="N2285">
        <v>0</v>
      </c>
      <c r="O2285">
        <v>0</v>
      </c>
      <c r="P2285">
        <v>30</v>
      </c>
      <c r="Q2285">
        <v>0</v>
      </c>
      <c r="R2285">
        <v>0</v>
      </c>
      <c r="S2285">
        <v>0</v>
      </c>
      <c r="T2285">
        <v>6</v>
      </c>
      <c r="U2285">
        <v>12</v>
      </c>
      <c r="V2285">
        <v>0</v>
      </c>
      <c r="W2285">
        <v>0</v>
      </c>
      <c r="X2285">
        <v>0</v>
      </c>
    </row>
    <row r="2286" spans="1:24" x14ac:dyDescent="0.2">
      <c r="A2286">
        <v>21290300</v>
      </c>
      <c r="B2286" t="s">
        <v>2285</v>
      </c>
      <c r="C2286">
        <v>300</v>
      </c>
      <c r="D2286">
        <v>300</v>
      </c>
      <c r="E2286">
        <v>10000</v>
      </c>
      <c r="F2286">
        <v>88</v>
      </c>
      <c r="G2286">
        <v>0</v>
      </c>
      <c r="H2286">
        <v>0</v>
      </c>
      <c r="I2286">
        <v>0</v>
      </c>
      <c r="J2286">
        <v>0</v>
      </c>
      <c r="K2286">
        <v>8</v>
      </c>
      <c r="L2286">
        <v>0</v>
      </c>
      <c r="M2286">
        <v>0</v>
      </c>
      <c r="N2286">
        <v>0</v>
      </c>
      <c r="O2286">
        <v>0</v>
      </c>
      <c r="P2286">
        <v>25</v>
      </c>
      <c r="Q2286">
        <v>25</v>
      </c>
      <c r="R2286">
        <v>0</v>
      </c>
      <c r="S2286">
        <v>0</v>
      </c>
      <c r="T2286">
        <v>6</v>
      </c>
      <c r="U2286">
        <v>12</v>
      </c>
      <c r="V2286">
        <v>0</v>
      </c>
      <c r="W2286">
        <v>0</v>
      </c>
      <c r="X2286">
        <v>0</v>
      </c>
    </row>
    <row r="2287" spans="1:24" x14ac:dyDescent="0.2">
      <c r="A2287">
        <v>21290400</v>
      </c>
      <c r="B2287" t="s">
        <v>2286</v>
      </c>
      <c r="C2287">
        <v>500</v>
      </c>
      <c r="D2287">
        <v>500</v>
      </c>
      <c r="E2287">
        <v>10000</v>
      </c>
      <c r="F2287">
        <v>97</v>
      </c>
      <c r="G2287">
        <v>97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30</v>
      </c>
      <c r="Q2287">
        <v>0</v>
      </c>
      <c r="R2287">
        <v>30</v>
      </c>
      <c r="S2287">
        <v>0</v>
      </c>
      <c r="T2287">
        <v>6</v>
      </c>
      <c r="U2287">
        <v>12</v>
      </c>
      <c r="V2287">
        <v>0</v>
      </c>
      <c r="W2287">
        <v>0</v>
      </c>
      <c r="X2287">
        <v>0</v>
      </c>
    </row>
    <row r="2288" spans="1:24" x14ac:dyDescent="0.2">
      <c r="A2288">
        <v>21290500</v>
      </c>
      <c r="B2288" t="s">
        <v>2287</v>
      </c>
      <c r="C2288">
        <v>400</v>
      </c>
      <c r="D2288">
        <v>400</v>
      </c>
      <c r="E2288">
        <v>10000</v>
      </c>
      <c r="F2288">
        <v>97</v>
      </c>
      <c r="G2288">
        <v>97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30</v>
      </c>
      <c r="Q2288">
        <v>0</v>
      </c>
      <c r="R2288">
        <v>30</v>
      </c>
      <c r="S2288">
        <v>0</v>
      </c>
      <c r="T2288">
        <v>6</v>
      </c>
      <c r="U2288">
        <v>12</v>
      </c>
      <c r="V2288">
        <v>0</v>
      </c>
      <c r="W2288">
        <v>0</v>
      </c>
      <c r="X2288">
        <v>0</v>
      </c>
    </row>
    <row r="2289" spans="1:24" x14ac:dyDescent="0.2">
      <c r="A2289">
        <v>21290600</v>
      </c>
      <c r="B2289" t="s">
        <v>2288</v>
      </c>
      <c r="C2289">
        <v>600</v>
      </c>
      <c r="D2289">
        <v>600</v>
      </c>
      <c r="E2289">
        <v>10000</v>
      </c>
      <c r="F2289">
        <v>78</v>
      </c>
      <c r="G2289">
        <v>0</v>
      </c>
      <c r="H2289">
        <v>78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30</v>
      </c>
      <c r="Q2289">
        <v>0</v>
      </c>
      <c r="R2289">
        <v>0</v>
      </c>
      <c r="S2289">
        <v>0</v>
      </c>
      <c r="T2289">
        <v>6</v>
      </c>
      <c r="U2289">
        <v>12</v>
      </c>
      <c r="V2289">
        <v>0</v>
      </c>
      <c r="W2289">
        <v>0</v>
      </c>
      <c r="X2289">
        <v>0</v>
      </c>
    </row>
    <row r="2290" spans="1:24" x14ac:dyDescent="0.2">
      <c r="A2290">
        <v>21290700</v>
      </c>
      <c r="B2290" t="s">
        <v>2289</v>
      </c>
      <c r="C2290">
        <v>700</v>
      </c>
      <c r="D2290">
        <v>700</v>
      </c>
      <c r="E2290">
        <v>10000</v>
      </c>
      <c r="F2290">
        <v>97</v>
      </c>
      <c r="G2290">
        <v>0</v>
      </c>
      <c r="H2290">
        <v>97</v>
      </c>
      <c r="I2290">
        <v>0</v>
      </c>
      <c r="J2290">
        <v>0</v>
      </c>
      <c r="K2290">
        <v>0</v>
      </c>
      <c r="L2290">
        <v>0</v>
      </c>
      <c r="M2290">
        <v>4</v>
      </c>
      <c r="N2290">
        <v>0</v>
      </c>
      <c r="O2290">
        <v>0</v>
      </c>
      <c r="P2290">
        <v>30</v>
      </c>
      <c r="Q2290">
        <v>0</v>
      </c>
      <c r="R2290">
        <v>30</v>
      </c>
      <c r="S2290">
        <v>30</v>
      </c>
      <c r="T2290">
        <v>6</v>
      </c>
      <c r="U2290">
        <v>12</v>
      </c>
      <c r="V2290">
        <v>0</v>
      </c>
      <c r="W2290">
        <v>0</v>
      </c>
      <c r="X2290">
        <v>0</v>
      </c>
    </row>
    <row r="2291" spans="1:24" x14ac:dyDescent="0.2">
      <c r="A2291">
        <v>21290800</v>
      </c>
      <c r="B2291" t="s">
        <v>2290</v>
      </c>
      <c r="C2291">
        <v>800</v>
      </c>
      <c r="D2291">
        <v>800</v>
      </c>
      <c r="E2291">
        <v>10000</v>
      </c>
      <c r="F2291">
        <v>97</v>
      </c>
      <c r="G2291">
        <v>0</v>
      </c>
      <c r="H2291">
        <v>0</v>
      </c>
      <c r="I2291">
        <v>97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30</v>
      </c>
      <c r="Q2291">
        <v>0</v>
      </c>
      <c r="R2291">
        <v>0</v>
      </c>
      <c r="S2291">
        <v>30</v>
      </c>
      <c r="T2291">
        <v>6</v>
      </c>
      <c r="U2291">
        <v>12</v>
      </c>
      <c r="V2291">
        <v>0</v>
      </c>
      <c r="W2291">
        <v>0</v>
      </c>
      <c r="X2291">
        <v>0</v>
      </c>
    </row>
    <row r="2292" spans="1:24" x14ac:dyDescent="0.2">
      <c r="A2292">
        <v>21290900</v>
      </c>
      <c r="B2292" t="s">
        <v>2291</v>
      </c>
      <c r="C2292">
        <v>900</v>
      </c>
      <c r="D2292">
        <v>900</v>
      </c>
      <c r="E2292">
        <v>10000</v>
      </c>
      <c r="F2292">
        <v>78</v>
      </c>
      <c r="G2292">
        <v>0</v>
      </c>
      <c r="H2292">
        <v>0</v>
      </c>
      <c r="I2292">
        <v>0</v>
      </c>
      <c r="J2292">
        <v>78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30</v>
      </c>
      <c r="Q2292">
        <v>0</v>
      </c>
      <c r="R2292">
        <v>0</v>
      </c>
      <c r="S2292">
        <v>0</v>
      </c>
      <c r="T2292">
        <v>6</v>
      </c>
      <c r="U2292">
        <v>12</v>
      </c>
      <c r="V2292">
        <v>0</v>
      </c>
      <c r="W2292">
        <v>0</v>
      </c>
      <c r="X2292">
        <v>0</v>
      </c>
    </row>
    <row r="2293" spans="1:24" x14ac:dyDescent="0.2">
      <c r="A2293">
        <v>21291000</v>
      </c>
      <c r="B2293" t="s">
        <v>2292</v>
      </c>
      <c r="C2293">
        <v>1000</v>
      </c>
      <c r="D2293">
        <v>1000</v>
      </c>
      <c r="E2293">
        <v>10000</v>
      </c>
      <c r="F2293">
        <v>97</v>
      </c>
      <c r="G2293">
        <v>0</v>
      </c>
      <c r="H2293">
        <v>0</v>
      </c>
      <c r="I2293">
        <v>0</v>
      </c>
      <c r="J2293">
        <v>97</v>
      </c>
      <c r="K2293">
        <v>0</v>
      </c>
      <c r="L2293">
        <v>0</v>
      </c>
      <c r="M2293">
        <v>0</v>
      </c>
      <c r="N2293">
        <v>0</v>
      </c>
      <c r="O2293">
        <v>4</v>
      </c>
      <c r="P2293">
        <v>30</v>
      </c>
      <c r="Q2293">
        <v>0</v>
      </c>
      <c r="R2293">
        <v>30</v>
      </c>
      <c r="S2293">
        <v>30</v>
      </c>
      <c r="T2293">
        <v>6</v>
      </c>
      <c r="U2293">
        <v>12</v>
      </c>
      <c r="V2293">
        <v>0</v>
      </c>
      <c r="W2293">
        <v>0</v>
      </c>
      <c r="X2293">
        <v>0</v>
      </c>
    </row>
    <row r="2294" spans="1:24" x14ac:dyDescent="0.2">
      <c r="A2294">
        <v>21291100</v>
      </c>
      <c r="B2294" t="s">
        <v>2293</v>
      </c>
      <c r="C2294">
        <v>1100</v>
      </c>
      <c r="D2294">
        <v>1100</v>
      </c>
      <c r="E2294">
        <v>10000</v>
      </c>
      <c r="F2294">
        <v>88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30</v>
      </c>
      <c r="Q2294">
        <v>0</v>
      </c>
      <c r="R2294">
        <v>0</v>
      </c>
      <c r="S2294">
        <v>0</v>
      </c>
      <c r="T2294">
        <v>6</v>
      </c>
      <c r="U2294">
        <v>12</v>
      </c>
      <c r="V2294">
        <v>0</v>
      </c>
      <c r="W2294">
        <v>0</v>
      </c>
      <c r="X2294">
        <v>0</v>
      </c>
    </row>
    <row r="2295" spans="1:24" x14ac:dyDescent="0.2">
      <c r="A2295">
        <v>21291200</v>
      </c>
      <c r="B2295" t="s">
        <v>2294</v>
      </c>
      <c r="C2295">
        <v>1200</v>
      </c>
      <c r="D2295">
        <v>1200</v>
      </c>
      <c r="E2295">
        <v>10000</v>
      </c>
      <c r="F2295">
        <v>88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30</v>
      </c>
      <c r="Q2295">
        <v>0</v>
      </c>
      <c r="R2295">
        <v>0</v>
      </c>
      <c r="S2295">
        <v>0</v>
      </c>
      <c r="T2295">
        <v>6</v>
      </c>
      <c r="U2295">
        <v>12</v>
      </c>
      <c r="V2295">
        <v>0</v>
      </c>
      <c r="W2295">
        <v>0</v>
      </c>
      <c r="X2295">
        <v>0</v>
      </c>
    </row>
    <row r="2296" spans="1:24" x14ac:dyDescent="0.2">
      <c r="A2296">
        <v>21291300</v>
      </c>
      <c r="B2296" t="s">
        <v>2295</v>
      </c>
      <c r="C2296">
        <v>1300</v>
      </c>
      <c r="D2296">
        <v>1300</v>
      </c>
      <c r="E2296">
        <v>10000</v>
      </c>
      <c r="F2296">
        <v>88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30</v>
      </c>
      <c r="Q2296">
        <v>0</v>
      </c>
      <c r="R2296">
        <v>0</v>
      </c>
      <c r="S2296">
        <v>0</v>
      </c>
      <c r="T2296">
        <v>6</v>
      </c>
      <c r="U2296">
        <v>12</v>
      </c>
      <c r="V2296">
        <v>0</v>
      </c>
      <c r="W2296">
        <v>0</v>
      </c>
      <c r="X2296">
        <v>0</v>
      </c>
    </row>
    <row r="2297" spans="1:24" x14ac:dyDescent="0.2">
      <c r="A2297">
        <v>21291400</v>
      </c>
      <c r="B2297" t="s">
        <v>2296</v>
      </c>
      <c r="C2297">
        <v>1400</v>
      </c>
      <c r="D2297">
        <v>1400</v>
      </c>
      <c r="E2297">
        <v>10014</v>
      </c>
      <c r="F2297">
        <v>97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30</v>
      </c>
      <c r="Q2297">
        <v>0</v>
      </c>
      <c r="R2297">
        <v>0</v>
      </c>
      <c r="S2297">
        <v>30</v>
      </c>
      <c r="T2297">
        <v>6</v>
      </c>
      <c r="U2297">
        <v>12</v>
      </c>
      <c r="V2297">
        <v>0</v>
      </c>
      <c r="W2297">
        <v>0</v>
      </c>
      <c r="X2297">
        <v>0</v>
      </c>
    </row>
    <row r="2298" spans="1:24" x14ac:dyDescent="0.2">
      <c r="A2298">
        <v>21291500</v>
      </c>
      <c r="B2298" t="s">
        <v>2297</v>
      </c>
      <c r="C2298">
        <v>1500</v>
      </c>
      <c r="D2298">
        <v>1500</v>
      </c>
      <c r="E2298">
        <v>10015</v>
      </c>
      <c r="F2298">
        <v>88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30</v>
      </c>
      <c r="Q2298">
        <v>0</v>
      </c>
      <c r="R2298">
        <v>0</v>
      </c>
      <c r="S2298">
        <v>0</v>
      </c>
      <c r="T2298">
        <v>6</v>
      </c>
      <c r="U2298">
        <v>12</v>
      </c>
      <c r="V2298">
        <v>0</v>
      </c>
      <c r="W2298">
        <v>0</v>
      </c>
      <c r="X2298">
        <v>0</v>
      </c>
    </row>
    <row r="2299" spans="1:24" x14ac:dyDescent="0.2">
      <c r="A2299">
        <v>21300000</v>
      </c>
      <c r="B2299" t="s">
        <v>2298</v>
      </c>
      <c r="C2299">
        <v>2200</v>
      </c>
      <c r="D2299">
        <v>8300</v>
      </c>
      <c r="E2299">
        <v>10000</v>
      </c>
      <c r="F2299">
        <v>90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30</v>
      </c>
      <c r="Q2299">
        <v>0</v>
      </c>
      <c r="R2299">
        <v>0</v>
      </c>
      <c r="S2299">
        <v>0</v>
      </c>
      <c r="T2299">
        <v>6</v>
      </c>
      <c r="U2299">
        <v>12</v>
      </c>
      <c r="V2299">
        <v>0</v>
      </c>
      <c r="W2299">
        <v>0</v>
      </c>
      <c r="X2299">
        <v>0</v>
      </c>
    </row>
    <row r="2300" spans="1:24" x14ac:dyDescent="0.2">
      <c r="A2300">
        <v>21310000</v>
      </c>
      <c r="B2300" t="s">
        <v>2299</v>
      </c>
      <c r="C2300">
        <v>2000</v>
      </c>
      <c r="D2300">
        <v>8400</v>
      </c>
      <c r="E2300">
        <v>10000</v>
      </c>
      <c r="F2300">
        <v>132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35</v>
      </c>
      <c r="Q2300">
        <v>0</v>
      </c>
      <c r="R2300">
        <v>0</v>
      </c>
      <c r="S2300">
        <v>10</v>
      </c>
      <c r="T2300">
        <v>7</v>
      </c>
      <c r="U2300">
        <v>35</v>
      </c>
      <c r="V2300">
        <v>0</v>
      </c>
      <c r="W2300">
        <v>0</v>
      </c>
      <c r="X2300">
        <v>15</v>
      </c>
    </row>
    <row r="2301" spans="1:24" x14ac:dyDescent="0.2">
      <c r="A2301">
        <v>22010000</v>
      </c>
      <c r="B2301" t="s">
        <v>2300</v>
      </c>
      <c r="C2301">
        <v>0</v>
      </c>
      <c r="D2301">
        <v>8200</v>
      </c>
      <c r="E2301">
        <v>10000</v>
      </c>
      <c r="F2301">
        <v>111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35</v>
      </c>
      <c r="Q2301">
        <v>0</v>
      </c>
      <c r="R2301">
        <v>0</v>
      </c>
      <c r="S2301">
        <v>0</v>
      </c>
      <c r="T2301">
        <v>7</v>
      </c>
      <c r="U2301">
        <v>36</v>
      </c>
      <c r="V2301">
        <v>0</v>
      </c>
      <c r="W2301">
        <v>0</v>
      </c>
      <c r="X2301">
        <v>0</v>
      </c>
    </row>
    <row r="2302" spans="1:24" x14ac:dyDescent="0.2">
      <c r="A2302">
        <v>22010100</v>
      </c>
      <c r="B2302" t="s">
        <v>2301</v>
      </c>
      <c r="C2302">
        <v>200</v>
      </c>
      <c r="D2302">
        <v>100</v>
      </c>
      <c r="E2302">
        <v>10000</v>
      </c>
      <c r="F2302">
        <v>111</v>
      </c>
      <c r="G2302">
        <v>0</v>
      </c>
      <c r="H2302">
        <v>0</v>
      </c>
      <c r="I2302">
        <v>0</v>
      </c>
      <c r="J2302">
        <v>0</v>
      </c>
      <c r="K2302">
        <v>1</v>
      </c>
      <c r="L2302">
        <v>0</v>
      </c>
      <c r="M2302">
        <v>0</v>
      </c>
      <c r="N2302">
        <v>0</v>
      </c>
      <c r="O2302">
        <v>0</v>
      </c>
      <c r="P2302">
        <v>35</v>
      </c>
      <c r="Q2302">
        <v>0</v>
      </c>
      <c r="R2302">
        <v>0</v>
      </c>
      <c r="S2302">
        <v>0</v>
      </c>
      <c r="T2302">
        <v>7</v>
      </c>
      <c r="U2302">
        <v>36</v>
      </c>
      <c r="V2302">
        <v>0</v>
      </c>
      <c r="W2302">
        <v>0</v>
      </c>
      <c r="X2302">
        <v>0</v>
      </c>
    </row>
    <row r="2303" spans="1:24" x14ac:dyDescent="0.2">
      <c r="A2303">
        <v>22010200</v>
      </c>
      <c r="B2303" t="s">
        <v>2302</v>
      </c>
      <c r="C2303">
        <v>100</v>
      </c>
      <c r="D2303">
        <v>200</v>
      </c>
      <c r="E2303">
        <v>10000</v>
      </c>
      <c r="F2303">
        <v>111</v>
      </c>
      <c r="G2303">
        <v>0</v>
      </c>
      <c r="H2303">
        <v>0</v>
      </c>
      <c r="I2303">
        <v>0</v>
      </c>
      <c r="J2303">
        <v>0</v>
      </c>
      <c r="K2303">
        <v>1</v>
      </c>
      <c r="L2303">
        <v>0</v>
      </c>
      <c r="M2303">
        <v>0</v>
      </c>
      <c r="N2303">
        <v>0</v>
      </c>
      <c r="O2303">
        <v>0</v>
      </c>
      <c r="P2303">
        <v>35</v>
      </c>
      <c r="Q2303">
        <v>0</v>
      </c>
      <c r="R2303">
        <v>0</v>
      </c>
      <c r="S2303">
        <v>0</v>
      </c>
      <c r="T2303">
        <v>7</v>
      </c>
      <c r="U2303">
        <v>36</v>
      </c>
      <c r="V2303">
        <v>0</v>
      </c>
      <c r="W2303">
        <v>0</v>
      </c>
      <c r="X2303">
        <v>0</v>
      </c>
    </row>
    <row r="2304" spans="1:24" x14ac:dyDescent="0.2">
      <c r="A2304">
        <v>22010300</v>
      </c>
      <c r="B2304" t="s">
        <v>2303</v>
      </c>
      <c r="C2304">
        <v>300</v>
      </c>
      <c r="D2304">
        <v>300</v>
      </c>
      <c r="E2304">
        <v>10000</v>
      </c>
      <c r="F2304">
        <v>111</v>
      </c>
      <c r="G2304">
        <v>0</v>
      </c>
      <c r="H2304">
        <v>0</v>
      </c>
      <c r="I2304">
        <v>0</v>
      </c>
      <c r="J2304">
        <v>0</v>
      </c>
      <c r="K2304">
        <v>8</v>
      </c>
      <c r="L2304">
        <v>0</v>
      </c>
      <c r="M2304">
        <v>0</v>
      </c>
      <c r="N2304">
        <v>0</v>
      </c>
      <c r="O2304">
        <v>0</v>
      </c>
      <c r="P2304">
        <v>27</v>
      </c>
      <c r="Q2304">
        <v>27</v>
      </c>
      <c r="R2304">
        <v>0</v>
      </c>
      <c r="S2304">
        <v>0</v>
      </c>
      <c r="T2304">
        <v>7</v>
      </c>
      <c r="U2304">
        <v>36</v>
      </c>
      <c r="V2304">
        <v>0</v>
      </c>
      <c r="W2304">
        <v>0</v>
      </c>
      <c r="X2304">
        <v>0</v>
      </c>
    </row>
    <row r="2305" spans="1:24" x14ac:dyDescent="0.2">
      <c r="A2305">
        <v>22010400</v>
      </c>
      <c r="B2305" t="s">
        <v>2304</v>
      </c>
      <c r="C2305">
        <v>500</v>
      </c>
      <c r="D2305">
        <v>500</v>
      </c>
      <c r="E2305">
        <v>10000</v>
      </c>
      <c r="F2305">
        <v>116</v>
      </c>
      <c r="G2305">
        <v>116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35</v>
      </c>
      <c r="Q2305">
        <v>0</v>
      </c>
      <c r="R2305">
        <v>35</v>
      </c>
      <c r="S2305">
        <v>0</v>
      </c>
      <c r="T2305">
        <v>7</v>
      </c>
      <c r="U2305">
        <v>36</v>
      </c>
      <c r="V2305">
        <v>0</v>
      </c>
      <c r="W2305">
        <v>0</v>
      </c>
      <c r="X2305">
        <v>0</v>
      </c>
    </row>
    <row r="2306" spans="1:24" x14ac:dyDescent="0.2">
      <c r="A2306">
        <v>22010500</v>
      </c>
      <c r="B2306" t="s">
        <v>2305</v>
      </c>
      <c r="C2306">
        <v>400</v>
      </c>
      <c r="D2306">
        <v>400</v>
      </c>
      <c r="E2306">
        <v>10000</v>
      </c>
      <c r="F2306">
        <v>116</v>
      </c>
      <c r="G2306">
        <v>116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35</v>
      </c>
      <c r="Q2306">
        <v>0</v>
      </c>
      <c r="R2306">
        <v>35</v>
      </c>
      <c r="S2306">
        <v>0</v>
      </c>
      <c r="T2306">
        <v>7</v>
      </c>
      <c r="U2306">
        <v>36</v>
      </c>
      <c r="V2306">
        <v>0</v>
      </c>
      <c r="W2306">
        <v>0</v>
      </c>
      <c r="X2306">
        <v>0</v>
      </c>
    </row>
    <row r="2307" spans="1:24" x14ac:dyDescent="0.2">
      <c r="A2307">
        <v>22010600</v>
      </c>
      <c r="B2307" t="s">
        <v>2306</v>
      </c>
      <c r="C2307">
        <v>600</v>
      </c>
      <c r="D2307">
        <v>600</v>
      </c>
      <c r="E2307">
        <v>10000</v>
      </c>
      <c r="F2307">
        <v>96</v>
      </c>
      <c r="G2307">
        <v>0</v>
      </c>
      <c r="H2307">
        <v>96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35</v>
      </c>
      <c r="Q2307">
        <v>0</v>
      </c>
      <c r="R2307">
        <v>0</v>
      </c>
      <c r="S2307">
        <v>0</v>
      </c>
      <c r="T2307">
        <v>7</v>
      </c>
      <c r="U2307">
        <v>36</v>
      </c>
      <c r="V2307">
        <v>0</v>
      </c>
      <c r="W2307">
        <v>0</v>
      </c>
      <c r="X2307">
        <v>0</v>
      </c>
    </row>
    <row r="2308" spans="1:24" x14ac:dyDescent="0.2">
      <c r="A2308">
        <v>22010700</v>
      </c>
      <c r="B2308" t="s">
        <v>2307</v>
      </c>
      <c r="C2308">
        <v>700</v>
      </c>
      <c r="D2308">
        <v>700</v>
      </c>
      <c r="E2308">
        <v>10000</v>
      </c>
      <c r="F2308">
        <v>116</v>
      </c>
      <c r="G2308">
        <v>0</v>
      </c>
      <c r="H2308">
        <v>116</v>
      </c>
      <c r="I2308">
        <v>0</v>
      </c>
      <c r="J2308">
        <v>0</v>
      </c>
      <c r="K2308">
        <v>0</v>
      </c>
      <c r="L2308">
        <v>0</v>
      </c>
      <c r="M2308">
        <v>4</v>
      </c>
      <c r="N2308">
        <v>0</v>
      </c>
      <c r="O2308">
        <v>0</v>
      </c>
      <c r="P2308">
        <v>35</v>
      </c>
      <c r="Q2308">
        <v>0</v>
      </c>
      <c r="R2308">
        <v>35</v>
      </c>
      <c r="S2308">
        <v>35</v>
      </c>
      <c r="T2308">
        <v>7</v>
      </c>
      <c r="U2308">
        <v>36</v>
      </c>
      <c r="V2308">
        <v>0</v>
      </c>
      <c r="W2308">
        <v>0</v>
      </c>
      <c r="X2308">
        <v>0</v>
      </c>
    </row>
    <row r="2309" spans="1:24" x14ac:dyDescent="0.2">
      <c r="A2309">
        <v>22010800</v>
      </c>
      <c r="B2309" t="s">
        <v>2308</v>
      </c>
      <c r="C2309">
        <v>800</v>
      </c>
      <c r="D2309">
        <v>800</v>
      </c>
      <c r="E2309">
        <v>10000</v>
      </c>
      <c r="F2309">
        <v>116</v>
      </c>
      <c r="G2309">
        <v>0</v>
      </c>
      <c r="H2309">
        <v>0</v>
      </c>
      <c r="I2309">
        <v>116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35</v>
      </c>
      <c r="Q2309">
        <v>0</v>
      </c>
      <c r="R2309">
        <v>0</v>
      </c>
      <c r="S2309">
        <v>35</v>
      </c>
      <c r="T2309">
        <v>7</v>
      </c>
      <c r="U2309">
        <v>36</v>
      </c>
      <c r="V2309">
        <v>0</v>
      </c>
      <c r="W2309">
        <v>0</v>
      </c>
      <c r="X2309">
        <v>0</v>
      </c>
    </row>
    <row r="2310" spans="1:24" x14ac:dyDescent="0.2">
      <c r="A2310">
        <v>22010900</v>
      </c>
      <c r="B2310" t="s">
        <v>2309</v>
      </c>
      <c r="C2310">
        <v>900</v>
      </c>
      <c r="D2310">
        <v>900</v>
      </c>
      <c r="E2310">
        <v>10000</v>
      </c>
      <c r="F2310">
        <v>96</v>
      </c>
      <c r="G2310">
        <v>0</v>
      </c>
      <c r="H2310">
        <v>0</v>
      </c>
      <c r="I2310">
        <v>0</v>
      </c>
      <c r="J2310">
        <v>96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35</v>
      </c>
      <c r="Q2310">
        <v>0</v>
      </c>
      <c r="R2310">
        <v>0</v>
      </c>
      <c r="S2310">
        <v>0</v>
      </c>
      <c r="T2310">
        <v>7</v>
      </c>
      <c r="U2310">
        <v>36</v>
      </c>
      <c r="V2310">
        <v>0</v>
      </c>
      <c r="W2310">
        <v>0</v>
      </c>
      <c r="X2310">
        <v>0</v>
      </c>
    </row>
    <row r="2311" spans="1:24" x14ac:dyDescent="0.2">
      <c r="A2311">
        <v>22011000</v>
      </c>
      <c r="B2311" t="s">
        <v>2310</v>
      </c>
      <c r="C2311">
        <v>1000</v>
      </c>
      <c r="D2311">
        <v>1000</v>
      </c>
      <c r="E2311">
        <v>10000</v>
      </c>
      <c r="F2311">
        <v>116</v>
      </c>
      <c r="G2311">
        <v>0</v>
      </c>
      <c r="H2311">
        <v>0</v>
      </c>
      <c r="I2311">
        <v>0</v>
      </c>
      <c r="J2311">
        <v>116</v>
      </c>
      <c r="K2311">
        <v>0</v>
      </c>
      <c r="L2311">
        <v>0</v>
      </c>
      <c r="M2311">
        <v>0</v>
      </c>
      <c r="N2311">
        <v>0</v>
      </c>
      <c r="O2311">
        <v>4</v>
      </c>
      <c r="P2311">
        <v>35</v>
      </c>
      <c r="Q2311">
        <v>0</v>
      </c>
      <c r="R2311">
        <v>35</v>
      </c>
      <c r="S2311">
        <v>35</v>
      </c>
      <c r="T2311">
        <v>7</v>
      </c>
      <c r="U2311">
        <v>36</v>
      </c>
      <c r="V2311">
        <v>0</v>
      </c>
      <c r="W2311">
        <v>0</v>
      </c>
      <c r="X2311">
        <v>0</v>
      </c>
    </row>
    <row r="2312" spans="1:24" x14ac:dyDescent="0.2">
      <c r="A2312">
        <v>22011100</v>
      </c>
      <c r="B2312" t="s">
        <v>2311</v>
      </c>
      <c r="C2312">
        <v>1100</v>
      </c>
      <c r="D2312">
        <v>1100</v>
      </c>
      <c r="E2312">
        <v>10000</v>
      </c>
      <c r="F2312">
        <v>111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35</v>
      </c>
      <c r="Q2312">
        <v>0</v>
      </c>
      <c r="R2312">
        <v>0</v>
      </c>
      <c r="S2312">
        <v>0</v>
      </c>
      <c r="T2312">
        <v>7</v>
      </c>
      <c r="U2312">
        <v>36</v>
      </c>
      <c r="V2312">
        <v>0</v>
      </c>
      <c r="W2312">
        <v>0</v>
      </c>
      <c r="X2312">
        <v>0</v>
      </c>
    </row>
    <row r="2313" spans="1:24" x14ac:dyDescent="0.2">
      <c r="A2313">
        <v>22011200</v>
      </c>
      <c r="B2313" t="s">
        <v>2312</v>
      </c>
      <c r="C2313">
        <v>1200</v>
      </c>
      <c r="D2313">
        <v>1200</v>
      </c>
      <c r="E2313">
        <v>10000</v>
      </c>
      <c r="F2313">
        <v>111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35</v>
      </c>
      <c r="Q2313">
        <v>0</v>
      </c>
      <c r="R2313">
        <v>0</v>
      </c>
      <c r="S2313">
        <v>0</v>
      </c>
      <c r="T2313">
        <v>7</v>
      </c>
      <c r="U2313">
        <v>36</v>
      </c>
      <c r="V2313">
        <v>0</v>
      </c>
      <c r="W2313">
        <v>0</v>
      </c>
      <c r="X2313">
        <v>0</v>
      </c>
    </row>
    <row r="2314" spans="1:24" x14ac:dyDescent="0.2">
      <c r="A2314">
        <v>22011300</v>
      </c>
      <c r="B2314" t="s">
        <v>2313</v>
      </c>
      <c r="C2314">
        <v>1300</v>
      </c>
      <c r="D2314">
        <v>1300</v>
      </c>
      <c r="E2314">
        <v>10000</v>
      </c>
      <c r="F2314">
        <v>111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35</v>
      </c>
      <c r="Q2314">
        <v>0</v>
      </c>
      <c r="R2314">
        <v>0</v>
      </c>
      <c r="S2314">
        <v>0</v>
      </c>
      <c r="T2314">
        <v>7</v>
      </c>
      <c r="U2314">
        <v>36</v>
      </c>
      <c r="V2314">
        <v>0</v>
      </c>
      <c r="W2314">
        <v>0</v>
      </c>
      <c r="X2314">
        <v>0</v>
      </c>
    </row>
    <row r="2315" spans="1:24" x14ac:dyDescent="0.2">
      <c r="A2315">
        <v>22011400</v>
      </c>
      <c r="B2315" t="s">
        <v>2314</v>
      </c>
      <c r="C2315">
        <v>1400</v>
      </c>
      <c r="D2315">
        <v>1400</v>
      </c>
      <c r="E2315">
        <v>10014</v>
      </c>
      <c r="F2315">
        <v>116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35</v>
      </c>
      <c r="Q2315">
        <v>0</v>
      </c>
      <c r="R2315">
        <v>0</v>
      </c>
      <c r="S2315">
        <v>35</v>
      </c>
      <c r="T2315">
        <v>7</v>
      </c>
      <c r="U2315">
        <v>36</v>
      </c>
      <c r="V2315">
        <v>0</v>
      </c>
      <c r="W2315">
        <v>0</v>
      </c>
      <c r="X2315">
        <v>0</v>
      </c>
    </row>
    <row r="2316" spans="1:24" x14ac:dyDescent="0.2">
      <c r="A2316">
        <v>22011500</v>
      </c>
      <c r="B2316" t="s">
        <v>2315</v>
      </c>
      <c r="C2316">
        <v>1500</v>
      </c>
      <c r="D2316">
        <v>1500</v>
      </c>
      <c r="E2316">
        <v>10015</v>
      </c>
      <c r="F2316">
        <v>111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35</v>
      </c>
      <c r="Q2316">
        <v>0</v>
      </c>
      <c r="R2316">
        <v>0</v>
      </c>
      <c r="S2316">
        <v>0</v>
      </c>
      <c r="T2316">
        <v>7</v>
      </c>
      <c r="U2316">
        <v>36</v>
      </c>
      <c r="V2316">
        <v>0</v>
      </c>
      <c r="W2316">
        <v>0</v>
      </c>
      <c r="X2316">
        <v>0</v>
      </c>
    </row>
    <row r="2317" spans="1:24" x14ac:dyDescent="0.2">
      <c r="A2317">
        <v>22020000</v>
      </c>
      <c r="B2317" t="s">
        <v>2316</v>
      </c>
      <c r="C2317">
        <v>0</v>
      </c>
      <c r="D2317">
        <v>8200</v>
      </c>
      <c r="E2317">
        <v>10000</v>
      </c>
      <c r="F2317">
        <v>112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35</v>
      </c>
      <c r="Q2317">
        <v>0</v>
      </c>
      <c r="R2317">
        <v>0</v>
      </c>
      <c r="S2317">
        <v>0</v>
      </c>
      <c r="T2317">
        <v>7</v>
      </c>
      <c r="U2317">
        <v>32</v>
      </c>
      <c r="V2317">
        <v>0</v>
      </c>
      <c r="W2317">
        <v>0</v>
      </c>
      <c r="X2317">
        <v>0</v>
      </c>
    </row>
    <row r="2318" spans="1:24" x14ac:dyDescent="0.2">
      <c r="A2318">
        <v>22020100</v>
      </c>
      <c r="B2318" t="s">
        <v>2317</v>
      </c>
      <c r="C2318">
        <v>200</v>
      </c>
      <c r="D2318">
        <v>100</v>
      </c>
      <c r="E2318">
        <v>10000</v>
      </c>
      <c r="F2318">
        <v>112</v>
      </c>
      <c r="G2318">
        <v>0</v>
      </c>
      <c r="H2318">
        <v>0</v>
      </c>
      <c r="I2318">
        <v>0</v>
      </c>
      <c r="J2318">
        <v>0</v>
      </c>
      <c r="K2318">
        <v>1</v>
      </c>
      <c r="L2318">
        <v>0</v>
      </c>
      <c r="M2318">
        <v>0</v>
      </c>
      <c r="N2318">
        <v>0</v>
      </c>
      <c r="O2318">
        <v>0</v>
      </c>
      <c r="P2318">
        <v>35</v>
      </c>
      <c r="Q2318">
        <v>0</v>
      </c>
      <c r="R2318">
        <v>0</v>
      </c>
      <c r="S2318">
        <v>0</v>
      </c>
      <c r="T2318">
        <v>7</v>
      </c>
      <c r="U2318">
        <v>32</v>
      </c>
      <c r="V2318">
        <v>0</v>
      </c>
      <c r="W2318">
        <v>0</v>
      </c>
      <c r="X2318">
        <v>0</v>
      </c>
    </row>
    <row r="2319" spans="1:24" x14ac:dyDescent="0.2">
      <c r="A2319">
        <v>22020200</v>
      </c>
      <c r="B2319" t="s">
        <v>2318</v>
      </c>
      <c r="C2319">
        <v>100</v>
      </c>
      <c r="D2319">
        <v>200</v>
      </c>
      <c r="E2319">
        <v>10000</v>
      </c>
      <c r="F2319">
        <v>112</v>
      </c>
      <c r="G2319">
        <v>0</v>
      </c>
      <c r="H2319">
        <v>0</v>
      </c>
      <c r="I2319">
        <v>0</v>
      </c>
      <c r="J2319">
        <v>0</v>
      </c>
      <c r="K2319">
        <v>1</v>
      </c>
      <c r="L2319">
        <v>0</v>
      </c>
      <c r="M2319">
        <v>0</v>
      </c>
      <c r="N2319">
        <v>0</v>
      </c>
      <c r="O2319">
        <v>0</v>
      </c>
      <c r="P2319">
        <v>35</v>
      </c>
      <c r="Q2319">
        <v>0</v>
      </c>
      <c r="R2319">
        <v>0</v>
      </c>
      <c r="S2319">
        <v>0</v>
      </c>
      <c r="T2319">
        <v>7</v>
      </c>
      <c r="U2319">
        <v>32</v>
      </c>
      <c r="V2319">
        <v>0</v>
      </c>
      <c r="W2319">
        <v>0</v>
      </c>
      <c r="X2319">
        <v>0</v>
      </c>
    </row>
    <row r="2320" spans="1:24" x14ac:dyDescent="0.2">
      <c r="A2320">
        <v>22020300</v>
      </c>
      <c r="B2320" t="s">
        <v>2319</v>
      </c>
      <c r="C2320">
        <v>300</v>
      </c>
      <c r="D2320">
        <v>300</v>
      </c>
      <c r="E2320">
        <v>10000</v>
      </c>
      <c r="F2320">
        <v>112</v>
      </c>
      <c r="G2320">
        <v>0</v>
      </c>
      <c r="H2320">
        <v>0</v>
      </c>
      <c r="I2320">
        <v>0</v>
      </c>
      <c r="J2320">
        <v>0</v>
      </c>
      <c r="K2320">
        <v>8</v>
      </c>
      <c r="L2320">
        <v>0</v>
      </c>
      <c r="M2320">
        <v>0</v>
      </c>
      <c r="N2320">
        <v>0</v>
      </c>
      <c r="O2320">
        <v>0</v>
      </c>
      <c r="P2320">
        <v>27</v>
      </c>
      <c r="Q2320">
        <v>27</v>
      </c>
      <c r="R2320">
        <v>0</v>
      </c>
      <c r="S2320">
        <v>0</v>
      </c>
      <c r="T2320">
        <v>7</v>
      </c>
      <c r="U2320">
        <v>32</v>
      </c>
      <c r="V2320">
        <v>0</v>
      </c>
      <c r="W2320">
        <v>0</v>
      </c>
      <c r="X2320">
        <v>0</v>
      </c>
    </row>
    <row r="2321" spans="1:24" x14ac:dyDescent="0.2">
      <c r="A2321">
        <v>22020400</v>
      </c>
      <c r="B2321" t="s">
        <v>2320</v>
      </c>
      <c r="C2321">
        <v>500</v>
      </c>
      <c r="D2321">
        <v>500</v>
      </c>
      <c r="E2321">
        <v>10000</v>
      </c>
      <c r="F2321">
        <v>117</v>
      </c>
      <c r="G2321">
        <v>117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35</v>
      </c>
      <c r="Q2321">
        <v>0</v>
      </c>
      <c r="R2321">
        <v>35</v>
      </c>
      <c r="S2321">
        <v>0</v>
      </c>
      <c r="T2321">
        <v>7</v>
      </c>
      <c r="U2321">
        <v>32</v>
      </c>
      <c r="V2321">
        <v>0</v>
      </c>
      <c r="W2321">
        <v>0</v>
      </c>
      <c r="X2321">
        <v>0</v>
      </c>
    </row>
    <row r="2322" spans="1:24" x14ac:dyDescent="0.2">
      <c r="A2322">
        <v>22020500</v>
      </c>
      <c r="B2322" t="s">
        <v>2321</v>
      </c>
      <c r="C2322">
        <v>400</v>
      </c>
      <c r="D2322">
        <v>400</v>
      </c>
      <c r="E2322">
        <v>10000</v>
      </c>
      <c r="F2322">
        <v>117</v>
      </c>
      <c r="G2322">
        <v>117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35</v>
      </c>
      <c r="Q2322">
        <v>0</v>
      </c>
      <c r="R2322">
        <v>35</v>
      </c>
      <c r="S2322">
        <v>0</v>
      </c>
      <c r="T2322">
        <v>7</v>
      </c>
      <c r="U2322">
        <v>32</v>
      </c>
      <c r="V2322">
        <v>0</v>
      </c>
      <c r="W2322">
        <v>0</v>
      </c>
      <c r="X2322">
        <v>0</v>
      </c>
    </row>
    <row r="2323" spans="1:24" x14ac:dyDescent="0.2">
      <c r="A2323">
        <v>22020600</v>
      </c>
      <c r="B2323" t="s">
        <v>2322</v>
      </c>
      <c r="C2323">
        <v>600</v>
      </c>
      <c r="D2323">
        <v>600</v>
      </c>
      <c r="E2323">
        <v>10000</v>
      </c>
      <c r="F2323">
        <v>97</v>
      </c>
      <c r="G2323">
        <v>0</v>
      </c>
      <c r="H2323">
        <v>97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35</v>
      </c>
      <c r="Q2323">
        <v>0</v>
      </c>
      <c r="R2323">
        <v>0</v>
      </c>
      <c r="S2323">
        <v>0</v>
      </c>
      <c r="T2323">
        <v>7</v>
      </c>
      <c r="U2323">
        <v>32</v>
      </c>
      <c r="V2323">
        <v>0</v>
      </c>
      <c r="W2323">
        <v>0</v>
      </c>
      <c r="X2323">
        <v>0</v>
      </c>
    </row>
    <row r="2324" spans="1:24" x14ac:dyDescent="0.2">
      <c r="A2324">
        <v>22020700</v>
      </c>
      <c r="B2324" t="s">
        <v>2323</v>
      </c>
      <c r="C2324">
        <v>700</v>
      </c>
      <c r="D2324">
        <v>700</v>
      </c>
      <c r="E2324">
        <v>10000</v>
      </c>
      <c r="F2324">
        <v>117</v>
      </c>
      <c r="G2324">
        <v>0</v>
      </c>
      <c r="H2324">
        <v>117</v>
      </c>
      <c r="I2324">
        <v>0</v>
      </c>
      <c r="J2324">
        <v>0</v>
      </c>
      <c r="K2324">
        <v>0</v>
      </c>
      <c r="L2324">
        <v>0</v>
      </c>
      <c r="M2324">
        <v>4</v>
      </c>
      <c r="N2324">
        <v>0</v>
      </c>
      <c r="O2324">
        <v>0</v>
      </c>
      <c r="P2324">
        <v>35</v>
      </c>
      <c r="Q2324">
        <v>0</v>
      </c>
      <c r="R2324">
        <v>35</v>
      </c>
      <c r="S2324">
        <v>35</v>
      </c>
      <c r="T2324">
        <v>7</v>
      </c>
      <c r="U2324">
        <v>32</v>
      </c>
      <c r="V2324">
        <v>0</v>
      </c>
      <c r="W2324">
        <v>0</v>
      </c>
      <c r="X2324">
        <v>0</v>
      </c>
    </row>
    <row r="2325" spans="1:24" x14ac:dyDescent="0.2">
      <c r="A2325">
        <v>22020800</v>
      </c>
      <c r="B2325" t="s">
        <v>2324</v>
      </c>
      <c r="C2325">
        <v>800</v>
      </c>
      <c r="D2325">
        <v>800</v>
      </c>
      <c r="E2325">
        <v>10000</v>
      </c>
      <c r="F2325">
        <v>117</v>
      </c>
      <c r="G2325">
        <v>0</v>
      </c>
      <c r="H2325">
        <v>0</v>
      </c>
      <c r="I2325">
        <v>117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35</v>
      </c>
      <c r="Q2325">
        <v>0</v>
      </c>
      <c r="R2325">
        <v>0</v>
      </c>
      <c r="S2325">
        <v>35</v>
      </c>
      <c r="T2325">
        <v>7</v>
      </c>
      <c r="U2325">
        <v>32</v>
      </c>
      <c r="V2325">
        <v>0</v>
      </c>
      <c r="W2325">
        <v>0</v>
      </c>
      <c r="X2325">
        <v>0</v>
      </c>
    </row>
    <row r="2326" spans="1:24" x14ac:dyDescent="0.2">
      <c r="A2326">
        <v>22020900</v>
      </c>
      <c r="B2326" t="s">
        <v>2325</v>
      </c>
      <c r="C2326">
        <v>900</v>
      </c>
      <c r="D2326">
        <v>900</v>
      </c>
      <c r="E2326">
        <v>10000</v>
      </c>
      <c r="F2326">
        <v>97</v>
      </c>
      <c r="G2326">
        <v>0</v>
      </c>
      <c r="H2326">
        <v>0</v>
      </c>
      <c r="I2326">
        <v>0</v>
      </c>
      <c r="J2326">
        <v>97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35</v>
      </c>
      <c r="Q2326">
        <v>0</v>
      </c>
      <c r="R2326">
        <v>0</v>
      </c>
      <c r="S2326">
        <v>0</v>
      </c>
      <c r="T2326">
        <v>7</v>
      </c>
      <c r="U2326">
        <v>32</v>
      </c>
      <c r="V2326">
        <v>0</v>
      </c>
      <c r="W2326">
        <v>0</v>
      </c>
      <c r="X2326">
        <v>0</v>
      </c>
    </row>
    <row r="2327" spans="1:24" x14ac:dyDescent="0.2">
      <c r="A2327">
        <v>22021000</v>
      </c>
      <c r="B2327" t="s">
        <v>2326</v>
      </c>
      <c r="C2327">
        <v>1000</v>
      </c>
      <c r="D2327">
        <v>1000</v>
      </c>
      <c r="E2327">
        <v>10000</v>
      </c>
      <c r="F2327">
        <v>117</v>
      </c>
      <c r="G2327">
        <v>0</v>
      </c>
      <c r="H2327">
        <v>0</v>
      </c>
      <c r="I2327">
        <v>0</v>
      </c>
      <c r="J2327">
        <v>117</v>
      </c>
      <c r="K2327">
        <v>0</v>
      </c>
      <c r="L2327">
        <v>0</v>
      </c>
      <c r="M2327">
        <v>0</v>
      </c>
      <c r="N2327">
        <v>0</v>
      </c>
      <c r="O2327">
        <v>4</v>
      </c>
      <c r="P2327">
        <v>35</v>
      </c>
      <c r="Q2327">
        <v>0</v>
      </c>
      <c r="R2327">
        <v>35</v>
      </c>
      <c r="S2327">
        <v>35</v>
      </c>
      <c r="T2327">
        <v>7</v>
      </c>
      <c r="U2327">
        <v>32</v>
      </c>
      <c r="V2327">
        <v>0</v>
      </c>
      <c r="W2327">
        <v>0</v>
      </c>
      <c r="X2327">
        <v>0</v>
      </c>
    </row>
    <row r="2328" spans="1:24" x14ac:dyDescent="0.2">
      <c r="A2328">
        <v>22021100</v>
      </c>
      <c r="B2328" t="s">
        <v>2327</v>
      </c>
      <c r="C2328">
        <v>1100</v>
      </c>
      <c r="D2328">
        <v>1100</v>
      </c>
      <c r="E2328">
        <v>10000</v>
      </c>
      <c r="F2328">
        <v>112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35</v>
      </c>
      <c r="Q2328">
        <v>0</v>
      </c>
      <c r="R2328">
        <v>0</v>
      </c>
      <c r="S2328">
        <v>0</v>
      </c>
      <c r="T2328">
        <v>7</v>
      </c>
      <c r="U2328">
        <v>32</v>
      </c>
      <c r="V2328">
        <v>0</v>
      </c>
      <c r="W2328">
        <v>0</v>
      </c>
      <c r="X2328">
        <v>0</v>
      </c>
    </row>
    <row r="2329" spans="1:24" x14ac:dyDescent="0.2">
      <c r="A2329">
        <v>22021200</v>
      </c>
      <c r="B2329" t="s">
        <v>2328</v>
      </c>
      <c r="C2329">
        <v>1200</v>
      </c>
      <c r="D2329">
        <v>1200</v>
      </c>
      <c r="E2329">
        <v>10000</v>
      </c>
      <c r="F2329">
        <v>112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35</v>
      </c>
      <c r="Q2329">
        <v>0</v>
      </c>
      <c r="R2329">
        <v>0</v>
      </c>
      <c r="S2329">
        <v>0</v>
      </c>
      <c r="T2329">
        <v>7</v>
      </c>
      <c r="U2329">
        <v>32</v>
      </c>
      <c r="V2329">
        <v>0</v>
      </c>
      <c r="W2329">
        <v>0</v>
      </c>
      <c r="X2329">
        <v>0</v>
      </c>
    </row>
    <row r="2330" spans="1:24" x14ac:dyDescent="0.2">
      <c r="A2330">
        <v>22021300</v>
      </c>
      <c r="B2330" t="s">
        <v>2329</v>
      </c>
      <c r="C2330">
        <v>1300</v>
      </c>
      <c r="D2330">
        <v>1300</v>
      </c>
      <c r="E2330">
        <v>10000</v>
      </c>
      <c r="F2330">
        <v>112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35</v>
      </c>
      <c r="Q2330">
        <v>0</v>
      </c>
      <c r="R2330">
        <v>0</v>
      </c>
      <c r="S2330">
        <v>0</v>
      </c>
      <c r="T2330">
        <v>7</v>
      </c>
      <c r="U2330">
        <v>32</v>
      </c>
      <c r="V2330">
        <v>0</v>
      </c>
      <c r="W2330">
        <v>0</v>
      </c>
      <c r="X2330">
        <v>0</v>
      </c>
    </row>
    <row r="2331" spans="1:24" x14ac:dyDescent="0.2">
      <c r="A2331">
        <v>22021400</v>
      </c>
      <c r="B2331" t="s">
        <v>2330</v>
      </c>
      <c r="C2331">
        <v>1400</v>
      </c>
      <c r="D2331">
        <v>1400</v>
      </c>
      <c r="E2331">
        <v>10014</v>
      </c>
      <c r="F2331">
        <v>117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35</v>
      </c>
      <c r="Q2331">
        <v>0</v>
      </c>
      <c r="R2331">
        <v>0</v>
      </c>
      <c r="S2331">
        <v>35</v>
      </c>
      <c r="T2331">
        <v>7</v>
      </c>
      <c r="U2331">
        <v>32</v>
      </c>
      <c r="V2331">
        <v>0</v>
      </c>
      <c r="W2331">
        <v>0</v>
      </c>
      <c r="X2331">
        <v>0</v>
      </c>
    </row>
    <row r="2332" spans="1:24" x14ac:dyDescent="0.2">
      <c r="A2332">
        <v>22021500</v>
      </c>
      <c r="B2332" t="s">
        <v>2331</v>
      </c>
      <c r="C2332">
        <v>1500</v>
      </c>
      <c r="D2332">
        <v>1500</v>
      </c>
      <c r="E2332">
        <v>10015</v>
      </c>
      <c r="F2332">
        <v>112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35</v>
      </c>
      <c r="Q2332">
        <v>0</v>
      </c>
      <c r="R2332">
        <v>0</v>
      </c>
      <c r="S2332">
        <v>0</v>
      </c>
      <c r="T2332">
        <v>7</v>
      </c>
      <c r="U2332">
        <v>32</v>
      </c>
      <c r="V2332">
        <v>0</v>
      </c>
      <c r="W2332">
        <v>0</v>
      </c>
      <c r="X2332">
        <v>0</v>
      </c>
    </row>
    <row r="2333" spans="1:24" x14ac:dyDescent="0.2">
      <c r="A2333">
        <v>22040000</v>
      </c>
      <c r="B2333" t="s">
        <v>2332</v>
      </c>
      <c r="C2333">
        <v>2000</v>
      </c>
      <c r="D2333">
        <v>8400</v>
      </c>
      <c r="E2333">
        <v>10000</v>
      </c>
      <c r="F2333">
        <v>122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36</v>
      </c>
      <c r="Q2333">
        <v>0</v>
      </c>
      <c r="R2333">
        <v>0</v>
      </c>
      <c r="S2333">
        <v>0</v>
      </c>
      <c r="T2333">
        <v>8</v>
      </c>
      <c r="U2333">
        <v>38</v>
      </c>
      <c r="V2333">
        <v>0</v>
      </c>
      <c r="W2333">
        <v>0</v>
      </c>
      <c r="X2333">
        <v>0</v>
      </c>
    </row>
    <row r="2334" spans="1:24" x14ac:dyDescent="0.2">
      <c r="A2334">
        <v>22050000</v>
      </c>
      <c r="B2334" t="s">
        <v>2333</v>
      </c>
      <c r="C2334">
        <v>2200</v>
      </c>
      <c r="D2334">
        <v>8300</v>
      </c>
      <c r="E2334">
        <v>10000</v>
      </c>
      <c r="F2334">
        <v>119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37</v>
      </c>
      <c r="Q2334">
        <v>0</v>
      </c>
      <c r="R2334">
        <v>0</v>
      </c>
      <c r="S2334">
        <v>0</v>
      </c>
      <c r="T2334">
        <v>8</v>
      </c>
      <c r="U2334">
        <v>50</v>
      </c>
      <c r="V2334">
        <v>0</v>
      </c>
      <c r="W2334">
        <v>0</v>
      </c>
      <c r="X2334">
        <v>0</v>
      </c>
    </row>
    <row r="2335" spans="1:24" x14ac:dyDescent="0.2">
      <c r="A2335">
        <v>22070000</v>
      </c>
      <c r="B2335" t="s">
        <v>2334</v>
      </c>
      <c r="C2335">
        <v>2000</v>
      </c>
      <c r="D2335">
        <v>8400</v>
      </c>
      <c r="E2335">
        <v>10000</v>
      </c>
      <c r="F2335">
        <v>120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36</v>
      </c>
      <c r="Q2335">
        <v>0</v>
      </c>
      <c r="R2335">
        <v>0</v>
      </c>
      <c r="S2335">
        <v>0</v>
      </c>
      <c r="T2335">
        <v>8</v>
      </c>
      <c r="U2335">
        <v>40</v>
      </c>
      <c r="V2335">
        <v>0</v>
      </c>
      <c r="W2335">
        <v>0</v>
      </c>
      <c r="X2335">
        <v>0</v>
      </c>
    </row>
    <row r="2336" spans="1:24" x14ac:dyDescent="0.2">
      <c r="A2336">
        <v>22080000</v>
      </c>
      <c r="B2336" t="s">
        <v>2335</v>
      </c>
      <c r="C2336">
        <v>0</v>
      </c>
      <c r="D2336">
        <v>8200</v>
      </c>
      <c r="E2336">
        <v>10000</v>
      </c>
      <c r="F2336">
        <v>112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35</v>
      </c>
      <c r="Q2336">
        <v>0</v>
      </c>
      <c r="R2336">
        <v>0</v>
      </c>
      <c r="S2336">
        <v>0</v>
      </c>
      <c r="T2336">
        <v>7</v>
      </c>
      <c r="U2336">
        <v>32</v>
      </c>
      <c r="V2336">
        <v>0</v>
      </c>
      <c r="W2336">
        <v>0</v>
      </c>
      <c r="X2336">
        <v>0</v>
      </c>
    </row>
    <row r="2337" spans="1:24" x14ac:dyDescent="0.2">
      <c r="A2337">
        <v>22080100</v>
      </c>
      <c r="B2337" t="s">
        <v>2336</v>
      </c>
      <c r="C2337">
        <v>200</v>
      </c>
      <c r="D2337">
        <v>100</v>
      </c>
      <c r="E2337">
        <v>10000</v>
      </c>
      <c r="F2337">
        <v>112</v>
      </c>
      <c r="G2337">
        <v>0</v>
      </c>
      <c r="H2337">
        <v>0</v>
      </c>
      <c r="I2337">
        <v>0</v>
      </c>
      <c r="J2337">
        <v>0</v>
      </c>
      <c r="K2337">
        <v>1</v>
      </c>
      <c r="L2337">
        <v>0</v>
      </c>
      <c r="M2337">
        <v>0</v>
      </c>
      <c r="N2337">
        <v>0</v>
      </c>
      <c r="O2337">
        <v>0</v>
      </c>
      <c r="P2337">
        <v>35</v>
      </c>
      <c r="Q2337">
        <v>0</v>
      </c>
      <c r="R2337">
        <v>0</v>
      </c>
      <c r="S2337">
        <v>0</v>
      </c>
      <c r="T2337">
        <v>7</v>
      </c>
      <c r="U2337">
        <v>32</v>
      </c>
      <c r="V2337">
        <v>0</v>
      </c>
      <c r="W2337">
        <v>0</v>
      </c>
      <c r="X2337">
        <v>0</v>
      </c>
    </row>
    <row r="2338" spans="1:24" x14ac:dyDescent="0.2">
      <c r="A2338">
        <v>22080200</v>
      </c>
      <c r="B2338" t="s">
        <v>2337</v>
      </c>
      <c r="C2338">
        <v>100</v>
      </c>
      <c r="D2338">
        <v>200</v>
      </c>
      <c r="E2338">
        <v>10000</v>
      </c>
      <c r="F2338">
        <v>112</v>
      </c>
      <c r="G2338">
        <v>0</v>
      </c>
      <c r="H2338">
        <v>0</v>
      </c>
      <c r="I2338">
        <v>0</v>
      </c>
      <c r="J2338">
        <v>0</v>
      </c>
      <c r="K2338">
        <v>1</v>
      </c>
      <c r="L2338">
        <v>0</v>
      </c>
      <c r="M2338">
        <v>0</v>
      </c>
      <c r="N2338">
        <v>0</v>
      </c>
      <c r="O2338">
        <v>0</v>
      </c>
      <c r="P2338">
        <v>35</v>
      </c>
      <c r="Q2338">
        <v>0</v>
      </c>
      <c r="R2338">
        <v>0</v>
      </c>
      <c r="S2338">
        <v>0</v>
      </c>
      <c r="T2338">
        <v>7</v>
      </c>
      <c r="U2338">
        <v>32</v>
      </c>
      <c r="V2338">
        <v>0</v>
      </c>
      <c r="W2338">
        <v>0</v>
      </c>
      <c r="X2338">
        <v>0</v>
      </c>
    </row>
    <row r="2339" spans="1:24" x14ac:dyDescent="0.2">
      <c r="A2339">
        <v>22080300</v>
      </c>
      <c r="B2339" t="s">
        <v>2338</v>
      </c>
      <c r="C2339">
        <v>300</v>
      </c>
      <c r="D2339">
        <v>300</v>
      </c>
      <c r="E2339">
        <v>10000</v>
      </c>
      <c r="F2339">
        <v>112</v>
      </c>
      <c r="G2339">
        <v>0</v>
      </c>
      <c r="H2339">
        <v>0</v>
      </c>
      <c r="I2339">
        <v>0</v>
      </c>
      <c r="J2339">
        <v>0</v>
      </c>
      <c r="K2339">
        <v>8</v>
      </c>
      <c r="L2339">
        <v>0</v>
      </c>
      <c r="M2339">
        <v>0</v>
      </c>
      <c r="N2339">
        <v>0</v>
      </c>
      <c r="O2339">
        <v>0</v>
      </c>
      <c r="P2339">
        <v>27</v>
      </c>
      <c r="Q2339">
        <v>27</v>
      </c>
      <c r="R2339">
        <v>0</v>
      </c>
      <c r="S2339">
        <v>0</v>
      </c>
      <c r="T2339">
        <v>7</v>
      </c>
      <c r="U2339">
        <v>32</v>
      </c>
      <c r="V2339">
        <v>0</v>
      </c>
      <c r="W2339">
        <v>0</v>
      </c>
      <c r="X2339">
        <v>0</v>
      </c>
    </row>
    <row r="2340" spans="1:24" x14ac:dyDescent="0.2">
      <c r="A2340">
        <v>22080400</v>
      </c>
      <c r="B2340" t="s">
        <v>2339</v>
      </c>
      <c r="C2340">
        <v>500</v>
      </c>
      <c r="D2340">
        <v>500</v>
      </c>
      <c r="E2340">
        <v>10000</v>
      </c>
      <c r="F2340">
        <v>117</v>
      </c>
      <c r="G2340">
        <v>117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35</v>
      </c>
      <c r="Q2340">
        <v>0</v>
      </c>
      <c r="R2340">
        <v>35</v>
      </c>
      <c r="S2340">
        <v>0</v>
      </c>
      <c r="T2340">
        <v>7</v>
      </c>
      <c r="U2340">
        <v>32</v>
      </c>
      <c r="V2340">
        <v>0</v>
      </c>
      <c r="W2340">
        <v>0</v>
      </c>
      <c r="X2340">
        <v>0</v>
      </c>
    </row>
    <row r="2341" spans="1:24" x14ac:dyDescent="0.2">
      <c r="A2341">
        <v>22080500</v>
      </c>
      <c r="B2341" t="s">
        <v>2340</v>
      </c>
      <c r="C2341">
        <v>400</v>
      </c>
      <c r="D2341">
        <v>400</v>
      </c>
      <c r="E2341">
        <v>10000</v>
      </c>
      <c r="F2341">
        <v>117</v>
      </c>
      <c r="G2341">
        <v>117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35</v>
      </c>
      <c r="Q2341">
        <v>0</v>
      </c>
      <c r="R2341">
        <v>35</v>
      </c>
      <c r="S2341">
        <v>0</v>
      </c>
      <c r="T2341">
        <v>7</v>
      </c>
      <c r="U2341">
        <v>32</v>
      </c>
      <c r="V2341">
        <v>0</v>
      </c>
      <c r="W2341">
        <v>0</v>
      </c>
      <c r="X2341">
        <v>0</v>
      </c>
    </row>
    <row r="2342" spans="1:24" x14ac:dyDescent="0.2">
      <c r="A2342">
        <v>22080600</v>
      </c>
      <c r="B2342" t="s">
        <v>2341</v>
      </c>
      <c r="C2342">
        <v>600</v>
      </c>
      <c r="D2342">
        <v>600</v>
      </c>
      <c r="E2342">
        <v>10000</v>
      </c>
      <c r="F2342">
        <v>97</v>
      </c>
      <c r="G2342">
        <v>0</v>
      </c>
      <c r="H2342">
        <v>97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35</v>
      </c>
      <c r="Q2342">
        <v>0</v>
      </c>
      <c r="R2342">
        <v>0</v>
      </c>
      <c r="S2342">
        <v>0</v>
      </c>
      <c r="T2342">
        <v>7</v>
      </c>
      <c r="U2342">
        <v>32</v>
      </c>
      <c r="V2342">
        <v>0</v>
      </c>
      <c r="W2342">
        <v>0</v>
      </c>
      <c r="X2342">
        <v>0</v>
      </c>
    </row>
    <row r="2343" spans="1:24" x14ac:dyDescent="0.2">
      <c r="A2343">
        <v>22080700</v>
      </c>
      <c r="B2343" t="s">
        <v>2342</v>
      </c>
      <c r="C2343">
        <v>700</v>
      </c>
      <c r="D2343">
        <v>700</v>
      </c>
      <c r="E2343">
        <v>10000</v>
      </c>
      <c r="F2343">
        <v>117</v>
      </c>
      <c r="G2343">
        <v>0</v>
      </c>
      <c r="H2343">
        <v>117</v>
      </c>
      <c r="I2343">
        <v>0</v>
      </c>
      <c r="J2343">
        <v>0</v>
      </c>
      <c r="K2343">
        <v>0</v>
      </c>
      <c r="L2343">
        <v>0</v>
      </c>
      <c r="M2343">
        <v>4</v>
      </c>
      <c r="N2343">
        <v>0</v>
      </c>
      <c r="O2343">
        <v>0</v>
      </c>
      <c r="P2343">
        <v>35</v>
      </c>
      <c r="Q2343">
        <v>0</v>
      </c>
      <c r="R2343">
        <v>35</v>
      </c>
      <c r="S2343">
        <v>35</v>
      </c>
      <c r="T2343">
        <v>7</v>
      </c>
      <c r="U2343">
        <v>32</v>
      </c>
      <c r="V2343">
        <v>0</v>
      </c>
      <c r="W2343">
        <v>0</v>
      </c>
      <c r="X2343">
        <v>0</v>
      </c>
    </row>
    <row r="2344" spans="1:24" x14ac:dyDescent="0.2">
      <c r="A2344">
        <v>22080800</v>
      </c>
      <c r="B2344" t="s">
        <v>2343</v>
      </c>
      <c r="C2344">
        <v>800</v>
      </c>
      <c r="D2344">
        <v>800</v>
      </c>
      <c r="E2344">
        <v>10000</v>
      </c>
      <c r="F2344">
        <v>117</v>
      </c>
      <c r="G2344">
        <v>0</v>
      </c>
      <c r="H2344">
        <v>0</v>
      </c>
      <c r="I2344">
        <v>117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35</v>
      </c>
      <c r="Q2344">
        <v>0</v>
      </c>
      <c r="R2344">
        <v>0</v>
      </c>
      <c r="S2344">
        <v>35</v>
      </c>
      <c r="T2344">
        <v>7</v>
      </c>
      <c r="U2344">
        <v>32</v>
      </c>
      <c r="V2344">
        <v>0</v>
      </c>
      <c r="W2344">
        <v>0</v>
      </c>
      <c r="X2344">
        <v>0</v>
      </c>
    </row>
    <row r="2345" spans="1:24" x14ac:dyDescent="0.2">
      <c r="A2345">
        <v>22080900</v>
      </c>
      <c r="B2345" t="s">
        <v>2344</v>
      </c>
      <c r="C2345">
        <v>900</v>
      </c>
      <c r="D2345">
        <v>900</v>
      </c>
      <c r="E2345">
        <v>10000</v>
      </c>
      <c r="F2345">
        <v>97</v>
      </c>
      <c r="G2345">
        <v>0</v>
      </c>
      <c r="H2345">
        <v>0</v>
      </c>
      <c r="I2345">
        <v>0</v>
      </c>
      <c r="J2345">
        <v>97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35</v>
      </c>
      <c r="Q2345">
        <v>0</v>
      </c>
      <c r="R2345">
        <v>0</v>
      </c>
      <c r="S2345">
        <v>0</v>
      </c>
      <c r="T2345">
        <v>7</v>
      </c>
      <c r="U2345">
        <v>32</v>
      </c>
      <c r="V2345">
        <v>0</v>
      </c>
      <c r="W2345">
        <v>0</v>
      </c>
      <c r="X2345">
        <v>0</v>
      </c>
    </row>
    <row r="2346" spans="1:24" x14ac:dyDescent="0.2">
      <c r="A2346">
        <v>22081000</v>
      </c>
      <c r="B2346" t="s">
        <v>2345</v>
      </c>
      <c r="C2346">
        <v>1000</v>
      </c>
      <c r="D2346">
        <v>1000</v>
      </c>
      <c r="E2346">
        <v>10000</v>
      </c>
      <c r="F2346">
        <v>117</v>
      </c>
      <c r="G2346">
        <v>0</v>
      </c>
      <c r="H2346">
        <v>0</v>
      </c>
      <c r="I2346">
        <v>0</v>
      </c>
      <c r="J2346">
        <v>117</v>
      </c>
      <c r="K2346">
        <v>0</v>
      </c>
      <c r="L2346">
        <v>0</v>
      </c>
      <c r="M2346">
        <v>0</v>
      </c>
      <c r="N2346">
        <v>0</v>
      </c>
      <c r="O2346">
        <v>4</v>
      </c>
      <c r="P2346">
        <v>35</v>
      </c>
      <c r="Q2346">
        <v>0</v>
      </c>
      <c r="R2346">
        <v>35</v>
      </c>
      <c r="S2346">
        <v>35</v>
      </c>
      <c r="T2346">
        <v>7</v>
      </c>
      <c r="U2346">
        <v>32</v>
      </c>
      <c r="V2346">
        <v>0</v>
      </c>
      <c r="W2346">
        <v>0</v>
      </c>
      <c r="X2346">
        <v>0</v>
      </c>
    </row>
    <row r="2347" spans="1:24" x14ac:dyDescent="0.2">
      <c r="A2347">
        <v>22081100</v>
      </c>
      <c r="B2347" t="s">
        <v>2346</v>
      </c>
      <c r="C2347">
        <v>1100</v>
      </c>
      <c r="D2347">
        <v>1100</v>
      </c>
      <c r="E2347">
        <v>10000</v>
      </c>
      <c r="F2347">
        <v>112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35</v>
      </c>
      <c r="Q2347">
        <v>0</v>
      </c>
      <c r="R2347">
        <v>0</v>
      </c>
      <c r="S2347">
        <v>0</v>
      </c>
      <c r="T2347">
        <v>7</v>
      </c>
      <c r="U2347">
        <v>32</v>
      </c>
      <c r="V2347">
        <v>0</v>
      </c>
      <c r="W2347">
        <v>0</v>
      </c>
      <c r="X2347">
        <v>0</v>
      </c>
    </row>
    <row r="2348" spans="1:24" x14ac:dyDescent="0.2">
      <c r="A2348">
        <v>22081200</v>
      </c>
      <c r="B2348" t="s">
        <v>2347</v>
      </c>
      <c r="C2348">
        <v>1200</v>
      </c>
      <c r="D2348">
        <v>1200</v>
      </c>
      <c r="E2348">
        <v>10000</v>
      </c>
      <c r="F2348">
        <v>112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35</v>
      </c>
      <c r="Q2348">
        <v>0</v>
      </c>
      <c r="R2348">
        <v>0</v>
      </c>
      <c r="S2348">
        <v>0</v>
      </c>
      <c r="T2348">
        <v>7</v>
      </c>
      <c r="U2348">
        <v>32</v>
      </c>
      <c r="V2348">
        <v>0</v>
      </c>
      <c r="W2348">
        <v>0</v>
      </c>
      <c r="X2348">
        <v>0</v>
      </c>
    </row>
    <row r="2349" spans="1:24" x14ac:dyDescent="0.2">
      <c r="A2349">
        <v>22081300</v>
      </c>
      <c r="B2349" t="s">
        <v>2348</v>
      </c>
      <c r="C2349">
        <v>1300</v>
      </c>
      <c r="D2349">
        <v>1300</v>
      </c>
      <c r="E2349">
        <v>10000</v>
      </c>
      <c r="F2349">
        <v>112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35</v>
      </c>
      <c r="Q2349">
        <v>0</v>
      </c>
      <c r="R2349">
        <v>0</v>
      </c>
      <c r="S2349">
        <v>0</v>
      </c>
      <c r="T2349">
        <v>7</v>
      </c>
      <c r="U2349">
        <v>32</v>
      </c>
      <c r="V2349">
        <v>0</v>
      </c>
      <c r="W2349">
        <v>0</v>
      </c>
      <c r="X2349">
        <v>0</v>
      </c>
    </row>
    <row r="2350" spans="1:24" x14ac:dyDescent="0.2">
      <c r="A2350">
        <v>22081400</v>
      </c>
      <c r="B2350" t="s">
        <v>2349</v>
      </c>
      <c r="C2350">
        <v>1400</v>
      </c>
      <c r="D2350">
        <v>1400</v>
      </c>
      <c r="E2350">
        <v>10014</v>
      </c>
      <c r="F2350">
        <v>117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35</v>
      </c>
      <c r="Q2350">
        <v>0</v>
      </c>
      <c r="R2350">
        <v>0</v>
      </c>
      <c r="S2350">
        <v>35</v>
      </c>
      <c r="T2350">
        <v>7</v>
      </c>
      <c r="U2350">
        <v>32</v>
      </c>
      <c r="V2350">
        <v>0</v>
      </c>
      <c r="W2350">
        <v>0</v>
      </c>
      <c r="X2350">
        <v>0</v>
      </c>
    </row>
    <row r="2351" spans="1:24" x14ac:dyDescent="0.2">
      <c r="A2351">
        <v>22081500</v>
      </c>
      <c r="B2351" t="s">
        <v>2350</v>
      </c>
      <c r="C2351">
        <v>1500</v>
      </c>
      <c r="D2351">
        <v>1500</v>
      </c>
      <c r="E2351">
        <v>10015</v>
      </c>
      <c r="F2351">
        <v>112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35</v>
      </c>
      <c r="Q2351">
        <v>0</v>
      </c>
      <c r="R2351">
        <v>0</v>
      </c>
      <c r="S2351">
        <v>0</v>
      </c>
      <c r="T2351">
        <v>7</v>
      </c>
      <c r="U2351">
        <v>32</v>
      </c>
      <c r="V2351">
        <v>0</v>
      </c>
      <c r="W2351">
        <v>0</v>
      </c>
      <c r="X2351">
        <v>0</v>
      </c>
    </row>
    <row r="2352" spans="1:24" x14ac:dyDescent="0.2">
      <c r="A2352">
        <v>22090000</v>
      </c>
      <c r="B2352" t="s">
        <v>2351</v>
      </c>
      <c r="C2352">
        <v>2200</v>
      </c>
      <c r="D2352">
        <v>8300</v>
      </c>
      <c r="E2352">
        <v>10000</v>
      </c>
      <c r="F2352">
        <v>108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36</v>
      </c>
      <c r="Q2352">
        <v>0</v>
      </c>
      <c r="R2352">
        <v>0</v>
      </c>
      <c r="S2352">
        <v>0</v>
      </c>
      <c r="T2352">
        <v>8</v>
      </c>
      <c r="U2352">
        <v>30</v>
      </c>
      <c r="V2352">
        <v>0</v>
      </c>
      <c r="W2352">
        <v>0</v>
      </c>
      <c r="X2352">
        <v>0</v>
      </c>
    </row>
    <row r="2353" spans="1:24" x14ac:dyDescent="0.2">
      <c r="A2353">
        <v>22100000</v>
      </c>
      <c r="B2353" t="s">
        <v>2352</v>
      </c>
      <c r="C2353">
        <v>0</v>
      </c>
      <c r="D2353">
        <v>8200</v>
      </c>
      <c r="E2353">
        <v>10000</v>
      </c>
      <c r="F2353">
        <v>106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35</v>
      </c>
      <c r="Q2353">
        <v>0</v>
      </c>
      <c r="R2353">
        <v>0</v>
      </c>
      <c r="S2353">
        <v>0</v>
      </c>
      <c r="T2353">
        <v>7</v>
      </c>
      <c r="U2353">
        <v>16</v>
      </c>
      <c r="V2353">
        <v>0</v>
      </c>
      <c r="W2353">
        <v>0</v>
      </c>
      <c r="X2353">
        <v>0</v>
      </c>
    </row>
    <row r="2354" spans="1:24" x14ac:dyDescent="0.2">
      <c r="A2354">
        <v>22100100</v>
      </c>
      <c r="B2354" t="s">
        <v>2353</v>
      </c>
      <c r="C2354">
        <v>200</v>
      </c>
      <c r="D2354">
        <v>100</v>
      </c>
      <c r="E2354">
        <v>10000</v>
      </c>
      <c r="F2354">
        <v>106</v>
      </c>
      <c r="G2354">
        <v>0</v>
      </c>
      <c r="H2354">
        <v>0</v>
      </c>
      <c r="I2354">
        <v>0</v>
      </c>
      <c r="J2354">
        <v>0</v>
      </c>
      <c r="K2354">
        <v>1</v>
      </c>
      <c r="L2354">
        <v>0</v>
      </c>
      <c r="M2354">
        <v>0</v>
      </c>
      <c r="N2354">
        <v>0</v>
      </c>
      <c r="O2354">
        <v>0</v>
      </c>
      <c r="P2354">
        <v>35</v>
      </c>
      <c r="Q2354">
        <v>0</v>
      </c>
      <c r="R2354">
        <v>0</v>
      </c>
      <c r="S2354">
        <v>0</v>
      </c>
      <c r="T2354">
        <v>7</v>
      </c>
      <c r="U2354">
        <v>16</v>
      </c>
      <c r="V2354">
        <v>0</v>
      </c>
      <c r="W2354">
        <v>0</v>
      </c>
      <c r="X2354">
        <v>0</v>
      </c>
    </row>
    <row r="2355" spans="1:24" x14ac:dyDescent="0.2">
      <c r="A2355">
        <v>22100200</v>
      </c>
      <c r="B2355" t="s">
        <v>2354</v>
      </c>
      <c r="C2355">
        <v>100</v>
      </c>
      <c r="D2355">
        <v>200</v>
      </c>
      <c r="E2355">
        <v>10000</v>
      </c>
      <c r="F2355">
        <v>106</v>
      </c>
      <c r="G2355">
        <v>0</v>
      </c>
      <c r="H2355">
        <v>0</v>
      </c>
      <c r="I2355">
        <v>0</v>
      </c>
      <c r="J2355">
        <v>0</v>
      </c>
      <c r="K2355">
        <v>1</v>
      </c>
      <c r="L2355">
        <v>0</v>
      </c>
      <c r="M2355">
        <v>0</v>
      </c>
      <c r="N2355">
        <v>0</v>
      </c>
      <c r="O2355">
        <v>0</v>
      </c>
      <c r="P2355">
        <v>35</v>
      </c>
      <c r="Q2355">
        <v>0</v>
      </c>
      <c r="R2355">
        <v>0</v>
      </c>
      <c r="S2355">
        <v>0</v>
      </c>
      <c r="T2355">
        <v>7</v>
      </c>
      <c r="U2355">
        <v>16</v>
      </c>
      <c r="V2355">
        <v>0</v>
      </c>
      <c r="W2355">
        <v>0</v>
      </c>
      <c r="X2355">
        <v>0</v>
      </c>
    </row>
    <row r="2356" spans="1:24" x14ac:dyDescent="0.2">
      <c r="A2356">
        <v>22100300</v>
      </c>
      <c r="B2356" t="s">
        <v>2355</v>
      </c>
      <c r="C2356">
        <v>300</v>
      </c>
      <c r="D2356">
        <v>300</v>
      </c>
      <c r="E2356">
        <v>10000</v>
      </c>
      <c r="F2356">
        <v>106</v>
      </c>
      <c r="G2356">
        <v>0</v>
      </c>
      <c r="H2356">
        <v>0</v>
      </c>
      <c r="I2356">
        <v>0</v>
      </c>
      <c r="J2356">
        <v>0</v>
      </c>
      <c r="K2356">
        <v>8</v>
      </c>
      <c r="L2356">
        <v>0</v>
      </c>
      <c r="M2356">
        <v>0</v>
      </c>
      <c r="N2356">
        <v>0</v>
      </c>
      <c r="O2356">
        <v>0</v>
      </c>
      <c r="P2356">
        <v>27</v>
      </c>
      <c r="Q2356">
        <v>27</v>
      </c>
      <c r="R2356">
        <v>0</v>
      </c>
      <c r="S2356">
        <v>0</v>
      </c>
      <c r="T2356">
        <v>7</v>
      </c>
      <c r="U2356">
        <v>16</v>
      </c>
      <c r="V2356">
        <v>0</v>
      </c>
      <c r="W2356">
        <v>0</v>
      </c>
      <c r="X2356">
        <v>0</v>
      </c>
    </row>
    <row r="2357" spans="1:24" x14ac:dyDescent="0.2">
      <c r="A2357">
        <v>22100400</v>
      </c>
      <c r="B2357" t="s">
        <v>2356</v>
      </c>
      <c r="C2357">
        <v>500</v>
      </c>
      <c r="D2357">
        <v>500</v>
      </c>
      <c r="E2357">
        <v>10000</v>
      </c>
      <c r="F2357">
        <v>111</v>
      </c>
      <c r="G2357">
        <v>111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35</v>
      </c>
      <c r="Q2357">
        <v>0</v>
      </c>
      <c r="R2357">
        <v>35</v>
      </c>
      <c r="S2357">
        <v>0</v>
      </c>
      <c r="T2357">
        <v>7</v>
      </c>
      <c r="U2357">
        <v>16</v>
      </c>
      <c r="V2357">
        <v>0</v>
      </c>
      <c r="W2357">
        <v>0</v>
      </c>
      <c r="X2357">
        <v>0</v>
      </c>
    </row>
    <row r="2358" spans="1:24" x14ac:dyDescent="0.2">
      <c r="A2358">
        <v>22100500</v>
      </c>
      <c r="B2358" t="s">
        <v>2357</v>
      </c>
      <c r="C2358">
        <v>400</v>
      </c>
      <c r="D2358">
        <v>400</v>
      </c>
      <c r="E2358">
        <v>10000</v>
      </c>
      <c r="F2358">
        <v>111</v>
      </c>
      <c r="G2358">
        <v>111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35</v>
      </c>
      <c r="Q2358">
        <v>0</v>
      </c>
      <c r="R2358">
        <v>35</v>
      </c>
      <c r="S2358">
        <v>0</v>
      </c>
      <c r="T2358">
        <v>7</v>
      </c>
      <c r="U2358">
        <v>16</v>
      </c>
      <c r="V2358">
        <v>0</v>
      </c>
      <c r="W2358">
        <v>0</v>
      </c>
      <c r="X2358">
        <v>0</v>
      </c>
    </row>
    <row r="2359" spans="1:24" x14ac:dyDescent="0.2">
      <c r="A2359">
        <v>22100600</v>
      </c>
      <c r="B2359" t="s">
        <v>2358</v>
      </c>
      <c r="C2359">
        <v>600</v>
      </c>
      <c r="D2359">
        <v>600</v>
      </c>
      <c r="E2359">
        <v>10000</v>
      </c>
      <c r="F2359">
        <v>91</v>
      </c>
      <c r="G2359">
        <v>0</v>
      </c>
      <c r="H2359">
        <v>91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35</v>
      </c>
      <c r="Q2359">
        <v>0</v>
      </c>
      <c r="R2359">
        <v>0</v>
      </c>
      <c r="S2359">
        <v>0</v>
      </c>
      <c r="T2359">
        <v>7</v>
      </c>
      <c r="U2359">
        <v>16</v>
      </c>
      <c r="V2359">
        <v>0</v>
      </c>
      <c r="W2359">
        <v>0</v>
      </c>
      <c r="X2359">
        <v>0</v>
      </c>
    </row>
    <row r="2360" spans="1:24" x14ac:dyDescent="0.2">
      <c r="A2360">
        <v>22100700</v>
      </c>
      <c r="B2360" t="s">
        <v>2359</v>
      </c>
      <c r="C2360">
        <v>700</v>
      </c>
      <c r="D2360">
        <v>700</v>
      </c>
      <c r="E2360">
        <v>10000</v>
      </c>
      <c r="F2360">
        <v>111</v>
      </c>
      <c r="G2360">
        <v>0</v>
      </c>
      <c r="H2360">
        <v>111</v>
      </c>
      <c r="I2360">
        <v>0</v>
      </c>
      <c r="J2360">
        <v>0</v>
      </c>
      <c r="K2360">
        <v>0</v>
      </c>
      <c r="L2360">
        <v>0</v>
      </c>
      <c r="M2360">
        <v>4</v>
      </c>
      <c r="N2360">
        <v>0</v>
      </c>
      <c r="O2360">
        <v>0</v>
      </c>
      <c r="P2360">
        <v>35</v>
      </c>
      <c r="Q2360">
        <v>0</v>
      </c>
      <c r="R2360">
        <v>35</v>
      </c>
      <c r="S2360">
        <v>35</v>
      </c>
      <c r="T2360">
        <v>7</v>
      </c>
      <c r="U2360">
        <v>16</v>
      </c>
      <c r="V2360">
        <v>0</v>
      </c>
      <c r="W2360">
        <v>0</v>
      </c>
      <c r="X2360">
        <v>0</v>
      </c>
    </row>
    <row r="2361" spans="1:24" x14ac:dyDescent="0.2">
      <c r="A2361">
        <v>22100800</v>
      </c>
      <c r="B2361" t="s">
        <v>2360</v>
      </c>
      <c r="C2361">
        <v>800</v>
      </c>
      <c r="D2361">
        <v>800</v>
      </c>
      <c r="E2361">
        <v>10000</v>
      </c>
      <c r="F2361">
        <v>111</v>
      </c>
      <c r="G2361">
        <v>0</v>
      </c>
      <c r="H2361">
        <v>0</v>
      </c>
      <c r="I2361">
        <v>111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35</v>
      </c>
      <c r="Q2361">
        <v>0</v>
      </c>
      <c r="R2361">
        <v>0</v>
      </c>
      <c r="S2361">
        <v>35</v>
      </c>
      <c r="T2361">
        <v>7</v>
      </c>
      <c r="U2361">
        <v>16</v>
      </c>
      <c r="V2361">
        <v>0</v>
      </c>
      <c r="W2361">
        <v>0</v>
      </c>
      <c r="X2361">
        <v>0</v>
      </c>
    </row>
    <row r="2362" spans="1:24" x14ac:dyDescent="0.2">
      <c r="A2362">
        <v>22100900</v>
      </c>
      <c r="B2362" t="s">
        <v>2361</v>
      </c>
      <c r="C2362">
        <v>900</v>
      </c>
      <c r="D2362">
        <v>900</v>
      </c>
      <c r="E2362">
        <v>10000</v>
      </c>
      <c r="F2362">
        <v>91</v>
      </c>
      <c r="G2362">
        <v>0</v>
      </c>
      <c r="H2362">
        <v>0</v>
      </c>
      <c r="I2362">
        <v>0</v>
      </c>
      <c r="J2362">
        <v>91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35</v>
      </c>
      <c r="Q2362">
        <v>0</v>
      </c>
      <c r="R2362">
        <v>0</v>
      </c>
      <c r="S2362">
        <v>0</v>
      </c>
      <c r="T2362">
        <v>7</v>
      </c>
      <c r="U2362">
        <v>16</v>
      </c>
      <c r="V2362">
        <v>0</v>
      </c>
      <c r="W2362">
        <v>0</v>
      </c>
      <c r="X2362">
        <v>0</v>
      </c>
    </row>
    <row r="2363" spans="1:24" x14ac:dyDescent="0.2">
      <c r="A2363">
        <v>22101000</v>
      </c>
      <c r="B2363" t="s">
        <v>2362</v>
      </c>
      <c r="C2363">
        <v>1000</v>
      </c>
      <c r="D2363">
        <v>1000</v>
      </c>
      <c r="E2363">
        <v>10000</v>
      </c>
      <c r="F2363">
        <v>111</v>
      </c>
      <c r="G2363">
        <v>0</v>
      </c>
      <c r="H2363">
        <v>0</v>
      </c>
      <c r="I2363">
        <v>0</v>
      </c>
      <c r="J2363">
        <v>111</v>
      </c>
      <c r="K2363">
        <v>0</v>
      </c>
      <c r="L2363">
        <v>0</v>
      </c>
      <c r="M2363">
        <v>0</v>
      </c>
      <c r="N2363">
        <v>0</v>
      </c>
      <c r="O2363">
        <v>4</v>
      </c>
      <c r="P2363">
        <v>35</v>
      </c>
      <c r="Q2363">
        <v>0</v>
      </c>
      <c r="R2363">
        <v>35</v>
      </c>
      <c r="S2363">
        <v>35</v>
      </c>
      <c r="T2363">
        <v>7</v>
      </c>
      <c r="U2363">
        <v>16</v>
      </c>
      <c r="V2363">
        <v>0</v>
      </c>
      <c r="W2363">
        <v>0</v>
      </c>
      <c r="X2363">
        <v>0</v>
      </c>
    </row>
    <row r="2364" spans="1:24" x14ac:dyDescent="0.2">
      <c r="A2364">
        <v>22101100</v>
      </c>
      <c r="B2364" t="s">
        <v>2363</v>
      </c>
      <c r="C2364">
        <v>1100</v>
      </c>
      <c r="D2364">
        <v>1100</v>
      </c>
      <c r="E2364">
        <v>10000</v>
      </c>
      <c r="F2364">
        <v>106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35</v>
      </c>
      <c r="Q2364">
        <v>0</v>
      </c>
      <c r="R2364">
        <v>0</v>
      </c>
      <c r="S2364">
        <v>0</v>
      </c>
      <c r="T2364">
        <v>7</v>
      </c>
      <c r="U2364">
        <v>16</v>
      </c>
      <c r="V2364">
        <v>0</v>
      </c>
      <c r="W2364">
        <v>0</v>
      </c>
      <c r="X2364">
        <v>0</v>
      </c>
    </row>
    <row r="2365" spans="1:24" x14ac:dyDescent="0.2">
      <c r="A2365">
        <v>22101200</v>
      </c>
      <c r="B2365" t="s">
        <v>2364</v>
      </c>
      <c r="C2365">
        <v>1200</v>
      </c>
      <c r="D2365">
        <v>1200</v>
      </c>
      <c r="E2365">
        <v>10000</v>
      </c>
      <c r="F2365">
        <v>106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35</v>
      </c>
      <c r="Q2365">
        <v>0</v>
      </c>
      <c r="R2365">
        <v>0</v>
      </c>
      <c r="S2365">
        <v>0</v>
      </c>
      <c r="T2365">
        <v>7</v>
      </c>
      <c r="U2365">
        <v>16</v>
      </c>
      <c r="V2365">
        <v>0</v>
      </c>
      <c r="W2365">
        <v>0</v>
      </c>
      <c r="X2365">
        <v>0</v>
      </c>
    </row>
    <row r="2366" spans="1:24" x14ac:dyDescent="0.2">
      <c r="A2366">
        <v>22101300</v>
      </c>
      <c r="B2366" t="s">
        <v>2365</v>
      </c>
      <c r="C2366">
        <v>1300</v>
      </c>
      <c r="D2366">
        <v>1300</v>
      </c>
      <c r="E2366">
        <v>10000</v>
      </c>
      <c r="F2366">
        <v>106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35</v>
      </c>
      <c r="Q2366">
        <v>0</v>
      </c>
      <c r="R2366">
        <v>0</v>
      </c>
      <c r="S2366">
        <v>0</v>
      </c>
      <c r="T2366">
        <v>7</v>
      </c>
      <c r="U2366">
        <v>16</v>
      </c>
      <c r="V2366">
        <v>0</v>
      </c>
      <c r="W2366">
        <v>0</v>
      </c>
      <c r="X2366">
        <v>0</v>
      </c>
    </row>
    <row r="2367" spans="1:24" x14ac:dyDescent="0.2">
      <c r="A2367">
        <v>22101400</v>
      </c>
      <c r="B2367" t="s">
        <v>2366</v>
      </c>
      <c r="C2367">
        <v>1400</v>
      </c>
      <c r="D2367">
        <v>1400</v>
      </c>
      <c r="E2367">
        <v>10014</v>
      </c>
      <c r="F2367">
        <v>111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35</v>
      </c>
      <c r="Q2367">
        <v>0</v>
      </c>
      <c r="R2367">
        <v>0</v>
      </c>
      <c r="S2367">
        <v>35</v>
      </c>
      <c r="T2367">
        <v>7</v>
      </c>
      <c r="U2367">
        <v>16</v>
      </c>
      <c r="V2367">
        <v>0</v>
      </c>
      <c r="W2367">
        <v>0</v>
      </c>
      <c r="X2367">
        <v>0</v>
      </c>
    </row>
    <row r="2368" spans="1:24" x14ac:dyDescent="0.2">
      <c r="A2368">
        <v>22101500</v>
      </c>
      <c r="B2368" t="s">
        <v>2367</v>
      </c>
      <c r="C2368">
        <v>1500</v>
      </c>
      <c r="D2368">
        <v>1500</v>
      </c>
      <c r="E2368">
        <v>10015</v>
      </c>
      <c r="F2368">
        <v>106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35</v>
      </c>
      <c r="Q2368">
        <v>0</v>
      </c>
      <c r="R2368">
        <v>0</v>
      </c>
      <c r="S2368">
        <v>0</v>
      </c>
      <c r="T2368">
        <v>7</v>
      </c>
      <c r="U2368">
        <v>16</v>
      </c>
      <c r="V2368">
        <v>0</v>
      </c>
      <c r="W2368">
        <v>0</v>
      </c>
      <c r="X2368">
        <v>0</v>
      </c>
    </row>
    <row r="2369" spans="1:24" x14ac:dyDescent="0.2">
      <c r="A2369">
        <v>22110000</v>
      </c>
      <c r="B2369" t="s">
        <v>2368</v>
      </c>
      <c r="C2369">
        <v>2200</v>
      </c>
      <c r="D2369">
        <v>8300</v>
      </c>
      <c r="E2369">
        <v>10000</v>
      </c>
      <c r="F2369">
        <v>117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36</v>
      </c>
      <c r="Q2369">
        <v>0</v>
      </c>
      <c r="R2369">
        <v>0</v>
      </c>
      <c r="S2369">
        <v>0</v>
      </c>
      <c r="T2369">
        <v>8</v>
      </c>
      <c r="U2369">
        <v>40</v>
      </c>
      <c r="V2369">
        <v>0</v>
      </c>
      <c r="W2369">
        <v>0</v>
      </c>
      <c r="X2369">
        <v>0</v>
      </c>
    </row>
    <row r="2370" spans="1:24" x14ac:dyDescent="0.2">
      <c r="A2370">
        <v>22120000</v>
      </c>
      <c r="B2370" t="s">
        <v>2369</v>
      </c>
      <c r="C2370">
        <v>2000</v>
      </c>
      <c r="D2370">
        <v>8400</v>
      </c>
      <c r="E2370">
        <v>10000</v>
      </c>
      <c r="F2370">
        <v>114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35</v>
      </c>
      <c r="Q2370">
        <v>0</v>
      </c>
      <c r="R2370">
        <v>0</v>
      </c>
      <c r="S2370">
        <v>0</v>
      </c>
      <c r="T2370">
        <v>7</v>
      </c>
      <c r="U2370">
        <v>34</v>
      </c>
      <c r="V2370">
        <v>0</v>
      </c>
      <c r="W2370">
        <v>0</v>
      </c>
      <c r="X2370">
        <v>0</v>
      </c>
    </row>
    <row r="2371" spans="1:24" x14ac:dyDescent="0.2">
      <c r="A2371">
        <v>22130000</v>
      </c>
      <c r="B2371" t="s">
        <v>2370</v>
      </c>
      <c r="C2371">
        <v>0</v>
      </c>
      <c r="D2371">
        <v>8200</v>
      </c>
      <c r="E2371">
        <v>10000</v>
      </c>
      <c r="F2371">
        <v>111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35</v>
      </c>
      <c r="Q2371">
        <v>0</v>
      </c>
      <c r="R2371">
        <v>0</v>
      </c>
      <c r="S2371">
        <v>0</v>
      </c>
      <c r="T2371">
        <v>7</v>
      </c>
      <c r="U2371">
        <v>30</v>
      </c>
      <c r="V2371">
        <v>10</v>
      </c>
      <c r="W2371">
        <v>0</v>
      </c>
      <c r="X2371">
        <v>0</v>
      </c>
    </row>
    <row r="2372" spans="1:24" x14ac:dyDescent="0.2">
      <c r="A2372">
        <v>22130100</v>
      </c>
      <c r="B2372" t="s">
        <v>2371</v>
      </c>
      <c r="C2372">
        <v>200</v>
      </c>
      <c r="D2372">
        <v>100</v>
      </c>
      <c r="E2372">
        <v>10000</v>
      </c>
      <c r="F2372">
        <v>111</v>
      </c>
      <c r="G2372">
        <v>0</v>
      </c>
      <c r="H2372">
        <v>0</v>
      </c>
      <c r="I2372">
        <v>0</v>
      </c>
      <c r="J2372">
        <v>0</v>
      </c>
      <c r="K2372">
        <v>1</v>
      </c>
      <c r="L2372">
        <v>0</v>
      </c>
      <c r="M2372">
        <v>0</v>
      </c>
      <c r="N2372">
        <v>0</v>
      </c>
      <c r="O2372">
        <v>0</v>
      </c>
      <c r="P2372">
        <v>35</v>
      </c>
      <c r="Q2372">
        <v>0</v>
      </c>
      <c r="R2372">
        <v>0</v>
      </c>
      <c r="S2372">
        <v>0</v>
      </c>
      <c r="T2372">
        <v>7</v>
      </c>
      <c r="U2372">
        <v>30</v>
      </c>
      <c r="V2372">
        <v>10</v>
      </c>
      <c r="W2372">
        <v>0</v>
      </c>
      <c r="X2372">
        <v>0</v>
      </c>
    </row>
    <row r="2373" spans="1:24" x14ac:dyDescent="0.2">
      <c r="A2373">
        <v>22130200</v>
      </c>
      <c r="B2373" t="s">
        <v>2372</v>
      </c>
      <c r="C2373">
        <v>100</v>
      </c>
      <c r="D2373">
        <v>200</v>
      </c>
      <c r="E2373">
        <v>10000</v>
      </c>
      <c r="F2373">
        <v>111</v>
      </c>
      <c r="G2373">
        <v>0</v>
      </c>
      <c r="H2373">
        <v>0</v>
      </c>
      <c r="I2373">
        <v>0</v>
      </c>
      <c r="J2373">
        <v>0</v>
      </c>
      <c r="K2373">
        <v>1</v>
      </c>
      <c r="L2373">
        <v>0</v>
      </c>
      <c r="M2373">
        <v>0</v>
      </c>
      <c r="N2373">
        <v>0</v>
      </c>
      <c r="O2373">
        <v>0</v>
      </c>
      <c r="P2373">
        <v>35</v>
      </c>
      <c r="Q2373">
        <v>0</v>
      </c>
      <c r="R2373">
        <v>0</v>
      </c>
      <c r="S2373">
        <v>0</v>
      </c>
      <c r="T2373">
        <v>7</v>
      </c>
      <c r="U2373">
        <v>30</v>
      </c>
      <c r="V2373">
        <v>10</v>
      </c>
      <c r="W2373">
        <v>0</v>
      </c>
      <c r="X2373">
        <v>0</v>
      </c>
    </row>
    <row r="2374" spans="1:24" x14ac:dyDescent="0.2">
      <c r="A2374">
        <v>22130300</v>
      </c>
      <c r="B2374" t="s">
        <v>2373</v>
      </c>
      <c r="C2374">
        <v>300</v>
      </c>
      <c r="D2374">
        <v>300</v>
      </c>
      <c r="E2374">
        <v>10000</v>
      </c>
      <c r="F2374">
        <v>111</v>
      </c>
      <c r="G2374">
        <v>0</v>
      </c>
      <c r="H2374">
        <v>0</v>
      </c>
      <c r="I2374">
        <v>0</v>
      </c>
      <c r="J2374">
        <v>0</v>
      </c>
      <c r="K2374">
        <v>8</v>
      </c>
      <c r="L2374">
        <v>0</v>
      </c>
      <c r="M2374">
        <v>0</v>
      </c>
      <c r="N2374">
        <v>0</v>
      </c>
      <c r="O2374">
        <v>0</v>
      </c>
      <c r="P2374">
        <v>27</v>
      </c>
      <c r="Q2374">
        <v>27</v>
      </c>
      <c r="R2374">
        <v>0</v>
      </c>
      <c r="S2374">
        <v>0</v>
      </c>
      <c r="T2374">
        <v>7</v>
      </c>
      <c r="U2374">
        <v>30</v>
      </c>
      <c r="V2374">
        <v>10</v>
      </c>
      <c r="W2374">
        <v>0</v>
      </c>
      <c r="X2374">
        <v>0</v>
      </c>
    </row>
    <row r="2375" spans="1:24" x14ac:dyDescent="0.2">
      <c r="A2375">
        <v>22130400</v>
      </c>
      <c r="B2375" t="s">
        <v>2374</v>
      </c>
      <c r="C2375">
        <v>500</v>
      </c>
      <c r="D2375">
        <v>500</v>
      </c>
      <c r="E2375">
        <v>10000</v>
      </c>
      <c r="F2375">
        <v>116</v>
      </c>
      <c r="G2375">
        <v>116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35</v>
      </c>
      <c r="Q2375">
        <v>0</v>
      </c>
      <c r="R2375">
        <v>35</v>
      </c>
      <c r="S2375">
        <v>0</v>
      </c>
      <c r="T2375">
        <v>7</v>
      </c>
      <c r="U2375">
        <v>30</v>
      </c>
      <c r="V2375">
        <v>10</v>
      </c>
      <c r="W2375">
        <v>0</v>
      </c>
      <c r="X2375">
        <v>0</v>
      </c>
    </row>
    <row r="2376" spans="1:24" x14ac:dyDescent="0.2">
      <c r="A2376">
        <v>22130500</v>
      </c>
      <c r="B2376" t="s">
        <v>2375</v>
      </c>
      <c r="C2376">
        <v>400</v>
      </c>
      <c r="D2376">
        <v>400</v>
      </c>
      <c r="E2376">
        <v>10000</v>
      </c>
      <c r="F2376">
        <v>116</v>
      </c>
      <c r="G2376">
        <v>116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35</v>
      </c>
      <c r="Q2376">
        <v>0</v>
      </c>
      <c r="R2376">
        <v>35</v>
      </c>
      <c r="S2376">
        <v>0</v>
      </c>
      <c r="T2376">
        <v>7</v>
      </c>
      <c r="U2376">
        <v>30</v>
      </c>
      <c r="V2376">
        <v>10</v>
      </c>
      <c r="W2376">
        <v>0</v>
      </c>
      <c r="X2376">
        <v>0</v>
      </c>
    </row>
    <row r="2377" spans="1:24" x14ac:dyDescent="0.2">
      <c r="A2377">
        <v>22130600</v>
      </c>
      <c r="B2377" t="s">
        <v>2376</v>
      </c>
      <c r="C2377">
        <v>600</v>
      </c>
      <c r="D2377">
        <v>600</v>
      </c>
      <c r="E2377">
        <v>10000</v>
      </c>
      <c r="F2377">
        <v>96</v>
      </c>
      <c r="G2377">
        <v>0</v>
      </c>
      <c r="H2377">
        <v>96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35</v>
      </c>
      <c r="Q2377">
        <v>0</v>
      </c>
      <c r="R2377">
        <v>0</v>
      </c>
      <c r="S2377">
        <v>0</v>
      </c>
      <c r="T2377">
        <v>7</v>
      </c>
      <c r="U2377">
        <v>30</v>
      </c>
      <c r="V2377">
        <v>10</v>
      </c>
      <c r="W2377">
        <v>0</v>
      </c>
      <c r="X2377">
        <v>0</v>
      </c>
    </row>
    <row r="2378" spans="1:24" x14ac:dyDescent="0.2">
      <c r="A2378">
        <v>22130700</v>
      </c>
      <c r="B2378" t="s">
        <v>2377</v>
      </c>
      <c r="C2378">
        <v>700</v>
      </c>
      <c r="D2378">
        <v>700</v>
      </c>
      <c r="E2378">
        <v>10000</v>
      </c>
      <c r="F2378">
        <v>116</v>
      </c>
      <c r="G2378">
        <v>0</v>
      </c>
      <c r="H2378">
        <v>116</v>
      </c>
      <c r="I2378">
        <v>0</v>
      </c>
      <c r="J2378">
        <v>0</v>
      </c>
      <c r="K2378">
        <v>0</v>
      </c>
      <c r="L2378">
        <v>0</v>
      </c>
      <c r="M2378">
        <v>4</v>
      </c>
      <c r="N2378">
        <v>0</v>
      </c>
      <c r="O2378">
        <v>0</v>
      </c>
      <c r="P2378">
        <v>35</v>
      </c>
      <c r="Q2378">
        <v>0</v>
      </c>
      <c r="R2378">
        <v>35</v>
      </c>
      <c r="S2378">
        <v>35</v>
      </c>
      <c r="T2378">
        <v>7</v>
      </c>
      <c r="U2378">
        <v>30</v>
      </c>
      <c r="V2378">
        <v>10</v>
      </c>
      <c r="W2378">
        <v>0</v>
      </c>
      <c r="X2378">
        <v>0</v>
      </c>
    </row>
    <row r="2379" spans="1:24" x14ac:dyDescent="0.2">
      <c r="A2379">
        <v>22130800</v>
      </c>
      <c r="B2379" t="s">
        <v>2378</v>
      </c>
      <c r="C2379">
        <v>800</v>
      </c>
      <c r="D2379">
        <v>800</v>
      </c>
      <c r="E2379">
        <v>10000</v>
      </c>
      <c r="F2379">
        <v>116</v>
      </c>
      <c r="G2379">
        <v>0</v>
      </c>
      <c r="H2379">
        <v>0</v>
      </c>
      <c r="I2379">
        <v>116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35</v>
      </c>
      <c r="Q2379">
        <v>0</v>
      </c>
      <c r="R2379">
        <v>0</v>
      </c>
      <c r="S2379">
        <v>35</v>
      </c>
      <c r="T2379">
        <v>7</v>
      </c>
      <c r="U2379">
        <v>30</v>
      </c>
      <c r="V2379">
        <v>10</v>
      </c>
      <c r="W2379">
        <v>0</v>
      </c>
      <c r="X2379">
        <v>0</v>
      </c>
    </row>
    <row r="2380" spans="1:24" x14ac:dyDescent="0.2">
      <c r="A2380">
        <v>22130900</v>
      </c>
      <c r="B2380" t="s">
        <v>2379</v>
      </c>
      <c r="C2380">
        <v>900</v>
      </c>
      <c r="D2380">
        <v>900</v>
      </c>
      <c r="E2380">
        <v>10000</v>
      </c>
      <c r="F2380">
        <v>96</v>
      </c>
      <c r="G2380">
        <v>0</v>
      </c>
      <c r="H2380">
        <v>0</v>
      </c>
      <c r="I2380">
        <v>0</v>
      </c>
      <c r="J2380">
        <v>96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35</v>
      </c>
      <c r="Q2380">
        <v>0</v>
      </c>
      <c r="R2380">
        <v>0</v>
      </c>
      <c r="S2380">
        <v>0</v>
      </c>
      <c r="T2380">
        <v>7</v>
      </c>
      <c r="U2380">
        <v>30</v>
      </c>
      <c r="V2380">
        <v>10</v>
      </c>
      <c r="W2380">
        <v>0</v>
      </c>
      <c r="X2380">
        <v>0</v>
      </c>
    </row>
    <row r="2381" spans="1:24" x14ac:dyDescent="0.2">
      <c r="A2381">
        <v>22131000</v>
      </c>
      <c r="B2381" t="s">
        <v>2380</v>
      </c>
      <c r="C2381">
        <v>1000</v>
      </c>
      <c r="D2381">
        <v>1000</v>
      </c>
      <c r="E2381">
        <v>10000</v>
      </c>
      <c r="F2381">
        <v>116</v>
      </c>
      <c r="G2381">
        <v>0</v>
      </c>
      <c r="H2381">
        <v>0</v>
      </c>
      <c r="I2381">
        <v>0</v>
      </c>
      <c r="J2381">
        <v>116</v>
      </c>
      <c r="K2381">
        <v>0</v>
      </c>
      <c r="L2381">
        <v>0</v>
      </c>
      <c r="M2381">
        <v>0</v>
      </c>
      <c r="N2381">
        <v>0</v>
      </c>
      <c r="O2381">
        <v>4</v>
      </c>
      <c r="P2381">
        <v>35</v>
      </c>
      <c r="Q2381">
        <v>0</v>
      </c>
      <c r="R2381">
        <v>35</v>
      </c>
      <c r="S2381">
        <v>35</v>
      </c>
      <c r="T2381">
        <v>7</v>
      </c>
      <c r="U2381">
        <v>30</v>
      </c>
      <c r="V2381">
        <v>10</v>
      </c>
      <c r="W2381">
        <v>0</v>
      </c>
      <c r="X2381">
        <v>0</v>
      </c>
    </row>
    <row r="2382" spans="1:24" x14ac:dyDescent="0.2">
      <c r="A2382">
        <v>22131100</v>
      </c>
      <c r="B2382" t="s">
        <v>2381</v>
      </c>
      <c r="C2382">
        <v>1100</v>
      </c>
      <c r="D2382">
        <v>1100</v>
      </c>
      <c r="E2382">
        <v>10000</v>
      </c>
      <c r="F2382">
        <v>111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35</v>
      </c>
      <c r="Q2382">
        <v>0</v>
      </c>
      <c r="R2382">
        <v>0</v>
      </c>
      <c r="S2382">
        <v>0</v>
      </c>
      <c r="T2382">
        <v>7</v>
      </c>
      <c r="U2382">
        <v>30</v>
      </c>
      <c r="V2382">
        <v>10</v>
      </c>
      <c r="W2382">
        <v>0</v>
      </c>
      <c r="X2382">
        <v>0</v>
      </c>
    </row>
    <row r="2383" spans="1:24" x14ac:dyDescent="0.2">
      <c r="A2383">
        <v>22131200</v>
      </c>
      <c r="B2383" t="s">
        <v>2382</v>
      </c>
      <c r="C2383">
        <v>1200</v>
      </c>
      <c r="D2383">
        <v>1200</v>
      </c>
      <c r="E2383">
        <v>10000</v>
      </c>
      <c r="F2383">
        <v>111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35</v>
      </c>
      <c r="Q2383">
        <v>0</v>
      </c>
      <c r="R2383">
        <v>0</v>
      </c>
      <c r="S2383">
        <v>0</v>
      </c>
      <c r="T2383">
        <v>7</v>
      </c>
      <c r="U2383">
        <v>30</v>
      </c>
      <c r="V2383">
        <v>10</v>
      </c>
      <c r="W2383">
        <v>0</v>
      </c>
      <c r="X2383">
        <v>0</v>
      </c>
    </row>
    <row r="2384" spans="1:24" x14ac:dyDescent="0.2">
      <c r="A2384">
        <v>22131300</v>
      </c>
      <c r="B2384" t="s">
        <v>2383</v>
      </c>
      <c r="C2384">
        <v>1300</v>
      </c>
      <c r="D2384">
        <v>1300</v>
      </c>
      <c r="E2384">
        <v>10000</v>
      </c>
      <c r="F2384">
        <v>111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35</v>
      </c>
      <c r="Q2384">
        <v>0</v>
      </c>
      <c r="R2384">
        <v>0</v>
      </c>
      <c r="S2384">
        <v>0</v>
      </c>
      <c r="T2384">
        <v>7</v>
      </c>
      <c r="U2384">
        <v>30</v>
      </c>
      <c r="V2384">
        <v>10</v>
      </c>
      <c r="W2384">
        <v>0</v>
      </c>
      <c r="X2384">
        <v>0</v>
      </c>
    </row>
    <row r="2385" spans="1:24" x14ac:dyDescent="0.2">
      <c r="A2385">
        <v>22131400</v>
      </c>
      <c r="B2385" t="s">
        <v>2384</v>
      </c>
      <c r="C2385">
        <v>1400</v>
      </c>
      <c r="D2385">
        <v>1400</v>
      </c>
      <c r="E2385">
        <v>10014</v>
      </c>
      <c r="F2385">
        <v>116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35</v>
      </c>
      <c r="Q2385">
        <v>0</v>
      </c>
      <c r="R2385">
        <v>0</v>
      </c>
      <c r="S2385">
        <v>35</v>
      </c>
      <c r="T2385">
        <v>7</v>
      </c>
      <c r="U2385">
        <v>30</v>
      </c>
      <c r="V2385">
        <v>10</v>
      </c>
      <c r="W2385">
        <v>0</v>
      </c>
      <c r="X2385">
        <v>0</v>
      </c>
    </row>
    <row r="2386" spans="1:24" x14ac:dyDescent="0.2">
      <c r="A2386">
        <v>22131500</v>
      </c>
      <c r="B2386" t="s">
        <v>2385</v>
      </c>
      <c r="C2386">
        <v>1500</v>
      </c>
      <c r="D2386">
        <v>1500</v>
      </c>
      <c r="E2386">
        <v>10015</v>
      </c>
      <c r="F2386">
        <v>111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35</v>
      </c>
      <c r="Q2386">
        <v>0</v>
      </c>
      <c r="R2386">
        <v>0</v>
      </c>
      <c r="S2386">
        <v>0</v>
      </c>
      <c r="T2386">
        <v>7</v>
      </c>
      <c r="U2386">
        <v>30</v>
      </c>
      <c r="V2386">
        <v>10</v>
      </c>
      <c r="W2386">
        <v>0</v>
      </c>
      <c r="X2386">
        <v>0</v>
      </c>
    </row>
    <row r="2387" spans="1:24" x14ac:dyDescent="0.2">
      <c r="A2387">
        <v>22140000</v>
      </c>
      <c r="B2387" t="s">
        <v>2386</v>
      </c>
      <c r="C2387">
        <v>0</v>
      </c>
      <c r="D2387">
        <v>8200</v>
      </c>
      <c r="E2387">
        <v>10000</v>
      </c>
      <c r="F2387">
        <v>115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36</v>
      </c>
      <c r="Q2387">
        <v>0</v>
      </c>
      <c r="R2387">
        <v>0</v>
      </c>
      <c r="S2387">
        <v>0</v>
      </c>
      <c r="T2387">
        <v>8</v>
      </c>
      <c r="U2387">
        <v>38</v>
      </c>
      <c r="V2387">
        <v>0</v>
      </c>
      <c r="W2387">
        <v>0</v>
      </c>
      <c r="X2387">
        <v>0</v>
      </c>
    </row>
    <row r="2388" spans="1:24" x14ac:dyDescent="0.2">
      <c r="A2388">
        <v>22140100</v>
      </c>
      <c r="B2388" t="s">
        <v>2387</v>
      </c>
      <c r="C2388">
        <v>200</v>
      </c>
      <c r="D2388">
        <v>100</v>
      </c>
      <c r="E2388">
        <v>10000</v>
      </c>
      <c r="F2388">
        <v>111</v>
      </c>
      <c r="G2388">
        <v>0</v>
      </c>
      <c r="H2388">
        <v>0</v>
      </c>
      <c r="I2388">
        <v>0</v>
      </c>
      <c r="J2388">
        <v>0</v>
      </c>
      <c r="K2388">
        <v>1</v>
      </c>
      <c r="L2388">
        <v>0</v>
      </c>
      <c r="M2388">
        <v>0</v>
      </c>
      <c r="N2388">
        <v>0</v>
      </c>
      <c r="O2388">
        <v>0</v>
      </c>
      <c r="P2388">
        <v>36</v>
      </c>
      <c r="Q2388">
        <v>0</v>
      </c>
      <c r="R2388">
        <v>0</v>
      </c>
      <c r="S2388">
        <v>0</v>
      </c>
      <c r="T2388">
        <v>8</v>
      </c>
      <c r="U2388">
        <v>38</v>
      </c>
      <c r="V2388">
        <v>0</v>
      </c>
      <c r="W2388">
        <v>0</v>
      </c>
      <c r="X2388">
        <v>0</v>
      </c>
    </row>
    <row r="2389" spans="1:24" x14ac:dyDescent="0.2">
      <c r="A2389">
        <v>22140200</v>
      </c>
      <c r="B2389" t="s">
        <v>2388</v>
      </c>
      <c r="C2389">
        <v>100</v>
      </c>
      <c r="D2389">
        <v>200</v>
      </c>
      <c r="E2389">
        <v>10000</v>
      </c>
      <c r="F2389">
        <v>111</v>
      </c>
      <c r="G2389">
        <v>0</v>
      </c>
      <c r="H2389">
        <v>0</v>
      </c>
      <c r="I2389">
        <v>0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36</v>
      </c>
      <c r="Q2389">
        <v>0</v>
      </c>
      <c r="R2389">
        <v>0</v>
      </c>
      <c r="S2389">
        <v>0</v>
      </c>
      <c r="T2389">
        <v>8</v>
      </c>
      <c r="U2389">
        <v>38</v>
      </c>
      <c r="V2389">
        <v>0</v>
      </c>
      <c r="W2389">
        <v>0</v>
      </c>
      <c r="X2389">
        <v>0</v>
      </c>
    </row>
    <row r="2390" spans="1:24" x14ac:dyDescent="0.2">
      <c r="A2390">
        <v>22140300</v>
      </c>
      <c r="B2390" t="s">
        <v>2389</v>
      </c>
      <c r="C2390">
        <v>300</v>
      </c>
      <c r="D2390">
        <v>300</v>
      </c>
      <c r="E2390">
        <v>10000</v>
      </c>
      <c r="F2390">
        <v>111</v>
      </c>
      <c r="G2390">
        <v>0</v>
      </c>
      <c r="H2390">
        <v>0</v>
      </c>
      <c r="I2390">
        <v>0</v>
      </c>
      <c r="J2390">
        <v>0</v>
      </c>
      <c r="K2390">
        <v>8</v>
      </c>
      <c r="L2390">
        <v>0</v>
      </c>
      <c r="M2390">
        <v>0</v>
      </c>
      <c r="N2390">
        <v>0</v>
      </c>
      <c r="O2390">
        <v>0</v>
      </c>
      <c r="P2390">
        <v>28</v>
      </c>
      <c r="Q2390">
        <v>28</v>
      </c>
      <c r="R2390">
        <v>0</v>
      </c>
      <c r="S2390">
        <v>0</v>
      </c>
      <c r="T2390">
        <v>8</v>
      </c>
      <c r="U2390">
        <v>38</v>
      </c>
      <c r="V2390">
        <v>0</v>
      </c>
      <c r="W2390">
        <v>0</v>
      </c>
      <c r="X2390">
        <v>0</v>
      </c>
    </row>
    <row r="2391" spans="1:24" x14ac:dyDescent="0.2">
      <c r="A2391">
        <v>22140400</v>
      </c>
      <c r="B2391" t="s">
        <v>2390</v>
      </c>
      <c r="C2391">
        <v>500</v>
      </c>
      <c r="D2391">
        <v>500</v>
      </c>
      <c r="E2391">
        <v>10000</v>
      </c>
      <c r="F2391">
        <v>116</v>
      </c>
      <c r="G2391">
        <v>116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36</v>
      </c>
      <c r="Q2391">
        <v>0</v>
      </c>
      <c r="R2391">
        <v>36</v>
      </c>
      <c r="S2391">
        <v>0</v>
      </c>
      <c r="T2391">
        <v>8</v>
      </c>
      <c r="U2391">
        <v>38</v>
      </c>
      <c r="V2391">
        <v>0</v>
      </c>
      <c r="W2391">
        <v>0</v>
      </c>
      <c r="X2391">
        <v>0</v>
      </c>
    </row>
    <row r="2392" spans="1:24" x14ac:dyDescent="0.2">
      <c r="A2392">
        <v>22140500</v>
      </c>
      <c r="B2392" t="s">
        <v>2391</v>
      </c>
      <c r="C2392">
        <v>400</v>
      </c>
      <c r="D2392">
        <v>400</v>
      </c>
      <c r="E2392">
        <v>10000</v>
      </c>
      <c r="F2392">
        <v>116</v>
      </c>
      <c r="G2392">
        <v>116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36</v>
      </c>
      <c r="Q2392">
        <v>0</v>
      </c>
      <c r="R2392">
        <v>36</v>
      </c>
      <c r="S2392">
        <v>0</v>
      </c>
      <c r="T2392">
        <v>8</v>
      </c>
      <c r="U2392">
        <v>38</v>
      </c>
      <c r="V2392">
        <v>0</v>
      </c>
      <c r="W2392">
        <v>0</v>
      </c>
      <c r="X2392">
        <v>0</v>
      </c>
    </row>
    <row r="2393" spans="1:24" x14ac:dyDescent="0.2">
      <c r="A2393">
        <v>22140600</v>
      </c>
      <c r="B2393" t="s">
        <v>2392</v>
      </c>
      <c r="C2393">
        <v>600</v>
      </c>
      <c r="D2393">
        <v>600</v>
      </c>
      <c r="E2393">
        <v>10000</v>
      </c>
      <c r="F2393">
        <v>96</v>
      </c>
      <c r="G2393">
        <v>0</v>
      </c>
      <c r="H2393">
        <v>96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36</v>
      </c>
      <c r="Q2393">
        <v>0</v>
      </c>
      <c r="R2393">
        <v>0</v>
      </c>
      <c r="S2393">
        <v>0</v>
      </c>
      <c r="T2393">
        <v>8</v>
      </c>
      <c r="U2393">
        <v>38</v>
      </c>
      <c r="V2393">
        <v>0</v>
      </c>
      <c r="W2393">
        <v>0</v>
      </c>
      <c r="X2393">
        <v>0</v>
      </c>
    </row>
    <row r="2394" spans="1:24" x14ac:dyDescent="0.2">
      <c r="A2394">
        <v>22140700</v>
      </c>
      <c r="B2394" t="s">
        <v>2393</v>
      </c>
      <c r="C2394">
        <v>700</v>
      </c>
      <c r="D2394">
        <v>700</v>
      </c>
      <c r="E2394">
        <v>10000</v>
      </c>
      <c r="F2394">
        <v>116</v>
      </c>
      <c r="G2394">
        <v>0</v>
      </c>
      <c r="H2394">
        <v>116</v>
      </c>
      <c r="I2394">
        <v>0</v>
      </c>
      <c r="J2394">
        <v>0</v>
      </c>
      <c r="K2394">
        <v>0</v>
      </c>
      <c r="L2394">
        <v>0</v>
      </c>
      <c r="M2394">
        <v>4</v>
      </c>
      <c r="N2394">
        <v>0</v>
      </c>
      <c r="O2394">
        <v>0</v>
      </c>
      <c r="P2394">
        <v>36</v>
      </c>
      <c r="Q2394">
        <v>0</v>
      </c>
      <c r="R2394">
        <v>36</v>
      </c>
      <c r="S2394">
        <v>36</v>
      </c>
      <c r="T2394">
        <v>8</v>
      </c>
      <c r="U2394">
        <v>38</v>
      </c>
      <c r="V2394">
        <v>0</v>
      </c>
      <c r="W2394">
        <v>0</v>
      </c>
      <c r="X2394">
        <v>0</v>
      </c>
    </row>
    <row r="2395" spans="1:24" x14ac:dyDescent="0.2">
      <c r="A2395">
        <v>22140800</v>
      </c>
      <c r="B2395" t="s">
        <v>2394</v>
      </c>
      <c r="C2395">
        <v>800</v>
      </c>
      <c r="D2395">
        <v>800</v>
      </c>
      <c r="E2395">
        <v>10000</v>
      </c>
      <c r="F2395">
        <v>116</v>
      </c>
      <c r="G2395">
        <v>0</v>
      </c>
      <c r="H2395">
        <v>0</v>
      </c>
      <c r="I2395">
        <v>116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36</v>
      </c>
      <c r="Q2395">
        <v>0</v>
      </c>
      <c r="R2395">
        <v>0</v>
      </c>
      <c r="S2395">
        <v>36</v>
      </c>
      <c r="T2395">
        <v>8</v>
      </c>
      <c r="U2395">
        <v>38</v>
      </c>
      <c r="V2395">
        <v>0</v>
      </c>
      <c r="W2395">
        <v>0</v>
      </c>
      <c r="X2395">
        <v>0</v>
      </c>
    </row>
    <row r="2396" spans="1:24" x14ac:dyDescent="0.2">
      <c r="A2396">
        <v>22140900</v>
      </c>
      <c r="B2396" t="s">
        <v>2395</v>
      </c>
      <c r="C2396">
        <v>900</v>
      </c>
      <c r="D2396">
        <v>900</v>
      </c>
      <c r="E2396">
        <v>10000</v>
      </c>
      <c r="F2396">
        <v>96</v>
      </c>
      <c r="G2396">
        <v>0</v>
      </c>
      <c r="H2396">
        <v>0</v>
      </c>
      <c r="I2396">
        <v>0</v>
      </c>
      <c r="J2396">
        <v>96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36</v>
      </c>
      <c r="Q2396">
        <v>0</v>
      </c>
      <c r="R2396">
        <v>0</v>
      </c>
      <c r="S2396">
        <v>0</v>
      </c>
      <c r="T2396">
        <v>8</v>
      </c>
      <c r="U2396">
        <v>38</v>
      </c>
      <c r="V2396">
        <v>0</v>
      </c>
      <c r="W2396">
        <v>0</v>
      </c>
      <c r="X2396">
        <v>0</v>
      </c>
    </row>
    <row r="2397" spans="1:24" x14ac:dyDescent="0.2">
      <c r="A2397">
        <v>22141000</v>
      </c>
      <c r="B2397" t="s">
        <v>2396</v>
      </c>
      <c r="C2397">
        <v>1000</v>
      </c>
      <c r="D2397">
        <v>1000</v>
      </c>
      <c r="E2397">
        <v>10000</v>
      </c>
      <c r="F2397">
        <v>116</v>
      </c>
      <c r="G2397">
        <v>0</v>
      </c>
      <c r="H2397">
        <v>0</v>
      </c>
      <c r="I2397">
        <v>0</v>
      </c>
      <c r="J2397">
        <v>116</v>
      </c>
      <c r="K2397">
        <v>0</v>
      </c>
      <c r="L2397">
        <v>0</v>
      </c>
      <c r="M2397">
        <v>0</v>
      </c>
      <c r="N2397">
        <v>0</v>
      </c>
      <c r="O2397">
        <v>4</v>
      </c>
      <c r="P2397">
        <v>36</v>
      </c>
      <c r="Q2397">
        <v>0</v>
      </c>
      <c r="R2397">
        <v>36</v>
      </c>
      <c r="S2397">
        <v>36</v>
      </c>
      <c r="T2397">
        <v>8</v>
      </c>
      <c r="U2397">
        <v>38</v>
      </c>
      <c r="V2397">
        <v>0</v>
      </c>
      <c r="W2397">
        <v>0</v>
      </c>
      <c r="X2397">
        <v>0</v>
      </c>
    </row>
    <row r="2398" spans="1:24" x14ac:dyDescent="0.2">
      <c r="A2398">
        <v>22141100</v>
      </c>
      <c r="B2398" t="s">
        <v>2397</v>
      </c>
      <c r="C2398">
        <v>1100</v>
      </c>
      <c r="D2398">
        <v>1100</v>
      </c>
      <c r="E2398">
        <v>10000</v>
      </c>
      <c r="F2398">
        <v>111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36</v>
      </c>
      <c r="Q2398">
        <v>0</v>
      </c>
      <c r="R2398">
        <v>0</v>
      </c>
      <c r="S2398">
        <v>0</v>
      </c>
      <c r="T2398">
        <v>8</v>
      </c>
      <c r="U2398">
        <v>38</v>
      </c>
      <c r="V2398">
        <v>0</v>
      </c>
      <c r="W2398">
        <v>0</v>
      </c>
      <c r="X2398">
        <v>0</v>
      </c>
    </row>
    <row r="2399" spans="1:24" x14ac:dyDescent="0.2">
      <c r="A2399">
        <v>22141200</v>
      </c>
      <c r="B2399" t="s">
        <v>2398</v>
      </c>
      <c r="C2399">
        <v>1200</v>
      </c>
      <c r="D2399">
        <v>1200</v>
      </c>
      <c r="E2399">
        <v>10000</v>
      </c>
      <c r="F2399">
        <v>111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36</v>
      </c>
      <c r="Q2399">
        <v>0</v>
      </c>
      <c r="R2399">
        <v>0</v>
      </c>
      <c r="S2399">
        <v>0</v>
      </c>
      <c r="T2399">
        <v>8</v>
      </c>
      <c r="U2399">
        <v>38</v>
      </c>
      <c r="V2399">
        <v>0</v>
      </c>
      <c r="W2399">
        <v>0</v>
      </c>
      <c r="X2399">
        <v>0</v>
      </c>
    </row>
    <row r="2400" spans="1:24" x14ac:dyDescent="0.2">
      <c r="A2400">
        <v>22141300</v>
      </c>
      <c r="B2400" t="s">
        <v>2399</v>
      </c>
      <c r="C2400">
        <v>1300</v>
      </c>
      <c r="D2400">
        <v>1300</v>
      </c>
      <c r="E2400">
        <v>10000</v>
      </c>
      <c r="F2400">
        <v>111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36</v>
      </c>
      <c r="Q2400">
        <v>0</v>
      </c>
      <c r="R2400">
        <v>0</v>
      </c>
      <c r="S2400">
        <v>0</v>
      </c>
      <c r="T2400">
        <v>8</v>
      </c>
      <c r="U2400">
        <v>38</v>
      </c>
      <c r="V2400">
        <v>0</v>
      </c>
      <c r="W2400">
        <v>0</v>
      </c>
      <c r="X2400">
        <v>0</v>
      </c>
    </row>
    <row r="2401" spans="1:24" x14ac:dyDescent="0.2">
      <c r="A2401">
        <v>22141400</v>
      </c>
      <c r="B2401" t="s">
        <v>2400</v>
      </c>
      <c r="C2401">
        <v>1400</v>
      </c>
      <c r="D2401">
        <v>1400</v>
      </c>
      <c r="E2401">
        <v>10014</v>
      </c>
      <c r="F2401">
        <v>116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36</v>
      </c>
      <c r="Q2401">
        <v>0</v>
      </c>
      <c r="R2401">
        <v>0</v>
      </c>
      <c r="S2401">
        <v>36</v>
      </c>
      <c r="T2401">
        <v>8</v>
      </c>
      <c r="U2401">
        <v>38</v>
      </c>
      <c r="V2401">
        <v>0</v>
      </c>
      <c r="W2401">
        <v>0</v>
      </c>
      <c r="X2401">
        <v>0</v>
      </c>
    </row>
    <row r="2402" spans="1:24" x14ac:dyDescent="0.2">
      <c r="A2402">
        <v>22141500</v>
      </c>
      <c r="B2402" t="s">
        <v>2401</v>
      </c>
      <c r="C2402">
        <v>1500</v>
      </c>
      <c r="D2402">
        <v>1500</v>
      </c>
      <c r="E2402">
        <v>10015</v>
      </c>
      <c r="F2402">
        <v>111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36</v>
      </c>
      <c r="Q2402">
        <v>0</v>
      </c>
      <c r="R2402">
        <v>0</v>
      </c>
      <c r="S2402">
        <v>0</v>
      </c>
      <c r="T2402">
        <v>8</v>
      </c>
      <c r="U2402">
        <v>38</v>
      </c>
      <c r="V2402">
        <v>0</v>
      </c>
      <c r="W2402">
        <v>0</v>
      </c>
      <c r="X2402">
        <v>0</v>
      </c>
    </row>
    <row r="2403" spans="1:24" x14ac:dyDescent="0.2">
      <c r="A2403">
        <v>23000000</v>
      </c>
      <c r="B2403" t="s">
        <v>2402</v>
      </c>
      <c r="C2403">
        <v>0</v>
      </c>
      <c r="D2403">
        <v>0</v>
      </c>
      <c r="E2403">
        <v>10000</v>
      </c>
      <c r="F2403">
        <v>35</v>
      </c>
      <c r="G2403">
        <v>0</v>
      </c>
      <c r="H2403">
        <v>80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35</v>
      </c>
      <c r="Q2403">
        <v>0</v>
      </c>
      <c r="R2403">
        <v>0</v>
      </c>
      <c r="S2403">
        <v>0</v>
      </c>
      <c r="T2403">
        <v>7</v>
      </c>
      <c r="U2403">
        <v>5</v>
      </c>
      <c r="V2403">
        <v>0</v>
      </c>
      <c r="W2403">
        <v>0</v>
      </c>
      <c r="X2403">
        <v>0</v>
      </c>
    </row>
    <row r="2404" spans="1:24" x14ac:dyDescent="0.2">
      <c r="A2404">
        <v>23010000</v>
      </c>
      <c r="B2404" t="s">
        <v>2403</v>
      </c>
      <c r="C2404">
        <v>0</v>
      </c>
      <c r="D2404">
        <v>0</v>
      </c>
      <c r="E2404">
        <v>10000</v>
      </c>
      <c r="F2404">
        <v>90</v>
      </c>
      <c r="G2404">
        <v>0</v>
      </c>
      <c r="H2404">
        <v>65</v>
      </c>
      <c r="I2404">
        <v>0</v>
      </c>
      <c r="J2404">
        <v>0</v>
      </c>
      <c r="K2404">
        <v>7</v>
      </c>
      <c r="L2404">
        <v>0</v>
      </c>
      <c r="M2404">
        <v>0</v>
      </c>
      <c r="N2404">
        <v>0</v>
      </c>
      <c r="O2404">
        <v>0</v>
      </c>
      <c r="P2404">
        <v>45</v>
      </c>
      <c r="Q2404">
        <v>20</v>
      </c>
      <c r="R2404">
        <v>20</v>
      </c>
      <c r="S2404">
        <v>20</v>
      </c>
      <c r="T2404">
        <v>16</v>
      </c>
      <c r="U2404">
        <v>14</v>
      </c>
      <c r="V2404">
        <v>0</v>
      </c>
      <c r="W2404">
        <v>10</v>
      </c>
      <c r="X2404">
        <v>10</v>
      </c>
    </row>
    <row r="2405" spans="1:24" x14ac:dyDescent="0.2">
      <c r="A2405">
        <v>63990000</v>
      </c>
      <c r="B2405" t="e">
        <v>#N/A</v>
      </c>
      <c r="C2405">
        <v>0</v>
      </c>
      <c r="D2405">
        <v>3000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</row>
    <row r="2406" spans="1:24" x14ac:dyDescent="0.2">
      <c r="A2406">
        <v>67000000</v>
      </c>
      <c r="B2406" t="e">
        <v>#N/A</v>
      </c>
      <c r="C2406">
        <v>0</v>
      </c>
      <c r="D2406">
        <v>3000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</row>
    <row r="2407" spans="1:24" x14ac:dyDescent="0.2">
      <c r="A2407">
        <v>90040000</v>
      </c>
      <c r="B2407">
        <v>0</v>
      </c>
      <c r="C2407">
        <v>0</v>
      </c>
      <c r="D2407">
        <v>3000</v>
      </c>
      <c r="E2407">
        <v>10000</v>
      </c>
      <c r="F2407">
        <v>70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35</v>
      </c>
      <c r="Q2407">
        <v>35</v>
      </c>
      <c r="R2407">
        <v>0</v>
      </c>
      <c r="S2407">
        <v>0</v>
      </c>
      <c r="T2407">
        <v>21</v>
      </c>
      <c r="U2407">
        <v>0</v>
      </c>
      <c r="V2407">
        <v>0</v>
      </c>
      <c r="W2407">
        <v>0</v>
      </c>
      <c r="X2407">
        <v>0</v>
      </c>
    </row>
    <row r="2408" spans="1:24" x14ac:dyDescent="0.2">
      <c r="A2408">
        <v>90050000</v>
      </c>
      <c r="B2408" t="e">
        <v>#N/A</v>
      </c>
      <c r="C2408">
        <v>0</v>
      </c>
      <c r="D2408">
        <v>3000</v>
      </c>
      <c r="E2408">
        <v>10000</v>
      </c>
      <c r="F2408">
        <v>70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35</v>
      </c>
      <c r="Q2408">
        <v>35</v>
      </c>
      <c r="R2408">
        <v>0</v>
      </c>
      <c r="S2408">
        <v>0</v>
      </c>
      <c r="T2408">
        <v>21</v>
      </c>
      <c r="U2408">
        <v>0</v>
      </c>
      <c r="V2408">
        <v>0</v>
      </c>
      <c r="W2408">
        <v>0</v>
      </c>
      <c r="X2408">
        <v>0</v>
      </c>
    </row>
    <row r="2409" spans="1:24" x14ac:dyDescent="0.2">
      <c r="A2409">
        <v>90060000</v>
      </c>
      <c r="B2409" t="e">
        <v>#N/A</v>
      </c>
      <c r="C2409">
        <v>0</v>
      </c>
      <c r="D2409">
        <v>9000</v>
      </c>
      <c r="E2409">
        <v>10000</v>
      </c>
      <c r="F2409">
        <v>90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30</v>
      </c>
      <c r="Q2409">
        <v>0</v>
      </c>
      <c r="R2409">
        <v>0</v>
      </c>
      <c r="S2409">
        <v>0</v>
      </c>
      <c r="T2409">
        <v>6</v>
      </c>
      <c r="U2409">
        <v>10</v>
      </c>
      <c r="V2409">
        <v>0</v>
      </c>
      <c r="W2409">
        <v>0</v>
      </c>
      <c r="X2409">
        <v>0</v>
      </c>
    </row>
  </sheetData>
  <mergeCells count="5">
    <mergeCell ref="U1:X1"/>
    <mergeCell ref="P1:T1"/>
    <mergeCell ref="K1:O1"/>
    <mergeCell ref="F1:J1"/>
    <mergeCell ref="C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C1094-330B-4547-9177-EEC16CFE9824}">
  <sheetPr codeName="Sheet5"/>
  <dimension ref="A1:K446"/>
  <sheetViews>
    <sheetView workbookViewId="0">
      <pane xSplit="1" ySplit="2" topLeftCell="B264" activePane="bottomRight" state="frozen"/>
      <selection pane="topRight" activeCell="B1" sqref="B1"/>
      <selection pane="bottomLeft" activeCell="A3" sqref="A3"/>
      <selection pane="bottomRight" activeCell="K2" sqref="K2"/>
    </sheetView>
  </sheetViews>
  <sheetFormatPr defaultRowHeight="14.25" x14ac:dyDescent="0.2"/>
  <cols>
    <col min="1" max="1" width="9.75" customWidth="1"/>
  </cols>
  <sheetData>
    <row r="1" spans="1:11" x14ac:dyDescent="0.2">
      <c r="B1" s="5" t="s">
        <v>2430</v>
      </c>
      <c r="C1" s="5"/>
      <c r="D1" s="5"/>
      <c r="E1" s="5"/>
      <c r="F1" s="5"/>
      <c r="G1" s="5" t="s">
        <v>2431</v>
      </c>
      <c r="H1" s="5"/>
      <c r="I1" s="5"/>
      <c r="J1" s="5"/>
      <c r="K1" s="5"/>
    </row>
    <row r="2" spans="1:11" x14ac:dyDescent="0.2">
      <c r="A2" t="s">
        <v>0</v>
      </c>
      <c r="B2" t="s">
        <v>2409</v>
      </c>
      <c r="C2" t="s">
        <v>2410</v>
      </c>
      <c r="D2" t="s">
        <v>2411</v>
      </c>
      <c r="E2" t="s">
        <v>2412</v>
      </c>
      <c r="F2" t="s">
        <v>2413</v>
      </c>
      <c r="G2" t="s">
        <v>2425</v>
      </c>
      <c r="H2" t="s">
        <v>2426</v>
      </c>
      <c r="I2" t="s">
        <v>2427</v>
      </c>
      <c r="J2" t="s">
        <v>2428</v>
      </c>
      <c r="K2" t="s">
        <v>2429</v>
      </c>
    </row>
    <row r="3" spans="1:11" x14ac:dyDescent="0.2">
      <c r="A3">
        <v>0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 x14ac:dyDescent="0.2">
      <c r="A4">
        <v>1</v>
      </c>
      <c r="B4">
        <v>1.1000000000000001</v>
      </c>
      <c r="C4">
        <v>1.1000000000000001</v>
      </c>
      <c r="D4">
        <v>1.1000000000000001</v>
      </c>
      <c r="E4">
        <v>1.1000000000000001</v>
      </c>
      <c r="F4">
        <v>1.1000000000000001</v>
      </c>
      <c r="G4">
        <v>1.05</v>
      </c>
      <c r="H4">
        <v>1.05</v>
      </c>
      <c r="I4">
        <v>1.05</v>
      </c>
      <c r="J4">
        <v>1.05</v>
      </c>
      <c r="K4">
        <v>1.05</v>
      </c>
    </row>
    <row r="5" spans="1:11" x14ac:dyDescent="0.2">
      <c r="A5">
        <v>2</v>
      </c>
      <c r="B5">
        <v>1.2</v>
      </c>
      <c r="C5">
        <v>1.2</v>
      </c>
      <c r="D5">
        <v>1.2</v>
      </c>
      <c r="E5">
        <v>1.2</v>
      </c>
      <c r="F5">
        <v>1.2</v>
      </c>
      <c r="G5">
        <v>1.1000000000000001</v>
      </c>
      <c r="H5">
        <v>1.1000000000000001</v>
      </c>
      <c r="I5">
        <v>1.1000000000000001</v>
      </c>
      <c r="J5">
        <v>1.1000000000000001</v>
      </c>
      <c r="K5">
        <v>1.1000000000000001</v>
      </c>
    </row>
    <row r="6" spans="1:11" x14ac:dyDescent="0.2">
      <c r="A6">
        <v>3</v>
      </c>
      <c r="B6">
        <v>1.3</v>
      </c>
      <c r="C6">
        <v>1.3</v>
      </c>
      <c r="D6">
        <v>1.3</v>
      </c>
      <c r="E6">
        <v>1.3</v>
      </c>
      <c r="F6">
        <v>1.3</v>
      </c>
      <c r="G6">
        <v>1.1499999999999999</v>
      </c>
      <c r="H6">
        <v>1.1499999999999999</v>
      </c>
      <c r="I6">
        <v>1.1499999999999999</v>
      </c>
      <c r="J6">
        <v>1.1499999999999999</v>
      </c>
      <c r="K6">
        <v>1.1499999999999999</v>
      </c>
    </row>
    <row r="7" spans="1:11" x14ac:dyDescent="0.2">
      <c r="A7">
        <v>4</v>
      </c>
      <c r="B7">
        <v>1.4</v>
      </c>
      <c r="C7">
        <v>1.4</v>
      </c>
      <c r="D7">
        <v>1.4</v>
      </c>
      <c r="E7">
        <v>1.4</v>
      </c>
      <c r="F7">
        <v>1.4</v>
      </c>
      <c r="G7">
        <v>1.2</v>
      </c>
      <c r="H7">
        <v>1.2</v>
      </c>
      <c r="I7">
        <v>1.2</v>
      </c>
      <c r="J7">
        <v>1.2</v>
      </c>
      <c r="K7">
        <v>1.2</v>
      </c>
    </row>
    <row r="8" spans="1:11" x14ac:dyDescent="0.2">
      <c r="A8">
        <v>5</v>
      </c>
      <c r="B8">
        <v>1.5</v>
      </c>
      <c r="C8">
        <v>1.5</v>
      </c>
      <c r="D8">
        <v>1.5</v>
      </c>
      <c r="E8">
        <v>1.5</v>
      </c>
      <c r="F8">
        <v>1.5</v>
      </c>
      <c r="G8">
        <v>1.23</v>
      </c>
      <c r="H8">
        <v>1.23</v>
      </c>
      <c r="I8">
        <v>1.23</v>
      </c>
      <c r="J8">
        <v>1.23</v>
      </c>
      <c r="K8">
        <v>1.23</v>
      </c>
    </row>
    <row r="9" spans="1:11" x14ac:dyDescent="0.2">
      <c r="A9">
        <v>6</v>
      </c>
      <c r="B9">
        <v>1.6</v>
      </c>
      <c r="C9">
        <v>1.6</v>
      </c>
      <c r="D9">
        <v>1.6</v>
      </c>
      <c r="E9">
        <v>1.6</v>
      </c>
      <c r="F9">
        <v>1.6</v>
      </c>
      <c r="G9">
        <v>1.26</v>
      </c>
      <c r="H9">
        <v>1.26</v>
      </c>
      <c r="I9">
        <v>1.26</v>
      </c>
      <c r="J9">
        <v>1.26</v>
      </c>
      <c r="K9">
        <v>1.26</v>
      </c>
    </row>
    <row r="10" spans="1:11" x14ac:dyDescent="0.2">
      <c r="A10">
        <v>7</v>
      </c>
      <c r="B10">
        <v>1.7</v>
      </c>
      <c r="C10">
        <v>1.7</v>
      </c>
      <c r="D10">
        <v>1.7</v>
      </c>
      <c r="E10">
        <v>1.7</v>
      </c>
      <c r="F10">
        <v>1.7</v>
      </c>
      <c r="G10">
        <v>1.29</v>
      </c>
      <c r="H10">
        <v>1.29</v>
      </c>
      <c r="I10">
        <v>1.29</v>
      </c>
      <c r="J10">
        <v>1.29</v>
      </c>
      <c r="K10">
        <v>1.29</v>
      </c>
    </row>
    <row r="11" spans="1:11" x14ac:dyDescent="0.2">
      <c r="A11">
        <v>8</v>
      </c>
      <c r="B11">
        <v>1.8</v>
      </c>
      <c r="C11">
        <v>1.8</v>
      </c>
      <c r="D11">
        <v>1.8</v>
      </c>
      <c r="E11">
        <v>1.8</v>
      </c>
      <c r="F11">
        <v>1.8</v>
      </c>
      <c r="G11">
        <v>1.32</v>
      </c>
      <c r="H11">
        <v>1.32</v>
      </c>
      <c r="I11">
        <v>1.32</v>
      </c>
      <c r="J11">
        <v>1.32</v>
      </c>
      <c r="K11">
        <v>1.32</v>
      </c>
    </row>
    <row r="12" spans="1:11" x14ac:dyDescent="0.2">
      <c r="A12">
        <v>9</v>
      </c>
      <c r="B12">
        <v>1.9</v>
      </c>
      <c r="C12">
        <v>1.9</v>
      </c>
      <c r="D12">
        <v>1.9</v>
      </c>
      <c r="E12">
        <v>1.9</v>
      </c>
      <c r="F12">
        <v>1.9</v>
      </c>
      <c r="G12">
        <v>1.35</v>
      </c>
      <c r="H12">
        <v>1.35</v>
      </c>
      <c r="I12">
        <v>1.35</v>
      </c>
      <c r="J12">
        <v>1.35</v>
      </c>
      <c r="K12">
        <v>1.35</v>
      </c>
    </row>
    <row r="13" spans="1:11" x14ac:dyDescent="0.2">
      <c r="A13">
        <v>10</v>
      </c>
      <c r="B13">
        <v>2</v>
      </c>
      <c r="C13">
        <v>2</v>
      </c>
      <c r="D13">
        <v>2</v>
      </c>
      <c r="E13">
        <v>2</v>
      </c>
      <c r="F13">
        <v>2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">
      <c r="A14">
        <v>100</v>
      </c>
      <c r="B14">
        <v>0.98</v>
      </c>
      <c r="C14">
        <v>1</v>
      </c>
      <c r="D14">
        <v>1</v>
      </c>
      <c r="E14">
        <v>1</v>
      </c>
      <c r="F14">
        <v>1</v>
      </c>
      <c r="G14">
        <v>1.6</v>
      </c>
      <c r="H14">
        <v>0</v>
      </c>
      <c r="I14">
        <v>1</v>
      </c>
      <c r="J14">
        <v>1</v>
      </c>
      <c r="K14">
        <v>1</v>
      </c>
    </row>
    <row r="15" spans="1:11" x14ac:dyDescent="0.2">
      <c r="A15">
        <v>101</v>
      </c>
      <c r="B15">
        <v>1.0669999999999999</v>
      </c>
      <c r="C15">
        <v>1.1000000000000001</v>
      </c>
      <c r="D15">
        <v>1.1000000000000001</v>
      </c>
      <c r="E15">
        <v>1.1000000000000001</v>
      </c>
      <c r="F15">
        <v>1.1000000000000001</v>
      </c>
      <c r="G15">
        <v>1.71</v>
      </c>
      <c r="H15">
        <v>0</v>
      </c>
      <c r="I15">
        <v>1.05</v>
      </c>
      <c r="J15">
        <v>1.05</v>
      </c>
      <c r="K15">
        <v>1</v>
      </c>
    </row>
    <row r="16" spans="1:11" x14ac:dyDescent="0.2">
      <c r="A16">
        <v>102</v>
      </c>
      <c r="B16">
        <v>1.1539999999999999</v>
      </c>
      <c r="C16">
        <v>1.2</v>
      </c>
      <c r="D16">
        <v>1.2</v>
      </c>
      <c r="E16">
        <v>1.2</v>
      </c>
      <c r="F16">
        <v>1.2</v>
      </c>
      <c r="G16">
        <v>1.82</v>
      </c>
      <c r="H16">
        <v>0</v>
      </c>
      <c r="I16">
        <v>1.1000000000000001</v>
      </c>
      <c r="J16">
        <v>1.1000000000000001</v>
      </c>
      <c r="K16">
        <v>1</v>
      </c>
    </row>
    <row r="17" spans="1:11" x14ac:dyDescent="0.2">
      <c r="A17">
        <v>103</v>
      </c>
      <c r="B17">
        <v>1.2410000000000001</v>
      </c>
      <c r="C17">
        <v>1.3</v>
      </c>
      <c r="D17">
        <v>1.3</v>
      </c>
      <c r="E17">
        <v>1.3</v>
      </c>
      <c r="F17">
        <v>1.3</v>
      </c>
      <c r="G17">
        <v>1.93</v>
      </c>
      <c r="H17">
        <v>0</v>
      </c>
      <c r="I17">
        <v>1.1499999999999999</v>
      </c>
      <c r="J17">
        <v>1.1499999999999999</v>
      </c>
      <c r="K17">
        <v>1</v>
      </c>
    </row>
    <row r="18" spans="1:11" x14ac:dyDescent="0.2">
      <c r="A18">
        <v>104</v>
      </c>
      <c r="B18">
        <v>1.3280000000000001</v>
      </c>
      <c r="C18">
        <v>1.4</v>
      </c>
      <c r="D18">
        <v>1.4</v>
      </c>
      <c r="E18">
        <v>1.4</v>
      </c>
      <c r="F18">
        <v>1.4</v>
      </c>
      <c r="G18">
        <v>2.04</v>
      </c>
      <c r="H18">
        <v>0</v>
      </c>
      <c r="I18">
        <v>1.2</v>
      </c>
      <c r="J18">
        <v>1.2</v>
      </c>
      <c r="K18">
        <v>1</v>
      </c>
    </row>
    <row r="19" spans="1:11" x14ac:dyDescent="0.2">
      <c r="A19">
        <v>105</v>
      </c>
      <c r="B19">
        <v>1.415</v>
      </c>
      <c r="C19">
        <v>1.5</v>
      </c>
      <c r="D19">
        <v>1.5</v>
      </c>
      <c r="E19">
        <v>1.5</v>
      </c>
      <c r="F19">
        <v>1.5</v>
      </c>
      <c r="G19">
        <v>2.13</v>
      </c>
      <c r="H19">
        <v>0</v>
      </c>
      <c r="I19">
        <v>1.23</v>
      </c>
      <c r="J19">
        <v>1.23</v>
      </c>
      <c r="K19">
        <v>1</v>
      </c>
    </row>
    <row r="20" spans="1:11" x14ac:dyDescent="0.2">
      <c r="A20">
        <v>106</v>
      </c>
      <c r="B20">
        <v>1.502</v>
      </c>
      <c r="C20">
        <v>1.6</v>
      </c>
      <c r="D20">
        <v>1.6</v>
      </c>
      <c r="E20">
        <v>1.6</v>
      </c>
      <c r="F20">
        <v>1.6</v>
      </c>
      <c r="G20">
        <v>2.2200000000000002</v>
      </c>
      <c r="H20">
        <v>0</v>
      </c>
      <c r="I20">
        <v>1.26</v>
      </c>
      <c r="J20">
        <v>1.26</v>
      </c>
      <c r="K20">
        <v>1</v>
      </c>
    </row>
    <row r="21" spans="1:11" x14ac:dyDescent="0.2">
      <c r="A21">
        <v>107</v>
      </c>
      <c r="B21">
        <v>1.589</v>
      </c>
      <c r="C21">
        <v>1.7</v>
      </c>
      <c r="D21">
        <v>1.7</v>
      </c>
      <c r="E21">
        <v>1.7</v>
      </c>
      <c r="F21">
        <v>1.7</v>
      </c>
      <c r="G21">
        <v>2.31</v>
      </c>
      <c r="H21">
        <v>0</v>
      </c>
      <c r="I21">
        <v>1.29</v>
      </c>
      <c r="J21">
        <v>1.29</v>
      </c>
      <c r="K21">
        <v>1</v>
      </c>
    </row>
    <row r="22" spans="1:11" x14ac:dyDescent="0.2">
      <c r="A22">
        <v>108</v>
      </c>
      <c r="B22">
        <v>1.6759999999999999</v>
      </c>
      <c r="C22">
        <v>1.8</v>
      </c>
      <c r="D22">
        <v>1.8</v>
      </c>
      <c r="E22">
        <v>1.8</v>
      </c>
      <c r="F22">
        <v>1.8</v>
      </c>
      <c r="G22">
        <v>2.4</v>
      </c>
      <c r="H22">
        <v>0</v>
      </c>
      <c r="I22">
        <v>1.32</v>
      </c>
      <c r="J22">
        <v>1.32</v>
      </c>
      <c r="K22">
        <v>1</v>
      </c>
    </row>
    <row r="23" spans="1:11" x14ac:dyDescent="0.2">
      <c r="A23">
        <v>109</v>
      </c>
      <c r="B23">
        <v>1.7629999999999999</v>
      </c>
      <c r="C23">
        <v>1.9</v>
      </c>
      <c r="D23">
        <v>1.9</v>
      </c>
      <c r="E23">
        <v>1.9</v>
      </c>
      <c r="F23">
        <v>1.9</v>
      </c>
      <c r="G23">
        <v>2.4900000000000002</v>
      </c>
      <c r="H23">
        <v>0</v>
      </c>
      <c r="I23">
        <v>1.35</v>
      </c>
      <c r="J23">
        <v>1.35</v>
      </c>
      <c r="K23">
        <v>1</v>
      </c>
    </row>
    <row r="24" spans="1:11" x14ac:dyDescent="0.2">
      <c r="A24">
        <v>110</v>
      </c>
      <c r="B24">
        <v>1.85</v>
      </c>
      <c r="C24">
        <v>2</v>
      </c>
      <c r="D24">
        <v>2</v>
      </c>
      <c r="E24">
        <v>2</v>
      </c>
      <c r="F24">
        <v>2</v>
      </c>
      <c r="G24">
        <v>2.6</v>
      </c>
      <c r="H24">
        <v>0</v>
      </c>
      <c r="I24">
        <v>1.4</v>
      </c>
      <c r="J24">
        <v>1.4</v>
      </c>
      <c r="K24">
        <v>1</v>
      </c>
    </row>
    <row r="25" spans="1:11" x14ac:dyDescent="0.2">
      <c r="A25">
        <v>200</v>
      </c>
      <c r="B25">
        <v>0.95</v>
      </c>
      <c r="C25">
        <v>1</v>
      </c>
      <c r="D25">
        <v>1</v>
      </c>
      <c r="E25">
        <v>1</v>
      </c>
      <c r="F25">
        <v>1</v>
      </c>
      <c r="G25">
        <v>0.95</v>
      </c>
      <c r="H25">
        <v>1.6</v>
      </c>
      <c r="I25">
        <v>1</v>
      </c>
      <c r="J25">
        <v>1</v>
      </c>
      <c r="K25">
        <v>1</v>
      </c>
    </row>
    <row r="26" spans="1:11" x14ac:dyDescent="0.2">
      <c r="A26">
        <v>201</v>
      </c>
      <c r="B26">
        <v>1.04</v>
      </c>
      <c r="C26">
        <v>1.1000000000000001</v>
      </c>
      <c r="D26">
        <v>1.1000000000000001</v>
      </c>
      <c r="E26">
        <v>1.1000000000000001</v>
      </c>
      <c r="F26">
        <v>1.1000000000000001</v>
      </c>
      <c r="G26">
        <v>0.97</v>
      </c>
      <c r="H26">
        <v>1.75</v>
      </c>
      <c r="I26">
        <v>1.05</v>
      </c>
      <c r="J26">
        <v>1.05</v>
      </c>
      <c r="K26">
        <v>1</v>
      </c>
    </row>
    <row r="27" spans="1:11" x14ac:dyDescent="0.2">
      <c r="A27">
        <v>202</v>
      </c>
      <c r="B27">
        <v>1.1299999999999999</v>
      </c>
      <c r="C27">
        <v>1.2</v>
      </c>
      <c r="D27">
        <v>1.2</v>
      </c>
      <c r="E27">
        <v>1.2</v>
      </c>
      <c r="F27">
        <v>1.2</v>
      </c>
      <c r="G27">
        <v>0.99</v>
      </c>
      <c r="H27">
        <v>1.9</v>
      </c>
      <c r="I27">
        <v>1.1000000000000001</v>
      </c>
      <c r="J27">
        <v>1.1000000000000001</v>
      </c>
      <c r="K27">
        <v>1</v>
      </c>
    </row>
    <row r="28" spans="1:11" x14ac:dyDescent="0.2">
      <c r="A28">
        <v>203</v>
      </c>
      <c r="B28">
        <v>1.22</v>
      </c>
      <c r="C28">
        <v>1.3</v>
      </c>
      <c r="D28">
        <v>1.3</v>
      </c>
      <c r="E28">
        <v>1.3</v>
      </c>
      <c r="F28">
        <v>1.3</v>
      </c>
      <c r="G28">
        <v>1.01</v>
      </c>
      <c r="H28">
        <v>2.0499999999999998</v>
      </c>
      <c r="I28">
        <v>1.1499999999999999</v>
      </c>
      <c r="J28">
        <v>1.1499999999999999</v>
      </c>
      <c r="K28">
        <v>1</v>
      </c>
    </row>
    <row r="29" spans="1:11" x14ac:dyDescent="0.2">
      <c r="A29">
        <v>204</v>
      </c>
      <c r="B29">
        <v>1.31</v>
      </c>
      <c r="C29">
        <v>1.4</v>
      </c>
      <c r="D29">
        <v>1.4</v>
      </c>
      <c r="E29">
        <v>1.4</v>
      </c>
      <c r="F29">
        <v>1.4</v>
      </c>
      <c r="G29">
        <v>1.02</v>
      </c>
      <c r="H29">
        <v>2.1800000000000002</v>
      </c>
      <c r="I29">
        <v>1.19</v>
      </c>
      <c r="J29">
        <v>1.19</v>
      </c>
      <c r="K29">
        <v>1</v>
      </c>
    </row>
    <row r="30" spans="1:11" x14ac:dyDescent="0.2">
      <c r="A30">
        <v>205</v>
      </c>
      <c r="B30">
        <v>1.4</v>
      </c>
      <c r="C30">
        <v>1.5</v>
      </c>
      <c r="D30">
        <v>1.5</v>
      </c>
      <c r="E30">
        <v>1.5</v>
      </c>
      <c r="F30">
        <v>1.5</v>
      </c>
      <c r="G30">
        <v>1.03</v>
      </c>
      <c r="H30">
        <v>2.29</v>
      </c>
      <c r="I30">
        <v>1.23</v>
      </c>
      <c r="J30">
        <v>1.23</v>
      </c>
      <c r="K30">
        <v>1</v>
      </c>
    </row>
    <row r="31" spans="1:11" x14ac:dyDescent="0.2">
      <c r="A31">
        <v>206</v>
      </c>
      <c r="B31">
        <v>1.49</v>
      </c>
      <c r="C31">
        <v>1.6</v>
      </c>
      <c r="D31">
        <v>1.6</v>
      </c>
      <c r="E31">
        <v>1.6</v>
      </c>
      <c r="F31">
        <v>1.6</v>
      </c>
      <c r="G31">
        <v>1.04</v>
      </c>
      <c r="H31">
        <v>2.4</v>
      </c>
      <c r="I31">
        <v>1.27</v>
      </c>
      <c r="J31">
        <v>1.27</v>
      </c>
      <c r="K31">
        <v>1</v>
      </c>
    </row>
    <row r="32" spans="1:11" x14ac:dyDescent="0.2">
      <c r="A32">
        <v>207</v>
      </c>
      <c r="B32">
        <v>1.58</v>
      </c>
      <c r="C32">
        <v>1.7</v>
      </c>
      <c r="D32">
        <v>1.7</v>
      </c>
      <c r="E32">
        <v>1.7</v>
      </c>
      <c r="F32">
        <v>1.7</v>
      </c>
      <c r="G32">
        <v>1.05</v>
      </c>
      <c r="H32">
        <v>2.5099999999999998</v>
      </c>
      <c r="I32">
        <v>1.31</v>
      </c>
      <c r="J32">
        <v>1.31</v>
      </c>
      <c r="K32">
        <v>1</v>
      </c>
    </row>
    <row r="33" spans="1:11" x14ac:dyDescent="0.2">
      <c r="A33">
        <v>208</v>
      </c>
      <c r="B33">
        <v>1.67</v>
      </c>
      <c r="C33">
        <v>1.8</v>
      </c>
      <c r="D33">
        <v>1.8</v>
      </c>
      <c r="E33">
        <v>1.8</v>
      </c>
      <c r="F33">
        <v>1.8</v>
      </c>
      <c r="G33">
        <v>1.06</v>
      </c>
      <c r="H33">
        <v>2.62</v>
      </c>
      <c r="I33">
        <v>1.35</v>
      </c>
      <c r="J33">
        <v>1.35</v>
      </c>
      <c r="K33">
        <v>1</v>
      </c>
    </row>
    <row r="34" spans="1:11" x14ac:dyDescent="0.2">
      <c r="A34">
        <v>209</v>
      </c>
      <c r="B34">
        <v>1.76</v>
      </c>
      <c r="C34">
        <v>1.9</v>
      </c>
      <c r="D34">
        <v>1.9</v>
      </c>
      <c r="E34">
        <v>1.9</v>
      </c>
      <c r="F34">
        <v>1.9</v>
      </c>
      <c r="G34">
        <v>1.07</v>
      </c>
      <c r="H34">
        <v>2.73</v>
      </c>
      <c r="I34">
        <v>1.39</v>
      </c>
      <c r="J34">
        <v>1.39</v>
      </c>
      <c r="K34">
        <v>1</v>
      </c>
    </row>
    <row r="35" spans="1:11" x14ac:dyDescent="0.2">
      <c r="A35">
        <v>210</v>
      </c>
      <c r="B35">
        <v>1.85</v>
      </c>
      <c r="C35">
        <v>2</v>
      </c>
      <c r="D35">
        <v>2</v>
      </c>
      <c r="E35">
        <v>2</v>
      </c>
      <c r="F35">
        <v>2</v>
      </c>
      <c r="G35">
        <v>1.1000000000000001</v>
      </c>
      <c r="H35">
        <v>2.86</v>
      </c>
      <c r="I35">
        <v>1.4</v>
      </c>
      <c r="J35">
        <v>1.4</v>
      </c>
      <c r="K35">
        <v>1</v>
      </c>
    </row>
    <row r="36" spans="1:11" x14ac:dyDescent="0.2">
      <c r="A36">
        <v>300</v>
      </c>
      <c r="B36">
        <v>0.9</v>
      </c>
      <c r="C36">
        <v>1</v>
      </c>
      <c r="D36">
        <v>1</v>
      </c>
      <c r="E36">
        <v>1</v>
      </c>
      <c r="F36">
        <v>1</v>
      </c>
      <c r="G36">
        <v>1.25</v>
      </c>
      <c r="H36">
        <v>1.25</v>
      </c>
      <c r="I36">
        <v>1</v>
      </c>
      <c r="J36">
        <v>1</v>
      </c>
      <c r="K36">
        <v>1</v>
      </c>
    </row>
    <row r="37" spans="1:11" x14ac:dyDescent="0.2">
      <c r="A37">
        <v>301</v>
      </c>
      <c r="B37">
        <v>0.99</v>
      </c>
      <c r="C37">
        <v>1.1000000000000001</v>
      </c>
      <c r="D37">
        <v>1.1000000000000001</v>
      </c>
      <c r="E37">
        <v>1.1000000000000001</v>
      </c>
      <c r="F37">
        <v>1.1000000000000001</v>
      </c>
      <c r="G37">
        <v>1.31</v>
      </c>
      <c r="H37">
        <v>1.31</v>
      </c>
      <c r="I37">
        <v>1.07</v>
      </c>
      <c r="J37">
        <v>1.07</v>
      </c>
      <c r="K37">
        <v>1</v>
      </c>
    </row>
    <row r="38" spans="1:11" x14ac:dyDescent="0.2">
      <c r="A38">
        <v>302</v>
      </c>
      <c r="B38">
        <v>1.08</v>
      </c>
      <c r="C38">
        <v>1.2</v>
      </c>
      <c r="D38">
        <v>1.2</v>
      </c>
      <c r="E38">
        <v>1.2</v>
      </c>
      <c r="F38">
        <v>1.2</v>
      </c>
      <c r="G38">
        <v>1.37</v>
      </c>
      <c r="H38">
        <v>1.37</v>
      </c>
      <c r="I38">
        <v>1.1399999999999999</v>
      </c>
      <c r="J38">
        <v>1.1399999999999999</v>
      </c>
      <c r="K38">
        <v>1</v>
      </c>
    </row>
    <row r="39" spans="1:11" x14ac:dyDescent="0.2">
      <c r="A39">
        <v>303</v>
      </c>
      <c r="B39">
        <v>1.17</v>
      </c>
      <c r="C39">
        <v>1.3</v>
      </c>
      <c r="D39">
        <v>1.3</v>
      </c>
      <c r="E39">
        <v>1.3</v>
      </c>
      <c r="F39">
        <v>1.3</v>
      </c>
      <c r="G39">
        <v>1.43</v>
      </c>
      <c r="H39">
        <v>1.43</v>
      </c>
      <c r="I39">
        <v>1.21</v>
      </c>
      <c r="J39">
        <v>1.21</v>
      </c>
      <c r="K39">
        <v>1</v>
      </c>
    </row>
    <row r="40" spans="1:11" x14ac:dyDescent="0.2">
      <c r="A40">
        <v>304</v>
      </c>
      <c r="B40">
        <v>1.26</v>
      </c>
      <c r="C40">
        <v>1.4</v>
      </c>
      <c r="D40">
        <v>1.4</v>
      </c>
      <c r="E40">
        <v>1.4</v>
      </c>
      <c r="F40">
        <v>1.4</v>
      </c>
      <c r="G40">
        <v>1.5</v>
      </c>
      <c r="H40">
        <v>1.5</v>
      </c>
      <c r="I40">
        <v>1.29</v>
      </c>
      <c r="J40">
        <v>1.29</v>
      </c>
      <c r="K40">
        <v>1</v>
      </c>
    </row>
    <row r="41" spans="1:11" x14ac:dyDescent="0.2">
      <c r="A41">
        <v>305</v>
      </c>
      <c r="B41">
        <v>1.35</v>
      </c>
      <c r="C41">
        <v>1.5</v>
      </c>
      <c r="D41">
        <v>1.5</v>
      </c>
      <c r="E41">
        <v>1.5</v>
      </c>
      <c r="F41">
        <v>1.5</v>
      </c>
      <c r="G41">
        <v>1.52</v>
      </c>
      <c r="H41">
        <v>1.52</v>
      </c>
      <c r="I41">
        <v>1.31</v>
      </c>
      <c r="J41">
        <v>1.31</v>
      </c>
      <c r="K41">
        <v>1</v>
      </c>
    </row>
    <row r="42" spans="1:11" x14ac:dyDescent="0.2">
      <c r="A42">
        <v>306</v>
      </c>
      <c r="B42">
        <v>1.44</v>
      </c>
      <c r="C42">
        <v>1.6</v>
      </c>
      <c r="D42">
        <v>1.6</v>
      </c>
      <c r="E42">
        <v>1.6</v>
      </c>
      <c r="F42">
        <v>1.6</v>
      </c>
      <c r="G42">
        <v>1.54</v>
      </c>
      <c r="H42">
        <v>1.54</v>
      </c>
      <c r="I42">
        <v>1.33</v>
      </c>
      <c r="J42">
        <v>1.33</v>
      </c>
      <c r="K42">
        <v>1</v>
      </c>
    </row>
    <row r="43" spans="1:11" x14ac:dyDescent="0.2">
      <c r="A43">
        <v>307</v>
      </c>
      <c r="B43">
        <v>1.53</v>
      </c>
      <c r="C43">
        <v>1.7</v>
      </c>
      <c r="D43">
        <v>1.7</v>
      </c>
      <c r="E43">
        <v>1.7</v>
      </c>
      <c r="F43">
        <v>1.7</v>
      </c>
      <c r="G43">
        <v>1.56</v>
      </c>
      <c r="H43">
        <v>1.56</v>
      </c>
      <c r="I43">
        <v>1.35</v>
      </c>
      <c r="J43">
        <v>1.35</v>
      </c>
      <c r="K43">
        <v>1</v>
      </c>
    </row>
    <row r="44" spans="1:11" x14ac:dyDescent="0.2">
      <c r="A44">
        <v>308</v>
      </c>
      <c r="B44">
        <v>1.62</v>
      </c>
      <c r="C44">
        <v>1.8</v>
      </c>
      <c r="D44">
        <v>1.8</v>
      </c>
      <c r="E44">
        <v>1.8</v>
      </c>
      <c r="F44">
        <v>1.8</v>
      </c>
      <c r="G44">
        <v>1.58</v>
      </c>
      <c r="H44">
        <v>1.58</v>
      </c>
      <c r="I44">
        <v>1.37</v>
      </c>
      <c r="J44">
        <v>1.37</v>
      </c>
      <c r="K44">
        <v>1</v>
      </c>
    </row>
    <row r="45" spans="1:11" x14ac:dyDescent="0.2">
      <c r="A45">
        <v>309</v>
      </c>
      <c r="B45">
        <v>1.71</v>
      </c>
      <c r="C45">
        <v>1.9</v>
      </c>
      <c r="D45">
        <v>1.9</v>
      </c>
      <c r="E45">
        <v>1.9</v>
      </c>
      <c r="F45">
        <v>1.9</v>
      </c>
      <c r="G45">
        <v>1.6</v>
      </c>
      <c r="H45">
        <v>1.6</v>
      </c>
      <c r="I45">
        <v>1.39</v>
      </c>
      <c r="J45">
        <v>1.39</v>
      </c>
      <c r="K45">
        <v>1</v>
      </c>
    </row>
    <row r="46" spans="1:11" x14ac:dyDescent="0.2">
      <c r="A46">
        <v>310</v>
      </c>
      <c r="B46">
        <v>1.8</v>
      </c>
      <c r="C46">
        <v>2</v>
      </c>
      <c r="D46">
        <v>2</v>
      </c>
      <c r="E46">
        <v>2</v>
      </c>
      <c r="F46">
        <v>2</v>
      </c>
      <c r="G46">
        <v>1.6</v>
      </c>
      <c r="H46">
        <v>1.6</v>
      </c>
      <c r="I46">
        <v>1.4</v>
      </c>
      <c r="J46">
        <v>1.4</v>
      </c>
      <c r="K46">
        <v>1</v>
      </c>
    </row>
    <row r="47" spans="1:11" x14ac:dyDescent="0.2">
      <c r="A47">
        <v>400</v>
      </c>
      <c r="B47">
        <v>0.75</v>
      </c>
      <c r="C47">
        <v>0.75</v>
      </c>
      <c r="D47">
        <v>1</v>
      </c>
      <c r="E47">
        <v>1</v>
      </c>
      <c r="F47">
        <v>1</v>
      </c>
      <c r="G47">
        <v>0.5</v>
      </c>
      <c r="H47">
        <v>0.5</v>
      </c>
      <c r="I47">
        <v>0.9</v>
      </c>
      <c r="J47">
        <v>0.9</v>
      </c>
      <c r="K47">
        <v>1</v>
      </c>
    </row>
    <row r="48" spans="1:11" x14ac:dyDescent="0.2">
      <c r="A48">
        <v>401</v>
      </c>
      <c r="B48">
        <v>0.80500000000000005</v>
      </c>
      <c r="C48">
        <v>0.80500000000000005</v>
      </c>
      <c r="D48">
        <v>1</v>
      </c>
      <c r="E48">
        <v>1</v>
      </c>
      <c r="F48">
        <v>1</v>
      </c>
      <c r="G48">
        <v>0.57999999999999996</v>
      </c>
      <c r="H48">
        <v>0.57999999999999996</v>
      </c>
      <c r="I48">
        <v>1</v>
      </c>
      <c r="J48">
        <v>1</v>
      </c>
      <c r="K48">
        <v>1</v>
      </c>
    </row>
    <row r="49" spans="1:11" x14ac:dyDescent="0.2">
      <c r="A49">
        <v>402</v>
      </c>
      <c r="B49">
        <v>0.86</v>
      </c>
      <c r="C49">
        <v>0.86</v>
      </c>
      <c r="D49">
        <v>1</v>
      </c>
      <c r="E49">
        <v>1</v>
      </c>
      <c r="F49">
        <v>1</v>
      </c>
      <c r="G49">
        <v>0.66</v>
      </c>
      <c r="H49">
        <v>0.66</v>
      </c>
      <c r="I49">
        <v>1.1000000000000001</v>
      </c>
      <c r="J49">
        <v>1.1000000000000001</v>
      </c>
      <c r="K49">
        <v>1</v>
      </c>
    </row>
    <row r="50" spans="1:11" x14ac:dyDescent="0.2">
      <c r="A50">
        <v>403</v>
      </c>
      <c r="B50">
        <v>0.91500000000000004</v>
      </c>
      <c r="C50">
        <v>0.91500000000000004</v>
      </c>
      <c r="D50">
        <v>1</v>
      </c>
      <c r="E50">
        <v>1</v>
      </c>
      <c r="F50">
        <v>1</v>
      </c>
      <c r="G50">
        <v>0.74</v>
      </c>
      <c r="H50">
        <v>0.74</v>
      </c>
      <c r="I50">
        <v>1.2</v>
      </c>
      <c r="J50">
        <v>1.2</v>
      </c>
      <c r="K50">
        <v>1</v>
      </c>
    </row>
    <row r="51" spans="1:11" x14ac:dyDescent="0.2">
      <c r="A51">
        <v>404</v>
      </c>
      <c r="B51">
        <v>0.97</v>
      </c>
      <c r="C51">
        <v>0.97</v>
      </c>
      <c r="D51">
        <v>1</v>
      </c>
      <c r="E51">
        <v>1</v>
      </c>
      <c r="F51">
        <v>1</v>
      </c>
      <c r="G51">
        <v>0.8</v>
      </c>
      <c r="H51">
        <v>0.8</v>
      </c>
      <c r="I51">
        <v>1.28</v>
      </c>
      <c r="J51">
        <v>1.28</v>
      </c>
      <c r="K51">
        <v>1</v>
      </c>
    </row>
    <row r="52" spans="1:11" x14ac:dyDescent="0.2">
      <c r="A52">
        <v>405</v>
      </c>
      <c r="B52">
        <v>1.0249999999999999</v>
      </c>
      <c r="C52">
        <v>1.0249999999999999</v>
      </c>
      <c r="D52">
        <v>1</v>
      </c>
      <c r="E52">
        <v>1</v>
      </c>
      <c r="F52">
        <v>1</v>
      </c>
      <c r="G52">
        <v>0.85</v>
      </c>
      <c r="H52">
        <v>0.85</v>
      </c>
      <c r="I52">
        <v>1.34</v>
      </c>
      <c r="J52">
        <v>1.34</v>
      </c>
      <c r="K52">
        <v>1</v>
      </c>
    </row>
    <row r="53" spans="1:11" x14ac:dyDescent="0.2">
      <c r="A53">
        <v>406</v>
      </c>
      <c r="B53">
        <v>1.08</v>
      </c>
      <c r="C53">
        <v>1.08</v>
      </c>
      <c r="D53">
        <v>1</v>
      </c>
      <c r="E53">
        <v>1</v>
      </c>
      <c r="F53">
        <v>1</v>
      </c>
      <c r="G53">
        <v>0.9</v>
      </c>
      <c r="H53">
        <v>0.9</v>
      </c>
      <c r="I53">
        <v>1.4</v>
      </c>
      <c r="J53">
        <v>1.4</v>
      </c>
      <c r="K53">
        <v>1</v>
      </c>
    </row>
    <row r="54" spans="1:11" x14ac:dyDescent="0.2">
      <c r="A54">
        <v>407</v>
      </c>
      <c r="B54">
        <v>1.135</v>
      </c>
      <c r="C54">
        <v>1.135</v>
      </c>
      <c r="D54">
        <v>1</v>
      </c>
      <c r="E54">
        <v>1</v>
      </c>
      <c r="F54">
        <v>1</v>
      </c>
      <c r="G54">
        <v>0.95</v>
      </c>
      <c r="H54">
        <v>0.95</v>
      </c>
      <c r="I54">
        <v>1.46</v>
      </c>
      <c r="J54">
        <v>1.46</v>
      </c>
      <c r="K54">
        <v>1</v>
      </c>
    </row>
    <row r="55" spans="1:11" x14ac:dyDescent="0.2">
      <c r="A55">
        <v>408</v>
      </c>
      <c r="B55">
        <v>1.19</v>
      </c>
      <c r="C55">
        <v>1.19</v>
      </c>
      <c r="D55">
        <v>1</v>
      </c>
      <c r="E55">
        <v>1</v>
      </c>
      <c r="F55">
        <v>1</v>
      </c>
      <c r="G55">
        <v>1</v>
      </c>
      <c r="H55">
        <v>1</v>
      </c>
      <c r="I55">
        <v>1.52</v>
      </c>
      <c r="J55">
        <v>1.52</v>
      </c>
      <c r="K55">
        <v>1</v>
      </c>
    </row>
    <row r="56" spans="1:11" x14ac:dyDescent="0.2">
      <c r="A56">
        <v>409</v>
      </c>
      <c r="B56">
        <v>1.2450000000000001</v>
      </c>
      <c r="C56">
        <v>1.2450000000000001</v>
      </c>
      <c r="D56">
        <v>1</v>
      </c>
      <c r="E56">
        <v>1</v>
      </c>
      <c r="F56">
        <v>1</v>
      </c>
      <c r="G56">
        <v>1.05</v>
      </c>
      <c r="H56">
        <v>1.05</v>
      </c>
      <c r="I56">
        <v>1.58</v>
      </c>
      <c r="J56">
        <v>1.58</v>
      </c>
      <c r="K56">
        <v>1</v>
      </c>
    </row>
    <row r="57" spans="1:11" x14ac:dyDescent="0.2">
      <c r="A57">
        <v>410</v>
      </c>
      <c r="B57">
        <v>1.3</v>
      </c>
      <c r="C57">
        <v>1.3</v>
      </c>
      <c r="D57">
        <v>1</v>
      </c>
      <c r="E57">
        <v>1</v>
      </c>
      <c r="F57">
        <v>1</v>
      </c>
      <c r="G57">
        <v>1.1000000000000001</v>
      </c>
      <c r="H57">
        <v>1.1000000000000001</v>
      </c>
      <c r="I57">
        <v>1.65</v>
      </c>
      <c r="J57">
        <v>1.65</v>
      </c>
      <c r="K57">
        <v>1</v>
      </c>
    </row>
    <row r="58" spans="1:11" x14ac:dyDescent="0.2">
      <c r="A58">
        <v>500</v>
      </c>
      <c r="B58">
        <v>0.75</v>
      </c>
      <c r="C58">
        <v>0.75</v>
      </c>
      <c r="D58">
        <v>1</v>
      </c>
      <c r="E58">
        <v>1</v>
      </c>
      <c r="F58">
        <v>1</v>
      </c>
      <c r="G58">
        <v>0.7</v>
      </c>
      <c r="H58">
        <v>0.7</v>
      </c>
      <c r="I58">
        <v>0.5</v>
      </c>
      <c r="J58">
        <v>0.5</v>
      </c>
      <c r="K58">
        <v>1</v>
      </c>
    </row>
    <row r="59" spans="1:11" x14ac:dyDescent="0.2">
      <c r="A59">
        <v>501</v>
      </c>
      <c r="B59">
        <v>0.78500000000000003</v>
      </c>
      <c r="C59">
        <v>0.79</v>
      </c>
      <c r="D59">
        <v>1</v>
      </c>
      <c r="E59">
        <v>1</v>
      </c>
      <c r="F59">
        <v>1</v>
      </c>
      <c r="G59">
        <v>0.79</v>
      </c>
      <c r="H59">
        <v>0.79</v>
      </c>
      <c r="I59">
        <v>0.66</v>
      </c>
      <c r="J59">
        <v>0.66</v>
      </c>
      <c r="K59">
        <v>1</v>
      </c>
    </row>
    <row r="60" spans="1:11" x14ac:dyDescent="0.2">
      <c r="A60">
        <v>502</v>
      </c>
      <c r="B60">
        <v>0.82</v>
      </c>
      <c r="C60">
        <v>0.83</v>
      </c>
      <c r="D60">
        <v>1</v>
      </c>
      <c r="E60">
        <v>1</v>
      </c>
      <c r="F60">
        <v>1</v>
      </c>
      <c r="G60">
        <v>0.88</v>
      </c>
      <c r="H60">
        <v>0.88</v>
      </c>
      <c r="I60">
        <v>0.82</v>
      </c>
      <c r="J60">
        <v>0.82</v>
      </c>
      <c r="K60">
        <v>1</v>
      </c>
    </row>
    <row r="61" spans="1:11" x14ac:dyDescent="0.2">
      <c r="A61">
        <v>503</v>
      </c>
      <c r="B61">
        <v>0.85499999999999998</v>
      </c>
      <c r="C61">
        <v>0.87</v>
      </c>
      <c r="D61">
        <v>1</v>
      </c>
      <c r="E61">
        <v>1</v>
      </c>
      <c r="F61">
        <v>1</v>
      </c>
      <c r="G61">
        <v>0.97</v>
      </c>
      <c r="H61">
        <v>0.97</v>
      </c>
      <c r="I61">
        <v>0.98</v>
      </c>
      <c r="J61">
        <v>0.98</v>
      </c>
      <c r="K61">
        <v>1</v>
      </c>
    </row>
    <row r="62" spans="1:11" x14ac:dyDescent="0.2">
      <c r="A62">
        <v>504</v>
      </c>
      <c r="B62">
        <v>0.89</v>
      </c>
      <c r="C62">
        <v>0.91</v>
      </c>
      <c r="D62">
        <v>1</v>
      </c>
      <c r="E62">
        <v>1</v>
      </c>
      <c r="F62">
        <v>1</v>
      </c>
      <c r="G62">
        <v>1.05</v>
      </c>
      <c r="H62">
        <v>1.05</v>
      </c>
      <c r="I62">
        <v>1.1499999999999999</v>
      </c>
      <c r="J62">
        <v>1.1499999999999999</v>
      </c>
      <c r="K62">
        <v>1</v>
      </c>
    </row>
    <row r="63" spans="1:11" x14ac:dyDescent="0.2">
      <c r="A63">
        <v>505</v>
      </c>
      <c r="B63">
        <v>0.92500000000000004</v>
      </c>
      <c r="C63">
        <v>0.95</v>
      </c>
      <c r="D63">
        <v>1</v>
      </c>
      <c r="E63">
        <v>1</v>
      </c>
      <c r="F63">
        <v>1</v>
      </c>
      <c r="G63">
        <v>1.1100000000000001</v>
      </c>
      <c r="H63">
        <v>1.1100000000000001</v>
      </c>
      <c r="I63">
        <v>1.26</v>
      </c>
      <c r="J63">
        <v>1.26</v>
      </c>
      <c r="K63">
        <v>1</v>
      </c>
    </row>
    <row r="64" spans="1:11" x14ac:dyDescent="0.2">
      <c r="A64">
        <v>506</v>
      </c>
      <c r="B64">
        <v>0.96</v>
      </c>
      <c r="C64">
        <v>0.99</v>
      </c>
      <c r="D64">
        <v>1</v>
      </c>
      <c r="E64">
        <v>1</v>
      </c>
      <c r="F64">
        <v>1</v>
      </c>
      <c r="G64">
        <v>1.17</v>
      </c>
      <c r="H64">
        <v>1.17</v>
      </c>
      <c r="I64">
        <v>1.37</v>
      </c>
      <c r="J64">
        <v>1.37</v>
      </c>
      <c r="K64">
        <v>1</v>
      </c>
    </row>
    <row r="65" spans="1:11" x14ac:dyDescent="0.2">
      <c r="A65">
        <v>507</v>
      </c>
      <c r="B65">
        <v>0.995</v>
      </c>
      <c r="C65">
        <v>1.03</v>
      </c>
      <c r="D65">
        <v>1</v>
      </c>
      <c r="E65">
        <v>1</v>
      </c>
      <c r="F65">
        <v>1</v>
      </c>
      <c r="G65">
        <v>1.23</v>
      </c>
      <c r="H65">
        <v>1.23</v>
      </c>
      <c r="I65">
        <v>1.48</v>
      </c>
      <c r="J65">
        <v>1.48</v>
      </c>
      <c r="K65">
        <v>1</v>
      </c>
    </row>
    <row r="66" spans="1:11" x14ac:dyDescent="0.2">
      <c r="A66">
        <v>508</v>
      </c>
      <c r="B66">
        <v>1.03</v>
      </c>
      <c r="C66">
        <v>1.07</v>
      </c>
      <c r="D66">
        <v>1</v>
      </c>
      <c r="E66">
        <v>1</v>
      </c>
      <c r="F66">
        <v>1</v>
      </c>
      <c r="G66">
        <v>1.29</v>
      </c>
      <c r="H66">
        <v>1.29</v>
      </c>
      <c r="I66">
        <v>1.59</v>
      </c>
      <c r="J66">
        <v>1.59</v>
      </c>
      <c r="K66">
        <v>1</v>
      </c>
    </row>
    <row r="67" spans="1:11" x14ac:dyDescent="0.2">
      <c r="A67">
        <v>509</v>
      </c>
      <c r="B67">
        <v>1.0649999999999999</v>
      </c>
      <c r="C67">
        <v>1.1100000000000001</v>
      </c>
      <c r="D67">
        <v>1</v>
      </c>
      <c r="E67">
        <v>1</v>
      </c>
      <c r="F67">
        <v>1</v>
      </c>
      <c r="G67">
        <v>1.35</v>
      </c>
      <c r="H67">
        <v>1.35</v>
      </c>
      <c r="I67">
        <v>1.7</v>
      </c>
      <c r="J67">
        <v>1.7</v>
      </c>
      <c r="K67">
        <v>1</v>
      </c>
    </row>
    <row r="68" spans="1:11" x14ac:dyDescent="0.2">
      <c r="A68">
        <v>510</v>
      </c>
      <c r="B68">
        <v>1.1000000000000001</v>
      </c>
      <c r="C68">
        <v>1.1499999999999999</v>
      </c>
      <c r="D68">
        <v>1</v>
      </c>
      <c r="E68">
        <v>1</v>
      </c>
      <c r="F68">
        <v>1</v>
      </c>
      <c r="G68">
        <v>1.4</v>
      </c>
      <c r="H68">
        <v>1.4</v>
      </c>
      <c r="I68">
        <v>1.8</v>
      </c>
      <c r="J68">
        <v>1.8</v>
      </c>
      <c r="K68">
        <v>1</v>
      </c>
    </row>
    <row r="69" spans="1:11" x14ac:dyDescent="0.2">
      <c r="A69">
        <v>600</v>
      </c>
      <c r="B69">
        <v>0.85</v>
      </c>
      <c r="C69">
        <v>1</v>
      </c>
      <c r="D69">
        <v>0.85</v>
      </c>
      <c r="E69">
        <v>1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2">
      <c r="A70">
        <v>601</v>
      </c>
      <c r="B70">
        <v>0.94</v>
      </c>
      <c r="C70">
        <v>1</v>
      </c>
      <c r="D70">
        <v>0.94</v>
      </c>
      <c r="E70">
        <v>1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2">
      <c r="A71">
        <v>602</v>
      </c>
      <c r="B71">
        <v>1.03</v>
      </c>
      <c r="C71">
        <v>1</v>
      </c>
      <c r="D71">
        <v>1.03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2">
      <c r="A72">
        <v>603</v>
      </c>
      <c r="B72">
        <v>1.1200000000000001</v>
      </c>
      <c r="C72">
        <v>1</v>
      </c>
      <c r="D72">
        <v>1.1200000000000001</v>
      </c>
      <c r="E72">
        <v>1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2">
      <c r="A73">
        <v>604</v>
      </c>
      <c r="B73">
        <v>1.19</v>
      </c>
      <c r="C73">
        <v>1</v>
      </c>
      <c r="D73">
        <v>1.19</v>
      </c>
      <c r="E73">
        <v>1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2">
      <c r="A74">
        <v>605</v>
      </c>
      <c r="B74">
        <v>1.3</v>
      </c>
      <c r="C74">
        <v>1</v>
      </c>
      <c r="D74">
        <v>1.3</v>
      </c>
      <c r="E74">
        <v>1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2">
      <c r="A75">
        <v>606</v>
      </c>
      <c r="B75">
        <v>1.41</v>
      </c>
      <c r="C75">
        <v>1</v>
      </c>
      <c r="D75">
        <v>1.41</v>
      </c>
      <c r="E75">
        <v>1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2">
      <c r="A76">
        <v>607</v>
      </c>
      <c r="B76">
        <v>1.52</v>
      </c>
      <c r="C76">
        <v>1</v>
      </c>
      <c r="D76">
        <v>1.52</v>
      </c>
      <c r="E76">
        <v>1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2">
      <c r="A77">
        <v>608</v>
      </c>
      <c r="B77">
        <v>1.63</v>
      </c>
      <c r="C77">
        <v>1</v>
      </c>
      <c r="D77">
        <v>1.63</v>
      </c>
      <c r="E77">
        <v>1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2">
      <c r="A78">
        <v>609</v>
      </c>
      <c r="B78">
        <v>1.74</v>
      </c>
      <c r="C78">
        <v>1</v>
      </c>
      <c r="D78">
        <v>1.74</v>
      </c>
      <c r="E78">
        <v>1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2">
      <c r="A79">
        <v>610</v>
      </c>
      <c r="B79">
        <v>1.85</v>
      </c>
      <c r="C79">
        <v>1</v>
      </c>
      <c r="D79">
        <v>1.85</v>
      </c>
      <c r="E79">
        <v>1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 x14ac:dyDescent="0.2">
      <c r="A80">
        <v>700</v>
      </c>
      <c r="B80">
        <v>0.8</v>
      </c>
      <c r="C80">
        <v>1</v>
      </c>
      <c r="D80">
        <v>0.8</v>
      </c>
      <c r="E80">
        <v>1</v>
      </c>
      <c r="F80">
        <v>1</v>
      </c>
      <c r="G80">
        <v>0.3</v>
      </c>
      <c r="H80">
        <v>0.3</v>
      </c>
      <c r="I80">
        <v>0.54</v>
      </c>
      <c r="J80">
        <v>0.54</v>
      </c>
      <c r="K80">
        <v>1</v>
      </c>
    </row>
    <row r="81" spans="1:11" x14ac:dyDescent="0.2">
      <c r="A81">
        <v>701</v>
      </c>
      <c r="B81">
        <v>0.83</v>
      </c>
      <c r="C81">
        <v>1</v>
      </c>
      <c r="D81">
        <v>0.83499999999999996</v>
      </c>
      <c r="E81">
        <v>1</v>
      </c>
      <c r="F81">
        <v>1</v>
      </c>
      <c r="G81">
        <v>0.43</v>
      </c>
      <c r="H81">
        <v>0.43</v>
      </c>
      <c r="I81">
        <v>0.68</v>
      </c>
      <c r="J81">
        <v>0.68</v>
      </c>
      <c r="K81">
        <v>1</v>
      </c>
    </row>
    <row r="82" spans="1:11" x14ac:dyDescent="0.2">
      <c r="A82">
        <v>702</v>
      </c>
      <c r="B82">
        <v>0.86</v>
      </c>
      <c r="C82">
        <v>1</v>
      </c>
      <c r="D82">
        <v>0.87</v>
      </c>
      <c r="E82">
        <v>1</v>
      </c>
      <c r="F82">
        <v>1</v>
      </c>
      <c r="G82">
        <v>0.56000000000000005</v>
      </c>
      <c r="H82">
        <v>0.56000000000000005</v>
      </c>
      <c r="I82">
        <v>0.82</v>
      </c>
      <c r="J82">
        <v>0.82</v>
      </c>
      <c r="K82">
        <v>1</v>
      </c>
    </row>
    <row r="83" spans="1:11" x14ac:dyDescent="0.2">
      <c r="A83">
        <v>703</v>
      </c>
      <c r="B83">
        <v>0.89</v>
      </c>
      <c r="C83">
        <v>1</v>
      </c>
      <c r="D83">
        <v>0.90500000000000003</v>
      </c>
      <c r="E83">
        <v>1</v>
      </c>
      <c r="F83">
        <v>1</v>
      </c>
      <c r="G83">
        <v>0.69</v>
      </c>
      <c r="H83">
        <v>0.69</v>
      </c>
      <c r="I83">
        <v>0.96</v>
      </c>
      <c r="J83">
        <v>0.96</v>
      </c>
      <c r="K83">
        <v>1</v>
      </c>
    </row>
    <row r="84" spans="1:11" x14ac:dyDescent="0.2">
      <c r="A84">
        <v>704</v>
      </c>
      <c r="B84">
        <v>0.92</v>
      </c>
      <c r="C84">
        <v>1</v>
      </c>
      <c r="D84">
        <v>0.94</v>
      </c>
      <c r="E84">
        <v>1</v>
      </c>
      <c r="F84">
        <v>1</v>
      </c>
      <c r="G84">
        <v>0.83</v>
      </c>
      <c r="H84">
        <v>0.83</v>
      </c>
      <c r="I84">
        <v>1.0900000000000001</v>
      </c>
      <c r="J84">
        <v>1.0900000000000001</v>
      </c>
      <c r="K84">
        <v>1</v>
      </c>
    </row>
    <row r="85" spans="1:11" x14ac:dyDescent="0.2">
      <c r="A85">
        <v>705</v>
      </c>
      <c r="B85">
        <v>0.95</v>
      </c>
      <c r="C85">
        <v>1</v>
      </c>
      <c r="D85">
        <v>0.97499999999999998</v>
      </c>
      <c r="E85">
        <v>1</v>
      </c>
      <c r="F85">
        <v>1</v>
      </c>
      <c r="G85">
        <v>0.92</v>
      </c>
      <c r="H85">
        <v>0.92</v>
      </c>
      <c r="I85">
        <v>1.1299999999999999</v>
      </c>
      <c r="J85">
        <v>1.1299999999999999</v>
      </c>
      <c r="K85">
        <v>1</v>
      </c>
    </row>
    <row r="86" spans="1:11" x14ac:dyDescent="0.2">
      <c r="A86">
        <v>706</v>
      </c>
      <c r="B86">
        <v>0.98</v>
      </c>
      <c r="C86">
        <v>1</v>
      </c>
      <c r="D86">
        <v>1.01</v>
      </c>
      <c r="E86">
        <v>1</v>
      </c>
      <c r="F86">
        <v>1</v>
      </c>
      <c r="G86">
        <v>1.01</v>
      </c>
      <c r="H86">
        <v>1.01</v>
      </c>
      <c r="I86">
        <v>1.17</v>
      </c>
      <c r="J86">
        <v>1.17</v>
      </c>
      <c r="K86">
        <v>1</v>
      </c>
    </row>
    <row r="87" spans="1:11" x14ac:dyDescent="0.2">
      <c r="A87">
        <v>707</v>
      </c>
      <c r="B87">
        <v>1.01</v>
      </c>
      <c r="C87">
        <v>1</v>
      </c>
      <c r="D87">
        <v>1.0449999999999999</v>
      </c>
      <c r="E87">
        <v>1</v>
      </c>
      <c r="F87">
        <v>1</v>
      </c>
      <c r="G87">
        <v>1.1000000000000001</v>
      </c>
      <c r="H87">
        <v>1.1000000000000001</v>
      </c>
      <c r="I87">
        <v>1.21</v>
      </c>
      <c r="J87">
        <v>1.21</v>
      </c>
      <c r="K87">
        <v>1</v>
      </c>
    </row>
    <row r="88" spans="1:11" x14ac:dyDescent="0.2">
      <c r="A88">
        <v>708</v>
      </c>
      <c r="B88">
        <v>1.04</v>
      </c>
      <c r="C88">
        <v>1</v>
      </c>
      <c r="D88">
        <v>1.08</v>
      </c>
      <c r="E88">
        <v>1</v>
      </c>
      <c r="F88">
        <v>1</v>
      </c>
      <c r="G88">
        <v>1.19</v>
      </c>
      <c r="H88">
        <v>1.19</v>
      </c>
      <c r="I88">
        <v>1.25</v>
      </c>
      <c r="J88">
        <v>1.25</v>
      </c>
      <c r="K88">
        <v>1</v>
      </c>
    </row>
    <row r="89" spans="1:11" x14ac:dyDescent="0.2">
      <c r="A89">
        <v>709</v>
      </c>
      <c r="B89">
        <v>1.07</v>
      </c>
      <c r="C89">
        <v>1</v>
      </c>
      <c r="D89">
        <v>1.115</v>
      </c>
      <c r="E89">
        <v>1</v>
      </c>
      <c r="F89">
        <v>1</v>
      </c>
      <c r="G89">
        <v>1.28</v>
      </c>
      <c r="H89">
        <v>1.28</v>
      </c>
      <c r="I89">
        <v>1.29</v>
      </c>
      <c r="J89">
        <v>1.29</v>
      </c>
      <c r="K89">
        <v>1</v>
      </c>
    </row>
    <row r="90" spans="1:11" x14ac:dyDescent="0.2">
      <c r="A90">
        <v>710</v>
      </c>
      <c r="B90">
        <v>1.1000000000000001</v>
      </c>
      <c r="C90">
        <v>1</v>
      </c>
      <c r="D90">
        <v>1.1499999999999999</v>
      </c>
      <c r="E90">
        <v>1</v>
      </c>
      <c r="F90">
        <v>1</v>
      </c>
      <c r="G90">
        <v>1.35</v>
      </c>
      <c r="H90">
        <v>1.35</v>
      </c>
      <c r="I90">
        <v>1.3</v>
      </c>
      <c r="J90">
        <v>1.3</v>
      </c>
      <c r="K90">
        <v>1</v>
      </c>
    </row>
    <row r="91" spans="1:11" x14ac:dyDescent="0.2">
      <c r="A91">
        <v>800</v>
      </c>
      <c r="B91">
        <v>0.75</v>
      </c>
      <c r="C91">
        <v>1</v>
      </c>
      <c r="D91">
        <v>1</v>
      </c>
      <c r="E91">
        <v>0.75</v>
      </c>
      <c r="F91">
        <v>1</v>
      </c>
      <c r="G91">
        <v>0.5</v>
      </c>
      <c r="H91">
        <v>0.5</v>
      </c>
      <c r="I91">
        <v>0.9</v>
      </c>
      <c r="J91">
        <v>0.9</v>
      </c>
      <c r="K91">
        <v>1</v>
      </c>
    </row>
    <row r="92" spans="1:11" x14ac:dyDescent="0.2">
      <c r="A92">
        <v>801</v>
      </c>
      <c r="B92">
        <v>0.80500000000000005</v>
      </c>
      <c r="C92">
        <v>1</v>
      </c>
      <c r="D92">
        <v>1</v>
      </c>
      <c r="E92">
        <v>0.80500000000000005</v>
      </c>
      <c r="F92">
        <v>1</v>
      </c>
      <c r="G92">
        <v>0.61</v>
      </c>
      <c r="H92">
        <v>0.61</v>
      </c>
      <c r="I92">
        <v>1.04</v>
      </c>
      <c r="J92">
        <v>1.04</v>
      </c>
      <c r="K92">
        <v>1</v>
      </c>
    </row>
    <row r="93" spans="1:11" x14ac:dyDescent="0.2">
      <c r="A93">
        <v>802</v>
      </c>
      <c r="B93">
        <v>0.86</v>
      </c>
      <c r="C93">
        <v>1</v>
      </c>
      <c r="D93">
        <v>1</v>
      </c>
      <c r="E93">
        <v>0.86</v>
      </c>
      <c r="F93">
        <v>1</v>
      </c>
      <c r="G93">
        <v>0.72</v>
      </c>
      <c r="H93">
        <v>0.72</v>
      </c>
      <c r="I93">
        <v>1.18</v>
      </c>
      <c r="J93">
        <v>1.18</v>
      </c>
      <c r="K93">
        <v>1</v>
      </c>
    </row>
    <row r="94" spans="1:11" x14ac:dyDescent="0.2">
      <c r="A94">
        <v>803</v>
      </c>
      <c r="B94">
        <v>0.91500000000000004</v>
      </c>
      <c r="C94">
        <v>1</v>
      </c>
      <c r="D94">
        <v>1</v>
      </c>
      <c r="E94">
        <v>0.91500000000000004</v>
      </c>
      <c r="F94">
        <v>1</v>
      </c>
      <c r="G94">
        <v>0.83</v>
      </c>
      <c r="H94">
        <v>0.83</v>
      </c>
      <c r="I94">
        <v>1.32</v>
      </c>
      <c r="J94">
        <v>1.32</v>
      </c>
      <c r="K94">
        <v>1</v>
      </c>
    </row>
    <row r="95" spans="1:11" x14ac:dyDescent="0.2">
      <c r="A95">
        <v>804</v>
      </c>
      <c r="B95">
        <v>0.97</v>
      </c>
      <c r="C95">
        <v>1</v>
      </c>
      <c r="D95">
        <v>1</v>
      </c>
      <c r="E95">
        <v>0.97</v>
      </c>
      <c r="F95">
        <v>1</v>
      </c>
      <c r="G95">
        <v>0.93</v>
      </c>
      <c r="H95">
        <v>0.93</v>
      </c>
      <c r="I95">
        <v>1.44</v>
      </c>
      <c r="J95">
        <v>1.44</v>
      </c>
      <c r="K95">
        <v>1</v>
      </c>
    </row>
    <row r="96" spans="1:11" x14ac:dyDescent="0.2">
      <c r="A96">
        <v>805</v>
      </c>
      <c r="B96">
        <v>1.0249999999999999</v>
      </c>
      <c r="C96">
        <v>1</v>
      </c>
      <c r="D96">
        <v>1</v>
      </c>
      <c r="E96">
        <v>1.0249999999999999</v>
      </c>
      <c r="F96">
        <v>1</v>
      </c>
      <c r="G96">
        <v>0.96</v>
      </c>
      <c r="H96">
        <v>0.96</v>
      </c>
      <c r="I96">
        <v>1.48</v>
      </c>
      <c r="J96">
        <v>1.48</v>
      </c>
      <c r="K96">
        <v>1</v>
      </c>
    </row>
    <row r="97" spans="1:11" x14ac:dyDescent="0.2">
      <c r="A97">
        <v>806</v>
      </c>
      <c r="B97">
        <v>1.08</v>
      </c>
      <c r="C97">
        <v>1</v>
      </c>
      <c r="D97">
        <v>1</v>
      </c>
      <c r="E97">
        <v>1.08</v>
      </c>
      <c r="F97">
        <v>1</v>
      </c>
      <c r="G97">
        <v>0.99</v>
      </c>
      <c r="H97">
        <v>0.99</v>
      </c>
      <c r="I97">
        <v>1.52</v>
      </c>
      <c r="J97">
        <v>1.52</v>
      </c>
      <c r="K97">
        <v>1</v>
      </c>
    </row>
    <row r="98" spans="1:11" x14ac:dyDescent="0.2">
      <c r="A98">
        <v>807</v>
      </c>
      <c r="B98">
        <v>1.135</v>
      </c>
      <c r="C98">
        <v>1</v>
      </c>
      <c r="D98">
        <v>1</v>
      </c>
      <c r="E98">
        <v>1.135</v>
      </c>
      <c r="F98">
        <v>1</v>
      </c>
      <c r="G98">
        <v>1.02</v>
      </c>
      <c r="H98">
        <v>1.02</v>
      </c>
      <c r="I98">
        <v>1.56</v>
      </c>
      <c r="J98">
        <v>1.56</v>
      </c>
      <c r="K98">
        <v>1</v>
      </c>
    </row>
    <row r="99" spans="1:11" x14ac:dyDescent="0.2">
      <c r="A99">
        <v>808</v>
      </c>
      <c r="B99">
        <v>1.19</v>
      </c>
      <c r="C99">
        <v>1</v>
      </c>
      <c r="D99">
        <v>1</v>
      </c>
      <c r="E99">
        <v>1.19</v>
      </c>
      <c r="F99">
        <v>1</v>
      </c>
      <c r="G99">
        <v>1.05</v>
      </c>
      <c r="H99">
        <v>1.05</v>
      </c>
      <c r="I99">
        <v>1.6</v>
      </c>
      <c r="J99">
        <v>1.6</v>
      </c>
      <c r="K99">
        <v>1</v>
      </c>
    </row>
    <row r="100" spans="1:11" x14ac:dyDescent="0.2">
      <c r="A100">
        <v>809</v>
      </c>
      <c r="B100">
        <v>1.2450000000000001</v>
      </c>
      <c r="C100">
        <v>1</v>
      </c>
      <c r="D100">
        <v>1</v>
      </c>
      <c r="E100">
        <v>1.2450000000000001</v>
      </c>
      <c r="F100">
        <v>1</v>
      </c>
      <c r="G100">
        <v>1.08</v>
      </c>
      <c r="H100">
        <v>1.08</v>
      </c>
      <c r="I100">
        <v>1.64</v>
      </c>
      <c r="J100">
        <v>1.64</v>
      </c>
      <c r="K100">
        <v>1</v>
      </c>
    </row>
    <row r="101" spans="1:11" x14ac:dyDescent="0.2">
      <c r="A101">
        <v>810</v>
      </c>
      <c r="B101">
        <v>1.3</v>
      </c>
      <c r="C101">
        <v>1</v>
      </c>
      <c r="D101">
        <v>1</v>
      </c>
      <c r="E101">
        <v>1.3</v>
      </c>
      <c r="F101">
        <v>1</v>
      </c>
      <c r="G101">
        <v>1.1000000000000001</v>
      </c>
      <c r="H101">
        <v>1.1000000000000001</v>
      </c>
      <c r="I101">
        <v>1.65</v>
      </c>
      <c r="J101">
        <v>1.65</v>
      </c>
      <c r="K101">
        <v>1</v>
      </c>
    </row>
    <row r="102" spans="1:11" x14ac:dyDescent="0.2">
      <c r="A102">
        <v>900</v>
      </c>
      <c r="B102">
        <v>0.85</v>
      </c>
      <c r="C102">
        <v>1</v>
      </c>
      <c r="D102">
        <v>1</v>
      </c>
      <c r="E102">
        <v>1</v>
      </c>
      <c r="F102">
        <v>0.85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2">
      <c r="A103">
        <v>901</v>
      </c>
      <c r="B103">
        <v>0.94</v>
      </c>
      <c r="C103">
        <v>1</v>
      </c>
      <c r="D103">
        <v>1</v>
      </c>
      <c r="E103">
        <v>1</v>
      </c>
      <c r="F103">
        <v>0.94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2">
      <c r="A104">
        <v>902</v>
      </c>
      <c r="B104">
        <v>1.03</v>
      </c>
      <c r="C104">
        <v>1</v>
      </c>
      <c r="D104">
        <v>1</v>
      </c>
      <c r="E104">
        <v>1</v>
      </c>
      <c r="F104">
        <v>1.03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 x14ac:dyDescent="0.2">
      <c r="A105">
        <v>903</v>
      </c>
      <c r="B105">
        <v>1.1200000000000001</v>
      </c>
      <c r="C105">
        <v>1</v>
      </c>
      <c r="D105">
        <v>1</v>
      </c>
      <c r="E105">
        <v>1</v>
      </c>
      <c r="F105">
        <v>1.1200000000000001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2">
      <c r="A106">
        <v>904</v>
      </c>
      <c r="B106">
        <v>1.19</v>
      </c>
      <c r="C106">
        <v>1</v>
      </c>
      <c r="D106">
        <v>1</v>
      </c>
      <c r="E106">
        <v>1</v>
      </c>
      <c r="F106">
        <v>1.19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2">
      <c r="A107">
        <v>905</v>
      </c>
      <c r="B107">
        <v>1.3</v>
      </c>
      <c r="C107">
        <v>1</v>
      </c>
      <c r="D107">
        <v>1</v>
      </c>
      <c r="E107">
        <v>1</v>
      </c>
      <c r="F107">
        <v>1.3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2">
      <c r="A108">
        <v>906</v>
      </c>
      <c r="B108">
        <v>1.41</v>
      </c>
      <c r="C108">
        <v>1</v>
      </c>
      <c r="D108">
        <v>1</v>
      </c>
      <c r="E108">
        <v>1</v>
      </c>
      <c r="F108">
        <v>1.41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 x14ac:dyDescent="0.2">
      <c r="A109">
        <v>907</v>
      </c>
      <c r="B109">
        <v>1.52</v>
      </c>
      <c r="C109">
        <v>1</v>
      </c>
      <c r="D109">
        <v>1</v>
      </c>
      <c r="E109">
        <v>1</v>
      </c>
      <c r="F109">
        <v>1.52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 x14ac:dyDescent="0.2">
      <c r="A110">
        <v>908</v>
      </c>
      <c r="B110">
        <v>1.63</v>
      </c>
      <c r="C110">
        <v>1</v>
      </c>
      <c r="D110">
        <v>1</v>
      </c>
      <c r="E110">
        <v>1</v>
      </c>
      <c r="F110">
        <v>1.63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x14ac:dyDescent="0.2">
      <c r="A111">
        <v>909</v>
      </c>
      <c r="B111">
        <v>1.74</v>
      </c>
      <c r="C111">
        <v>1</v>
      </c>
      <c r="D111">
        <v>1</v>
      </c>
      <c r="E111">
        <v>1</v>
      </c>
      <c r="F111">
        <v>1.74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 x14ac:dyDescent="0.2">
      <c r="A112">
        <v>910</v>
      </c>
      <c r="B112">
        <v>1.85</v>
      </c>
      <c r="C112">
        <v>1</v>
      </c>
      <c r="D112">
        <v>1</v>
      </c>
      <c r="E112">
        <v>1</v>
      </c>
      <c r="F112">
        <v>1.85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 x14ac:dyDescent="0.2">
      <c r="A113">
        <v>1000</v>
      </c>
      <c r="B113">
        <v>0.8</v>
      </c>
      <c r="C113">
        <v>1</v>
      </c>
      <c r="D113">
        <v>1</v>
      </c>
      <c r="E113">
        <v>1</v>
      </c>
      <c r="F113">
        <v>0.8</v>
      </c>
      <c r="G113">
        <v>0.3</v>
      </c>
      <c r="H113">
        <v>0.3</v>
      </c>
      <c r="I113">
        <v>0.54</v>
      </c>
      <c r="J113">
        <v>0.54</v>
      </c>
      <c r="K113">
        <v>1</v>
      </c>
    </row>
    <row r="114" spans="1:11" x14ac:dyDescent="0.2">
      <c r="A114">
        <v>1001</v>
      </c>
      <c r="B114">
        <v>0.83</v>
      </c>
      <c r="C114">
        <v>1</v>
      </c>
      <c r="D114">
        <v>1</v>
      </c>
      <c r="E114">
        <v>1</v>
      </c>
      <c r="F114">
        <v>0.83499999999999996</v>
      </c>
      <c r="G114">
        <v>0.43</v>
      </c>
      <c r="H114">
        <v>0.43</v>
      </c>
      <c r="I114">
        <v>0.68</v>
      </c>
      <c r="J114">
        <v>0.68</v>
      </c>
      <c r="K114">
        <v>1</v>
      </c>
    </row>
    <row r="115" spans="1:11" x14ac:dyDescent="0.2">
      <c r="A115">
        <v>1002</v>
      </c>
      <c r="B115">
        <v>0.86</v>
      </c>
      <c r="C115">
        <v>1</v>
      </c>
      <c r="D115">
        <v>1</v>
      </c>
      <c r="E115">
        <v>1</v>
      </c>
      <c r="F115">
        <v>0.87</v>
      </c>
      <c r="G115">
        <v>0.56000000000000005</v>
      </c>
      <c r="H115">
        <v>0.56000000000000005</v>
      </c>
      <c r="I115">
        <v>0.82</v>
      </c>
      <c r="J115">
        <v>0.82</v>
      </c>
      <c r="K115">
        <v>1</v>
      </c>
    </row>
    <row r="116" spans="1:11" x14ac:dyDescent="0.2">
      <c r="A116">
        <v>1003</v>
      </c>
      <c r="B116">
        <v>0.89</v>
      </c>
      <c r="C116">
        <v>1</v>
      </c>
      <c r="D116">
        <v>1</v>
      </c>
      <c r="E116">
        <v>1</v>
      </c>
      <c r="F116">
        <v>0.90500000000000003</v>
      </c>
      <c r="G116">
        <v>0.69</v>
      </c>
      <c r="H116">
        <v>0.69</v>
      </c>
      <c r="I116">
        <v>0.96</v>
      </c>
      <c r="J116">
        <v>0.96</v>
      </c>
      <c r="K116">
        <v>1</v>
      </c>
    </row>
    <row r="117" spans="1:11" x14ac:dyDescent="0.2">
      <c r="A117">
        <v>1004</v>
      </c>
      <c r="B117">
        <v>0.92</v>
      </c>
      <c r="C117">
        <v>1</v>
      </c>
      <c r="D117">
        <v>1</v>
      </c>
      <c r="E117">
        <v>1</v>
      </c>
      <c r="F117">
        <v>0.94</v>
      </c>
      <c r="G117">
        <v>0.83</v>
      </c>
      <c r="H117">
        <v>0.83</v>
      </c>
      <c r="I117">
        <v>1.0900000000000001</v>
      </c>
      <c r="J117">
        <v>1.0900000000000001</v>
      </c>
      <c r="K117">
        <v>1</v>
      </c>
    </row>
    <row r="118" spans="1:11" x14ac:dyDescent="0.2">
      <c r="A118">
        <v>1005</v>
      </c>
      <c r="B118">
        <v>0.95</v>
      </c>
      <c r="C118">
        <v>1</v>
      </c>
      <c r="D118">
        <v>1</v>
      </c>
      <c r="E118">
        <v>1</v>
      </c>
      <c r="F118">
        <v>0.97499999999999998</v>
      </c>
      <c r="G118">
        <v>0.92</v>
      </c>
      <c r="H118">
        <v>0.92</v>
      </c>
      <c r="I118">
        <v>1.1299999999999999</v>
      </c>
      <c r="J118">
        <v>1.1299999999999999</v>
      </c>
      <c r="K118">
        <v>1</v>
      </c>
    </row>
    <row r="119" spans="1:11" x14ac:dyDescent="0.2">
      <c r="A119">
        <v>1006</v>
      </c>
      <c r="B119">
        <v>0.98</v>
      </c>
      <c r="C119">
        <v>1</v>
      </c>
      <c r="D119">
        <v>1</v>
      </c>
      <c r="E119">
        <v>1</v>
      </c>
      <c r="F119">
        <v>1.01</v>
      </c>
      <c r="G119">
        <v>1.01</v>
      </c>
      <c r="H119">
        <v>1.01</v>
      </c>
      <c r="I119">
        <v>1.17</v>
      </c>
      <c r="J119">
        <v>1.17</v>
      </c>
      <c r="K119">
        <v>1</v>
      </c>
    </row>
    <row r="120" spans="1:11" x14ac:dyDescent="0.2">
      <c r="A120">
        <v>1007</v>
      </c>
      <c r="B120">
        <v>1.01</v>
      </c>
      <c r="C120">
        <v>1</v>
      </c>
      <c r="D120">
        <v>1</v>
      </c>
      <c r="E120">
        <v>1</v>
      </c>
      <c r="F120">
        <v>1.0449999999999999</v>
      </c>
      <c r="G120">
        <v>1.1000000000000001</v>
      </c>
      <c r="H120">
        <v>1.1000000000000001</v>
      </c>
      <c r="I120">
        <v>1.21</v>
      </c>
      <c r="J120">
        <v>1.21</v>
      </c>
      <c r="K120">
        <v>1</v>
      </c>
    </row>
    <row r="121" spans="1:11" x14ac:dyDescent="0.2">
      <c r="A121">
        <v>1008</v>
      </c>
      <c r="B121">
        <v>1.04</v>
      </c>
      <c r="C121">
        <v>1</v>
      </c>
      <c r="D121">
        <v>1</v>
      </c>
      <c r="E121">
        <v>1</v>
      </c>
      <c r="F121">
        <v>1.08</v>
      </c>
      <c r="G121">
        <v>1.19</v>
      </c>
      <c r="H121">
        <v>1.19</v>
      </c>
      <c r="I121">
        <v>1.25</v>
      </c>
      <c r="J121">
        <v>1.25</v>
      </c>
      <c r="K121">
        <v>1</v>
      </c>
    </row>
    <row r="122" spans="1:11" x14ac:dyDescent="0.2">
      <c r="A122">
        <v>1009</v>
      </c>
      <c r="B122">
        <v>1.07</v>
      </c>
      <c r="C122">
        <v>1</v>
      </c>
      <c r="D122">
        <v>1</v>
      </c>
      <c r="E122">
        <v>1</v>
      </c>
      <c r="F122">
        <v>1.115</v>
      </c>
      <c r="G122">
        <v>1.28</v>
      </c>
      <c r="H122">
        <v>1.28</v>
      </c>
      <c r="I122">
        <v>1.29</v>
      </c>
      <c r="J122">
        <v>1.29</v>
      </c>
      <c r="K122">
        <v>1</v>
      </c>
    </row>
    <row r="123" spans="1:11" x14ac:dyDescent="0.2">
      <c r="A123">
        <v>1010</v>
      </c>
      <c r="B123">
        <v>1.1000000000000001</v>
      </c>
      <c r="C123">
        <v>1</v>
      </c>
      <c r="D123">
        <v>1</v>
      </c>
      <c r="E123">
        <v>1</v>
      </c>
      <c r="F123">
        <v>1.1499999999999999</v>
      </c>
      <c r="G123">
        <v>1.35</v>
      </c>
      <c r="H123">
        <v>1.35</v>
      </c>
      <c r="I123">
        <v>1.3</v>
      </c>
      <c r="J123">
        <v>1.3</v>
      </c>
      <c r="K123">
        <v>1</v>
      </c>
    </row>
    <row r="124" spans="1:11" x14ac:dyDescent="0.2">
      <c r="A124">
        <v>1100</v>
      </c>
      <c r="B124">
        <v>0.9</v>
      </c>
      <c r="C124">
        <v>0.9</v>
      </c>
      <c r="D124">
        <v>0.9</v>
      </c>
      <c r="E124">
        <v>0.9</v>
      </c>
      <c r="F124">
        <v>0.9</v>
      </c>
      <c r="G124">
        <v>0.9</v>
      </c>
      <c r="H124">
        <v>0.9</v>
      </c>
      <c r="I124">
        <v>0.9</v>
      </c>
      <c r="J124">
        <v>0.9</v>
      </c>
      <c r="K124">
        <v>1</v>
      </c>
    </row>
    <row r="125" spans="1:11" x14ac:dyDescent="0.2">
      <c r="A125">
        <v>1101</v>
      </c>
      <c r="B125">
        <v>0.96499999999999997</v>
      </c>
      <c r="C125">
        <v>0.96499999999999997</v>
      </c>
      <c r="D125">
        <v>0.96499999999999997</v>
      </c>
      <c r="E125">
        <v>0.96499999999999997</v>
      </c>
      <c r="F125">
        <v>0.96499999999999997</v>
      </c>
      <c r="G125">
        <v>0.99</v>
      </c>
      <c r="H125">
        <v>0.99</v>
      </c>
      <c r="I125">
        <v>0.99</v>
      </c>
      <c r="J125">
        <v>0.99</v>
      </c>
      <c r="K125">
        <v>1.18</v>
      </c>
    </row>
    <row r="126" spans="1:11" x14ac:dyDescent="0.2">
      <c r="A126">
        <v>1102</v>
      </c>
      <c r="B126">
        <v>1.03</v>
      </c>
      <c r="C126">
        <v>1.03</v>
      </c>
      <c r="D126">
        <v>1.03</v>
      </c>
      <c r="E126">
        <v>1.03</v>
      </c>
      <c r="F126">
        <v>1.03</v>
      </c>
      <c r="G126">
        <v>1.08</v>
      </c>
      <c r="H126">
        <v>1.08</v>
      </c>
      <c r="I126">
        <v>1.08</v>
      </c>
      <c r="J126">
        <v>1.08</v>
      </c>
      <c r="K126">
        <v>1.36</v>
      </c>
    </row>
    <row r="127" spans="1:11" x14ac:dyDescent="0.2">
      <c r="A127">
        <v>1103</v>
      </c>
      <c r="B127">
        <v>1.095</v>
      </c>
      <c r="C127">
        <v>1.095</v>
      </c>
      <c r="D127">
        <v>1.095</v>
      </c>
      <c r="E127">
        <v>1.095</v>
      </c>
      <c r="F127">
        <v>1.095</v>
      </c>
      <c r="G127">
        <v>1.17</v>
      </c>
      <c r="H127">
        <v>1.17</v>
      </c>
      <c r="I127">
        <v>1.17</v>
      </c>
      <c r="J127">
        <v>1.17</v>
      </c>
      <c r="K127">
        <v>1.54</v>
      </c>
    </row>
    <row r="128" spans="1:11" x14ac:dyDescent="0.2">
      <c r="A128">
        <v>1104</v>
      </c>
      <c r="B128">
        <v>1.1599999999999999</v>
      </c>
      <c r="C128">
        <v>1.1599999999999999</v>
      </c>
      <c r="D128">
        <v>1.1599999999999999</v>
      </c>
      <c r="E128">
        <v>1.1599999999999999</v>
      </c>
      <c r="F128">
        <v>1.1599999999999999</v>
      </c>
      <c r="G128">
        <v>1.26</v>
      </c>
      <c r="H128">
        <v>1.26</v>
      </c>
      <c r="I128">
        <v>1.26</v>
      </c>
      <c r="J128">
        <v>1.26</v>
      </c>
      <c r="K128">
        <v>1.72</v>
      </c>
    </row>
    <row r="129" spans="1:11" x14ac:dyDescent="0.2">
      <c r="A129">
        <v>1105</v>
      </c>
      <c r="B129">
        <v>1.2250000000000001</v>
      </c>
      <c r="C129">
        <v>1.2250000000000001</v>
      </c>
      <c r="D129">
        <v>1.2250000000000001</v>
      </c>
      <c r="E129">
        <v>1.2250000000000001</v>
      </c>
      <c r="F129">
        <v>1.2250000000000001</v>
      </c>
      <c r="G129">
        <v>1.28</v>
      </c>
      <c r="H129">
        <v>1.28</v>
      </c>
      <c r="I129">
        <v>1.28</v>
      </c>
      <c r="J129">
        <v>1.28</v>
      </c>
      <c r="K129">
        <v>1.77</v>
      </c>
    </row>
    <row r="130" spans="1:11" x14ac:dyDescent="0.2">
      <c r="A130">
        <v>1106</v>
      </c>
      <c r="B130">
        <v>1.29</v>
      </c>
      <c r="C130">
        <v>1.29</v>
      </c>
      <c r="D130">
        <v>1.29</v>
      </c>
      <c r="E130">
        <v>1.29</v>
      </c>
      <c r="F130">
        <v>1.29</v>
      </c>
      <c r="G130">
        <v>1.3</v>
      </c>
      <c r="H130">
        <v>1.3</v>
      </c>
      <c r="I130">
        <v>1.3</v>
      </c>
      <c r="J130">
        <v>1.3</v>
      </c>
      <c r="K130">
        <v>1.82</v>
      </c>
    </row>
    <row r="131" spans="1:11" x14ac:dyDescent="0.2">
      <c r="A131">
        <v>1107</v>
      </c>
      <c r="B131">
        <v>1.355</v>
      </c>
      <c r="C131">
        <v>1.355</v>
      </c>
      <c r="D131">
        <v>1.355</v>
      </c>
      <c r="E131">
        <v>1.355</v>
      </c>
      <c r="F131">
        <v>1.355</v>
      </c>
      <c r="G131">
        <v>1.32</v>
      </c>
      <c r="H131">
        <v>1.32</v>
      </c>
      <c r="I131">
        <v>1.32</v>
      </c>
      <c r="J131">
        <v>1.32</v>
      </c>
      <c r="K131">
        <v>1.87</v>
      </c>
    </row>
    <row r="132" spans="1:11" x14ac:dyDescent="0.2">
      <c r="A132">
        <v>1108</v>
      </c>
      <c r="B132">
        <v>1.42</v>
      </c>
      <c r="C132">
        <v>1.42</v>
      </c>
      <c r="D132">
        <v>1.42</v>
      </c>
      <c r="E132">
        <v>1.42</v>
      </c>
      <c r="F132">
        <v>1.42</v>
      </c>
      <c r="G132">
        <v>1.34</v>
      </c>
      <c r="H132">
        <v>1.34</v>
      </c>
      <c r="I132">
        <v>1.34</v>
      </c>
      <c r="J132">
        <v>1.34</v>
      </c>
      <c r="K132">
        <v>1.92</v>
      </c>
    </row>
    <row r="133" spans="1:11" x14ac:dyDescent="0.2">
      <c r="A133">
        <v>1109</v>
      </c>
      <c r="B133">
        <v>1.4850000000000001</v>
      </c>
      <c r="C133">
        <v>1.4850000000000001</v>
      </c>
      <c r="D133">
        <v>1.4850000000000001</v>
      </c>
      <c r="E133">
        <v>1.4850000000000001</v>
      </c>
      <c r="F133">
        <v>1.4850000000000001</v>
      </c>
      <c r="G133">
        <v>1.36</v>
      </c>
      <c r="H133">
        <v>1.36</v>
      </c>
      <c r="I133">
        <v>1.36</v>
      </c>
      <c r="J133">
        <v>1.36</v>
      </c>
      <c r="K133">
        <v>1.97</v>
      </c>
    </row>
    <row r="134" spans="1:11" x14ac:dyDescent="0.2">
      <c r="A134">
        <v>1110</v>
      </c>
      <c r="B134">
        <v>1.55</v>
      </c>
      <c r="C134">
        <v>1.55</v>
      </c>
      <c r="D134">
        <v>1.55</v>
      </c>
      <c r="E134">
        <v>1.55</v>
      </c>
      <c r="F134">
        <v>1.55</v>
      </c>
      <c r="G134">
        <v>1.4</v>
      </c>
      <c r="H134">
        <v>1.4</v>
      </c>
      <c r="I134">
        <v>1.4</v>
      </c>
      <c r="J134">
        <v>1.4</v>
      </c>
      <c r="K134">
        <v>2</v>
      </c>
    </row>
    <row r="135" spans="1:11" x14ac:dyDescent="0.2">
      <c r="A135">
        <v>1200</v>
      </c>
      <c r="B135">
        <v>0.9</v>
      </c>
      <c r="C135">
        <v>0.9</v>
      </c>
      <c r="D135">
        <v>0.9</v>
      </c>
      <c r="E135">
        <v>0.9</v>
      </c>
      <c r="F135">
        <v>0.9</v>
      </c>
      <c r="G135">
        <v>0.9</v>
      </c>
      <c r="H135">
        <v>0.9</v>
      </c>
      <c r="I135">
        <v>0.9</v>
      </c>
      <c r="J135">
        <v>0.9</v>
      </c>
      <c r="K135">
        <v>1</v>
      </c>
    </row>
    <row r="136" spans="1:11" x14ac:dyDescent="0.2">
      <c r="A136">
        <v>1201</v>
      </c>
      <c r="B136">
        <v>0.96499999999999997</v>
      </c>
      <c r="C136">
        <v>0.96499999999999997</v>
      </c>
      <c r="D136">
        <v>0.96499999999999997</v>
      </c>
      <c r="E136">
        <v>0.96499999999999997</v>
      </c>
      <c r="F136">
        <v>0.96499999999999997</v>
      </c>
      <c r="G136">
        <v>0.99</v>
      </c>
      <c r="H136">
        <v>0.99</v>
      </c>
      <c r="I136">
        <v>0.99</v>
      </c>
      <c r="J136">
        <v>0.99</v>
      </c>
      <c r="K136">
        <v>1.18</v>
      </c>
    </row>
    <row r="137" spans="1:11" x14ac:dyDescent="0.2">
      <c r="A137">
        <v>1202</v>
      </c>
      <c r="B137">
        <v>1.03</v>
      </c>
      <c r="C137">
        <v>1.03</v>
      </c>
      <c r="D137">
        <v>1.03</v>
      </c>
      <c r="E137">
        <v>1.03</v>
      </c>
      <c r="F137">
        <v>1.03</v>
      </c>
      <c r="G137">
        <v>1.08</v>
      </c>
      <c r="H137">
        <v>1.08</v>
      </c>
      <c r="I137">
        <v>1.08</v>
      </c>
      <c r="J137">
        <v>1.08</v>
      </c>
      <c r="K137">
        <v>1.36</v>
      </c>
    </row>
    <row r="138" spans="1:11" x14ac:dyDescent="0.2">
      <c r="A138">
        <v>1203</v>
      </c>
      <c r="B138">
        <v>1.095</v>
      </c>
      <c r="C138">
        <v>1.095</v>
      </c>
      <c r="D138">
        <v>1.095</v>
      </c>
      <c r="E138">
        <v>1.095</v>
      </c>
      <c r="F138">
        <v>1.095</v>
      </c>
      <c r="G138">
        <v>1.17</v>
      </c>
      <c r="H138">
        <v>1.17</v>
      </c>
      <c r="I138">
        <v>1.17</v>
      </c>
      <c r="J138">
        <v>1.17</v>
      </c>
      <c r="K138">
        <v>1.54</v>
      </c>
    </row>
    <row r="139" spans="1:11" x14ac:dyDescent="0.2">
      <c r="A139">
        <v>1204</v>
      </c>
      <c r="B139">
        <v>1.1599999999999999</v>
      </c>
      <c r="C139">
        <v>1.1599999999999999</v>
      </c>
      <c r="D139">
        <v>1.1599999999999999</v>
      </c>
      <c r="E139">
        <v>1.1599999999999999</v>
      </c>
      <c r="F139">
        <v>1.1599999999999999</v>
      </c>
      <c r="G139">
        <v>1.26</v>
      </c>
      <c r="H139">
        <v>1.26</v>
      </c>
      <c r="I139">
        <v>1.26</v>
      </c>
      <c r="J139">
        <v>1.26</v>
      </c>
      <c r="K139">
        <v>1.72</v>
      </c>
    </row>
    <row r="140" spans="1:11" x14ac:dyDescent="0.2">
      <c r="A140">
        <v>1205</v>
      </c>
      <c r="B140">
        <v>1.2250000000000001</v>
      </c>
      <c r="C140">
        <v>1.2250000000000001</v>
      </c>
      <c r="D140">
        <v>1.2250000000000001</v>
      </c>
      <c r="E140">
        <v>1.2250000000000001</v>
      </c>
      <c r="F140">
        <v>1.2250000000000001</v>
      </c>
      <c r="G140">
        <v>1.28</v>
      </c>
      <c r="H140">
        <v>1.28</v>
      </c>
      <c r="I140">
        <v>1.28</v>
      </c>
      <c r="J140">
        <v>1.28</v>
      </c>
      <c r="K140">
        <v>1.77</v>
      </c>
    </row>
    <row r="141" spans="1:11" x14ac:dyDescent="0.2">
      <c r="A141">
        <v>1206</v>
      </c>
      <c r="B141">
        <v>1.29</v>
      </c>
      <c r="C141">
        <v>1.29</v>
      </c>
      <c r="D141">
        <v>1.29</v>
      </c>
      <c r="E141">
        <v>1.29</v>
      </c>
      <c r="F141">
        <v>1.29</v>
      </c>
      <c r="G141">
        <v>1.3</v>
      </c>
      <c r="H141">
        <v>1.3</v>
      </c>
      <c r="I141">
        <v>1.3</v>
      </c>
      <c r="J141">
        <v>1.3</v>
      </c>
      <c r="K141">
        <v>1.82</v>
      </c>
    </row>
    <row r="142" spans="1:11" x14ac:dyDescent="0.2">
      <c r="A142">
        <v>1207</v>
      </c>
      <c r="B142">
        <v>1.355</v>
      </c>
      <c r="C142">
        <v>1.355</v>
      </c>
      <c r="D142">
        <v>1.355</v>
      </c>
      <c r="E142">
        <v>1.355</v>
      </c>
      <c r="F142">
        <v>1.355</v>
      </c>
      <c r="G142">
        <v>1.32</v>
      </c>
      <c r="H142">
        <v>1.32</v>
      </c>
      <c r="I142">
        <v>1.32</v>
      </c>
      <c r="J142">
        <v>1.32</v>
      </c>
      <c r="K142">
        <v>1.87</v>
      </c>
    </row>
    <row r="143" spans="1:11" x14ac:dyDescent="0.2">
      <c r="A143">
        <v>1208</v>
      </c>
      <c r="B143">
        <v>1.42</v>
      </c>
      <c r="C143">
        <v>1.42</v>
      </c>
      <c r="D143">
        <v>1.42</v>
      </c>
      <c r="E143">
        <v>1.42</v>
      </c>
      <c r="F143">
        <v>1.42</v>
      </c>
      <c r="G143">
        <v>1.34</v>
      </c>
      <c r="H143">
        <v>1.34</v>
      </c>
      <c r="I143">
        <v>1.34</v>
      </c>
      <c r="J143">
        <v>1.34</v>
      </c>
      <c r="K143">
        <v>1.92</v>
      </c>
    </row>
    <row r="144" spans="1:11" x14ac:dyDescent="0.2">
      <c r="A144">
        <v>1209</v>
      </c>
      <c r="B144">
        <v>1.4850000000000001</v>
      </c>
      <c r="C144">
        <v>1.4850000000000001</v>
      </c>
      <c r="D144">
        <v>1.4850000000000001</v>
      </c>
      <c r="E144">
        <v>1.4850000000000001</v>
      </c>
      <c r="F144">
        <v>1.4850000000000001</v>
      </c>
      <c r="G144">
        <v>1.36</v>
      </c>
      <c r="H144">
        <v>1.36</v>
      </c>
      <c r="I144">
        <v>1.36</v>
      </c>
      <c r="J144">
        <v>1.36</v>
      </c>
      <c r="K144">
        <v>1.97</v>
      </c>
    </row>
    <row r="145" spans="1:11" x14ac:dyDescent="0.2">
      <c r="A145">
        <v>1210</v>
      </c>
      <c r="B145">
        <v>1.55</v>
      </c>
      <c r="C145">
        <v>1.55</v>
      </c>
      <c r="D145">
        <v>1.55</v>
      </c>
      <c r="E145">
        <v>1.55</v>
      </c>
      <c r="F145">
        <v>1.55</v>
      </c>
      <c r="G145">
        <v>1.4</v>
      </c>
      <c r="H145">
        <v>1.4</v>
      </c>
      <c r="I145">
        <v>1.4</v>
      </c>
      <c r="J145">
        <v>1.4</v>
      </c>
      <c r="K145">
        <v>2</v>
      </c>
    </row>
    <row r="146" spans="1:11" x14ac:dyDescent="0.2">
      <c r="A146">
        <v>1300</v>
      </c>
      <c r="B146">
        <v>1.1499999999999999</v>
      </c>
      <c r="C146">
        <v>1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2">
      <c r="A147">
        <v>1301</v>
      </c>
      <c r="B147">
        <v>1.32</v>
      </c>
      <c r="C147">
        <v>1.1000000000000001</v>
      </c>
      <c r="D147">
        <v>1.1000000000000001</v>
      </c>
      <c r="E147">
        <v>1.1000000000000001</v>
      </c>
      <c r="F147">
        <v>1.1000000000000001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2">
      <c r="A148">
        <v>1302</v>
      </c>
      <c r="B148">
        <v>1.49</v>
      </c>
      <c r="C148">
        <v>1.2</v>
      </c>
      <c r="D148">
        <v>1.2</v>
      </c>
      <c r="E148">
        <v>1.2</v>
      </c>
      <c r="F148">
        <v>1.2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2">
      <c r="A149">
        <v>1303</v>
      </c>
      <c r="B149">
        <v>1.66</v>
      </c>
      <c r="C149">
        <v>1.3</v>
      </c>
      <c r="D149">
        <v>1.3</v>
      </c>
      <c r="E149">
        <v>1.3</v>
      </c>
      <c r="F149">
        <v>1.3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 x14ac:dyDescent="0.2">
      <c r="A150">
        <v>1304</v>
      </c>
      <c r="B150">
        <v>1.81</v>
      </c>
      <c r="C150">
        <v>1.4</v>
      </c>
      <c r="D150">
        <v>1.4</v>
      </c>
      <c r="E150">
        <v>1.4</v>
      </c>
      <c r="F150">
        <v>1.4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 x14ac:dyDescent="0.2">
      <c r="A151">
        <v>1305</v>
      </c>
      <c r="B151">
        <v>1.94</v>
      </c>
      <c r="C151">
        <v>1.5</v>
      </c>
      <c r="D151">
        <v>1.5</v>
      </c>
      <c r="E151">
        <v>1.5</v>
      </c>
      <c r="F151">
        <v>1.5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 x14ac:dyDescent="0.2">
      <c r="A152">
        <v>1306</v>
      </c>
      <c r="B152">
        <v>2.0699999999999998</v>
      </c>
      <c r="C152">
        <v>1.6</v>
      </c>
      <c r="D152">
        <v>1.6</v>
      </c>
      <c r="E152">
        <v>1.6</v>
      </c>
      <c r="F152">
        <v>1.6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 x14ac:dyDescent="0.2">
      <c r="A153">
        <v>1307</v>
      </c>
      <c r="B153">
        <v>2.2000000000000002</v>
      </c>
      <c r="C153">
        <v>1.7</v>
      </c>
      <c r="D153">
        <v>1.7</v>
      </c>
      <c r="E153">
        <v>1.7</v>
      </c>
      <c r="F153">
        <v>1.7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 x14ac:dyDescent="0.2">
      <c r="A154">
        <v>1308</v>
      </c>
      <c r="B154">
        <v>2.33</v>
      </c>
      <c r="C154">
        <v>1.8</v>
      </c>
      <c r="D154">
        <v>1.8</v>
      </c>
      <c r="E154">
        <v>1.8</v>
      </c>
      <c r="F154">
        <v>1.8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 x14ac:dyDescent="0.2">
      <c r="A155">
        <v>1309</v>
      </c>
      <c r="B155">
        <v>2.46</v>
      </c>
      <c r="C155">
        <v>1.9</v>
      </c>
      <c r="D155">
        <v>1.9</v>
      </c>
      <c r="E155">
        <v>1.9</v>
      </c>
      <c r="F155">
        <v>1.9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 x14ac:dyDescent="0.2">
      <c r="A156">
        <v>1310</v>
      </c>
      <c r="B156">
        <v>2.6</v>
      </c>
      <c r="C156">
        <v>2</v>
      </c>
      <c r="D156">
        <v>2</v>
      </c>
      <c r="E156">
        <v>2</v>
      </c>
      <c r="F156">
        <v>2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 x14ac:dyDescent="0.2">
      <c r="A157">
        <v>1400</v>
      </c>
      <c r="B157">
        <v>0.8</v>
      </c>
      <c r="C157">
        <v>0.8</v>
      </c>
      <c r="D157">
        <v>0.8</v>
      </c>
      <c r="E157">
        <v>0.8</v>
      </c>
      <c r="F157">
        <v>0.8</v>
      </c>
      <c r="G157">
        <v>0.7</v>
      </c>
      <c r="H157">
        <v>0.7</v>
      </c>
      <c r="I157">
        <v>0.7</v>
      </c>
      <c r="J157">
        <v>1</v>
      </c>
      <c r="K157">
        <v>1</v>
      </c>
    </row>
    <row r="158" spans="1:11" x14ac:dyDescent="0.2">
      <c r="A158">
        <v>1401</v>
      </c>
      <c r="B158">
        <v>0.85</v>
      </c>
      <c r="C158">
        <v>0.85</v>
      </c>
      <c r="D158">
        <v>0.85</v>
      </c>
      <c r="E158">
        <v>0.85</v>
      </c>
      <c r="F158">
        <v>0.85</v>
      </c>
      <c r="G158">
        <v>0.76</v>
      </c>
      <c r="H158">
        <v>0.76</v>
      </c>
      <c r="I158">
        <v>0.84</v>
      </c>
      <c r="J158">
        <v>1.1000000000000001</v>
      </c>
      <c r="K158">
        <v>1</v>
      </c>
    </row>
    <row r="159" spans="1:11" x14ac:dyDescent="0.2">
      <c r="A159">
        <v>1402</v>
      </c>
      <c r="B159">
        <v>0.9</v>
      </c>
      <c r="C159">
        <v>0.9</v>
      </c>
      <c r="D159">
        <v>0.9</v>
      </c>
      <c r="E159">
        <v>0.9</v>
      </c>
      <c r="F159">
        <v>0.9</v>
      </c>
      <c r="G159">
        <v>0.82</v>
      </c>
      <c r="H159">
        <v>0.82</v>
      </c>
      <c r="I159">
        <v>0.98</v>
      </c>
      <c r="J159">
        <v>1.2</v>
      </c>
      <c r="K159">
        <v>1</v>
      </c>
    </row>
    <row r="160" spans="1:11" x14ac:dyDescent="0.2">
      <c r="A160">
        <v>1403</v>
      </c>
      <c r="B160">
        <v>0.95</v>
      </c>
      <c r="C160">
        <v>0.95</v>
      </c>
      <c r="D160">
        <v>0.95</v>
      </c>
      <c r="E160">
        <v>0.95</v>
      </c>
      <c r="F160">
        <v>0.95</v>
      </c>
      <c r="G160">
        <v>0.88</v>
      </c>
      <c r="H160">
        <v>0.88</v>
      </c>
      <c r="I160">
        <v>1.1200000000000001</v>
      </c>
      <c r="J160">
        <v>1.3</v>
      </c>
      <c r="K160">
        <v>1</v>
      </c>
    </row>
    <row r="161" spans="1:11" x14ac:dyDescent="0.2">
      <c r="A161">
        <v>1404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0.95</v>
      </c>
      <c r="H161">
        <v>0.95</v>
      </c>
      <c r="I161">
        <v>1.25</v>
      </c>
      <c r="J161">
        <v>1.4</v>
      </c>
      <c r="K161">
        <v>1</v>
      </c>
    </row>
    <row r="162" spans="1:11" x14ac:dyDescent="0.2">
      <c r="A162">
        <v>1405</v>
      </c>
      <c r="B162">
        <v>1.05</v>
      </c>
      <c r="C162">
        <v>1.05</v>
      </c>
      <c r="D162">
        <v>1.05</v>
      </c>
      <c r="E162">
        <v>1.05</v>
      </c>
      <c r="F162">
        <v>1.05</v>
      </c>
      <c r="G162">
        <v>0.99</v>
      </c>
      <c r="H162">
        <v>0.99</v>
      </c>
      <c r="I162">
        <v>1.34</v>
      </c>
      <c r="J162">
        <v>1.47</v>
      </c>
      <c r="K162">
        <v>1</v>
      </c>
    </row>
    <row r="163" spans="1:11" x14ac:dyDescent="0.2">
      <c r="A163">
        <v>1406</v>
      </c>
      <c r="B163">
        <v>1.1000000000000001</v>
      </c>
      <c r="C163">
        <v>1.1000000000000001</v>
      </c>
      <c r="D163">
        <v>1.1000000000000001</v>
      </c>
      <c r="E163">
        <v>1.1000000000000001</v>
      </c>
      <c r="F163">
        <v>1.1000000000000001</v>
      </c>
      <c r="G163">
        <v>1.03</v>
      </c>
      <c r="H163">
        <v>1.03</v>
      </c>
      <c r="I163">
        <v>1.43</v>
      </c>
      <c r="J163">
        <v>1.54</v>
      </c>
      <c r="K163">
        <v>1</v>
      </c>
    </row>
    <row r="164" spans="1:11" x14ac:dyDescent="0.2">
      <c r="A164">
        <v>1407</v>
      </c>
      <c r="B164">
        <v>1.1499999999999999</v>
      </c>
      <c r="C164">
        <v>1.1499999999999999</v>
      </c>
      <c r="D164">
        <v>1.1499999999999999</v>
      </c>
      <c r="E164">
        <v>1.1499999999999999</v>
      </c>
      <c r="F164">
        <v>1.1499999999999999</v>
      </c>
      <c r="G164">
        <v>1.07</v>
      </c>
      <c r="H164">
        <v>1.07</v>
      </c>
      <c r="I164">
        <v>1.52</v>
      </c>
      <c r="J164">
        <v>1.61</v>
      </c>
      <c r="K164">
        <v>1</v>
      </c>
    </row>
    <row r="165" spans="1:11" x14ac:dyDescent="0.2">
      <c r="A165">
        <v>1408</v>
      </c>
      <c r="B165">
        <v>1.2</v>
      </c>
      <c r="C165">
        <v>1.2</v>
      </c>
      <c r="D165">
        <v>1.2</v>
      </c>
      <c r="E165">
        <v>1.2</v>
      </c>
      <c r="F165">
        <v>1.2</v>
      </c>
      <c r="G165">
        <v>1.1100000000000001</v>
      </c>
      <c r="H165">
        <v>1.1100000000000001</v>
      </c>
      <c r="I165">
        <v>1.61</v>
      </c>
      <c r="J165">
        <v>1.68</v>
      </c>
      <c r="K165">
        <v>1</v>
      </c>
    </row>
    <row r="166" spans="1:11" x14ac:dyDescent="0.2">
      <c r="A166">
        <v>1409</v>
      </c>
      <c r="B166">
        <v>1.25</v>
      </c>
      <c r="C166">
        <v>1.25</v>
      </c>
      <c r="D166">
        <v>1.25</v>
      </c>
      <c r="E166">
        <v>1.25</v>
      </c>
      <c r="F166">
        <v>1.25</v>
      </c>
      <c r="G166">
        <v>1.1499999999999999</v>
      </c>
      <c r="H166">
        <v>1.1499999999999999</v>
      </c>
      <c r="I166">
        <v>1.7</v>
      </c>
      <c r="J166">
        <v>1.75</v>
      </c>
      <c r="K166">
        <v>1</v>
      </c>
    </row>
    <row r="167" spans="1:11" x14ac:dyDescent="0.2">
      <c r="A167">
        <v>1410</v>
      </c>
      <c r="B167">
        <v>1.3</v>
      </c>
      <c r="C167">
        <v>1.3</v>
      </c>
      <c r="D167">
        <v>1.3</v>
      </c>
      <c r="E167">
        <v>1.3</v>
      </c>
      <c r="F167">
        <v>1.3</v>
      </c>
      <c r="G167">
        <v>1.2</v>
      </c>
      <c r="H167">
        <v>1.2</v>
      </c>
      <c r="I167">
        <v>1.8</v>
      </c>
      <c r="J167">
        <v>1.8</v>
      </c>
      <c r="K167">
        <v>1</v>
      </c>
    </row>
    <row r="168" spans="1:11" x14ac:dyDescent="0.2">
      <c r="A168">
        <v>1500</v>
      </c>
      <c r="B168">
        <v>0.95</v>
      </c>
      <c r="C168">
        <v>0.95</v>
      </c>
      <c r="D168">
        <v>0.95</v>
      </c>
      <c r="E168">
        <v>0.95</v>
      </c>
      <c r="F168">
        <v>0.95</v>
      </c>
      <c r="G168">
        <v>0.9</v>
      </c>
      <c r="H168">
        <v>0.9</v>
      </c>
      <c r="I168">
        <v>0.9</v>
      </c>
      <c r="J168">
        <v>0.9</v>
      </c>
      <c r="K168">
        <v>1</v>
      </c>
    </row>
    <row r="169" spans="1:11" x14ac:dyDescent="0.2">
      <c r="A169">
        <v>1501</v>
      </c>
      <c r="B169">
        <v>1.0449999999999999</v>
      </c>
      <c r="C169">
        <v>1.0449999999999999</v>
      </c>
      <c r="D169">
        <v>1.0449999999999999</v>
      </c>
      <c r="E169">
        <v>1.0449999999999999</v>
      </c>
      <c r="F169">
        <v>1.0449999999999999</v>
      </c>
      <c r="G169">
        <v>0.99</v>
      </c>
      <c r="H169">
        <v>0.99</v>
      </c>
      <c r="I169">
        <v>0.99</v>
      </c>
      <c r="J169">
        <v>0.99</v>
      </c>
      <c r="K169">
        <v>1.0900000000000001</v>
      </c>
    </row>
    <row r="170" spans="1:11" x14ac:dyDescent="0.2">
      <c r="A170">
        <v>1502</v>
      </c>
      <c r="B170">
        <v>1.1399999999999999</v>
      </c>
      <c r="C170">
        <v>1.1399999999999999</v>
      </c>
      <c r="D170">
        <v>1.1399999999999999</v>
      </c>
      <c r="E170">
        <v>1.1399999999999999</v>
      </c>
      <c r="F170">
        <v>1.1399999999999999</v>
      </c>
      <c r="G170">
        <v>1.08</v>
      </c>
      <c r="H170">
        <v>1.08</v>
      </c>
      <c r="I170">
        <v>1.08</v>
      </c>
      <c r="J170">
        <v>1.08</v>
      </c>
      <c r="K170">
        <v>1.18</v>
      </c>
    </row>
    <row r="171" spans="1:11" x14ac:dyDescent="0.2">
      <c r="A171">
        <v>1503</v>
      </c>
      <c r="B171">
        <v>1.2350000000000001</v>
      </c>
      <c r="C171">
        <v>1.2350000000000001</v>
      </c>
      <c r="D171">
        <v>1.2350000000000001</v>
      </c>
      <c r="E171">
        <v>1.2350000000000001</v>
      </c>
      <c r="F171">
        <v>1.2350000000000001</v>
      </c>
      <c r="G171">
        <v>1.17</v>
      </c>
      <c r="H171">
        <v>1.17</v>
      </c>
      <c r="I171">
        <v>1.17</v>
      </c>
      <c r="J171">
        <v>1.17</v>
      </c>
      <c r="K171">
        <v>1.27</v>
      </c>
    </row>
    <row r="172" spans="1:11" x14ac:dyDescent="0.2">
      <c r="A172">
        <v>1504</v>
      </c>
      <c r="B172">
        <v>1.33</v>
      </c>
      <c r="C172">
        <v>1.33</v>
      </c>
      <c r="D172">
        <v>1.33</v>
      </c>
      <c r="E172">
        <v>1.33</v>
      </c>
      <c r="F172">
        <v>1.33</v>
      </c>
      <c r="G172">
        <v>1.26</v>
      </c>
      <c r="H172">
        <v>1.26</v>
      </c>
      <c r="I172">
        <v>1.26</v>
      </c>
      <c r="J172">
        <v>1.26</v>
      </c>
      <c r="K172">
        <v>1.36</v>
      </c>
    </row>
    <row r="173" spans="1:11" x14ac:dyDescent="0.2">
      <c r="A173">
        <v>1505</v>
      </c>
      <c r="B173">
        <v>1.425</v>
      </c>
      <c r="C173">
        <v>1.425</v>
      </c>
      <c r="D173">
        <v>1.425</v>
      </c>
      <c r="E173">
        <v>1.425</v>
      </c>
      <c r="F173">
        <v>1.425</v>
      </c>
      <c r="G173">
        <v>1.28</v>
      </c>
      <c r="H173">
        <v>1.28</v>
      </c>
      <c r="I173">
        <v>1.28</v>
      </c>
      <c r="J173">
        <v>1.28</v>
      </c>
      <c r="K173">
        <v>1.38</v>
      </c>
    </row>
    <row r="174" spans="1:11" x14ac:dyDescent="0.2">
      <c r="A174">
        <v>1506</v>
      </c>
      <c r="B174">
        <v>1.52</v>
      </c>
      <c r="C174">
        <v>1.52</v>
      </c>
      <c r="D174">
        <v>1.52</v>
      </c>
      <c r="E174">
        <v>1.52</v>
      </c>
      <c r="F174">
        <v>1.52</v>
      </c>
      <c r="G174">
        <v>1.3</v>
      </c>
      <c r="H174">
        <v>1.3</v>
      </c>
      <c r="I174">
        <v>1.3</v>
      </c>
      <c r="J174">
        <v>1.3</v>
      </c>
      <c r="K174">
        <v>1.4</v>
      </c>
    </row>
    <row r="175" spans="1:11" x14ac:dyDescent="0.2">
      <c r="A175">
        <v>1507</v>
      </c>
      <c r="B175">
        <v>1.615</v>
      </c>
      <c r="C175">
        <v>1.615</v>
      </c>
      <c r="D175">
        <v>1.615</v>
      </c>
      <c r="E175">
        <v>1.615</v>
      </c>
      <c r="F175">
        <v>1.615</v>
      </c>
      <c r="G175">
        <v>1.32</v>
      </c>
      <c r="H175">
        <v>1.32</v>
      </c>
      <c r="I175">
        <v>1.32</v>
      </c>
      <c r="J175">
        <v>1.32</v>
      </c>
      <c r="K175">
        <v>1.42</v>
      </c>
    </row>
    <row r="176" spans="1:11" x14ac:dyDescent="0.2">
      <c r="A176">
        <v>1508</v>
      </c>
      <c r="B176">
        <v>1.71</v>
      </c>
      <c r="C176">
        <v>1.71</v>
      </c>
      <c r="D176">
        <v>1.71</v>
      </c>
      <c r="E176">
        <v>1.71</v>
      </c>
      <c r="F176">
        <v>1.71</v>
      </c>
      <c r="G176">
        <v>1.34</v>
      </c>
      <c r="H176">
        <v>1.34</v>
      </c>
      <c r="I176">
        <v>1.34</v>
      </c>
      <c r="J176">
        <v>1.34</v>
      </c>
      <c r="K176">
        <v>1.44</v>
      </c>
    </row>
    <row r="177" spans="1:11" x14ac:dyDescent="0.2">
      <c r="A177">
        <v>1509</v>
      </c>
      <c r="B177">
        <v>1.8049999999999999</v>
      </c>
      <c r="C177">
        <v>1.8049999999999999</v>
      </c>
      <c r="D177">
        <v>1.8049999999999999</v>
      </c>
      <c r="E177">
        <v>1.8049999999999999</v>
      </c>
      <c r="F177">
        <v>1.8049999999999999</v>
      </c>
      <c r="G177">
        <v>1.36</v>
      </c>
      <c r="H177">
        <v>1.36</v>
      </c>
      <c r="I177">
        <v>1.36</v>
      </c>
      <c r="J177">
        <v>1.36</v>
      </c>
      <c r="K177">
        <v>1.46</v>
      </c>
    </row>
    <row r="178" spans="1:11" x14ac:dyDescent="0.2">
      <c r="A178">
        <v>1510</v>
      </c>
      <c r="B178">
        <v>1.9</v>
      </c>
      <c r="C178">
        <v>1.9</v>
      </c>
      <c r="D178">
        <v>1.9</v>
      </c>
      <c r="E178">
        <v>1.9</v>
      </c>
      <c r="F178">
        <v>1.9</v>
      </c>
      <c r="G178">
        <v>1.4</v>
      </c>
      <c r="H178">
        <v>1.4</v>
      </c>
      <c r="I178">
        <v>1.4</v>
      </c>
      <c r="J178">
        <v>1.4</v>
      </c>
      <c r="K178">
        <v>1.5</v>
      </c>
    </row>
    <row r="179" spans="1:11" x14ac:dyDescent="0.2">
      <c r="A179">
        <v>2000</v>
      </c>
      <c r="B179">
        <v>0.8</v>
      </c>
      <c r="C179">
        <v>0.8</v>
      </c>
      <c r="D179">
        <v>0.8</v>
      </c>
      <c r="E179">
        <v>0.8</v>
      </c>
      <c r="F179">
        <v>0.8</v>
      </c>
      <c r="G179">
        <v>1</v>
      </c>
      <c r="H179">
        <v>1</v>
      </c>
      <c r="I179">
        <v>1</v>
      </c>
      <c r="J179">
        <v>1</v>
      </c>
      <c r="K179">
        <v>1</v>
      </c>
    </row>
    <row r="180" spans="1:11" x14ac:dyDescent="0.2">
      <c r="A180">
        <v>2001</v>
      </c>
      <c r="B180">
        <v>0.9</v>
      </c>
      <c r="C180">
        <v>0.9</v>
      </c>
      <c r="D180">
        <v>0.9</v>
      </c>
      <c r="E180">
        <v>0.9</v>
      </c>
      <c r="F180">
        <v>0.9</v>
      </c>
      <c r="G180">
        <v>1.07</v>
      </c>
      <c r="H180">
        <v>1.07</v>
      </c>
      <c r="I180">
        <v>1.07</v>
      </c>
      <c r="J180">
        <v>1.07</v>
      </c>
      <c r="K180">
        <v>1.07</v>
      </c>
    </row>
    <row r="181" spans="1:11" x14ac:dyDescent="0.2">
      <c r="A181">
        <v>2002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1.1399999999999999</v>
      </c>
      <c r="H181">
        <v>1.1399999999999999</v>
      </c>
      <c r="I181">
        <v>1.1399999999999999</v>
      </c>
      <c r="J181">
        <v>1.1399999999999999</v>
      </c>
      <c r="K181">
        <v>1.1399999999999999</v>
      </c>
    </row>
    <row r="182" spans="1:11" x14ac:dyDescent="0.2">
      <c r="A182">
        <v>2003</v>
      </c>
      <c r="B182">
        <v>1.1000000000000001</v>
      </c>
      <c r="C182">
        <v>1.1000000000000001</v>
      </c>
      <c r="D182">
        <v>1.1000000000000001</v>
      </c>
      <c r="E182">
        <v>1.1000000000000001</v>
      </c>
      <c r="F182">
        <v>1.1000000000000001</v>
      </c>
      <c r="G182">
        <v>1.21</v>
      </c>
      <c r="H182">
        <v>1.21</v>
      </c>
      <c r="I182">
        <v>1.21</v>
      </c>
      <c r="J182">
        <v>1.21</v>
      </c>
      <c r="K182">
        <v>1.21</v>
      </c>
    </row>
    <row r="183" spans="1:11" x14ac:dyDescent="0.2">
      <c r="A183">
        <v>2004</v>
      </c>
      <c r="B183">
        <v>1.2</v>
      </c>
      <c r="C183">
        <v>1.2</v>
      </c>
      <c r="D183">
        <v>1.2</v>
      </c>
      <c r="E183">
        <v>1.2</v>
      </c>
      <c r="F183">
        <v>1.2</v>
      </c>
      <c r="G183">
        <v>1.29</v>
      </c>
      <c r="H183">
        <v>1.29</v>
      </c>
      <c r="I183">
        <v>1.29</v>
      </c>
      <c r="J183">
        <v>1.29</v>
      </c>
      <c r="K183">
        <v>1.29</v>
      </c>
    </row>
    <row r="184" spans="1:11" x14ac:dyDescent="0.2">
      <c r="A184">
        <v>2005</v>
      </c>
      <c r="B184">
        <v>1.3</v>
      </c>
      <c r="C184">
        <v>1.3</v>
      </c>
      <c r="D184">
        <v>1.3</v>
      </c>
      <c r="E184">
        <v>1.3</v>
      </c>
      <c r="F184">
        <v>1.3</v>
      </c>
      <c r="G184">
        <v>1.31</v>
      </c>
      <c r="H184">
        <v>1.31</v>
      </c>
      <c r="I184">
        <v>1.31</v>
      </c>
      <c r="J184">
        <v>1.31</v>
      </c>
      <c r="K184">
        <v>1.31</v>
      </c>
    </row>
    <row r="185" spans="1:11" x14ac:dyDescent="0.2">
      <c r="A185">
        <v>2006</v>
      </c>
      <c r="B185">
        <v>1.4</v>
      </c>
      <c r="C185">
        <v>1.4</v>
      </c>
      <c r="D185">
        <v>1.4</v>
      </c>
      <c r="E185">
        <v>1.4</v>
      </c>
      <c r="F185">
        <v>1.4</v>
      </c>
      <c r="G185">
        <v>1.33</v>
      </c>
      <c r="H185">
        <v>1.33</v>
      </c>
      <c r="I185">
        <v>1.33</v>
      </c>
      <c r="J185">
        <v>1.33</v>
      </c>
      <c r="K185">
        <v>1.33</v>
      </c>
    </row>
    <row r="186" spans="1:11" x14ac:dyDescent="0.2">
      <c r="A186">
        <v>2007</v>
      </c>
      <c r="B186">
        <v>1.5</v>
      </c>
      <c r="C186">
        <v>1.5</v>
      </c>
      <c r="D186">
        <v>1.5</v>
      </c>
      <c r="E186">
        <v>1.5</v>
      </c>
      <c r="F186">
        <v>1.5</v>
      </c>
      <c r="G186">
        <v>1.35</v>
      </c>
      <c r="H186">
        <v>1.35</v>
      </c>
      <c r="I186">
        <v>1.35</v>
      </c>
      <c r="J186">
        <v>1.35</v>
      </c>
      <c r="K186">
        <v>1.35</v>
      </c>
    </row>
    <row r="187" spans="1:11" x14ac:dyDescent="0.2">
      <c r="A187">
        <v>2008</v>
      </c>
      <c r="B187">
        <v>1.6</v>
      </c>
      <c r="C187">
        <v>1.6</v>
      </c>
      <c r="D187">
        <v>1.6</v>
      </c>
      <c r="E187">
        <v>1.6</v>
      </c>
      <c r="F187">
        <v>1.6</v>
      </c>
      <c r="G187">
        <v>1.37</v>
      </c>
      <c r="H187">
        <v>1.37</v>
      </c>
      <c r="I187">
        <v>1.37</v>
      </c>
      <c r="J187">
        <v>1.37</v>
      </c>
      <c r="K187">
        <v>1.37</v>
      </c>
    </row>
    <row r="188" spans="1:11" x14ac:dyDescent="0.2">
      <c r="A188">
        <v>2009</v>
      </c>
      <c r="B188">
        <v>1.7</v>
      </c>
      <c r="C188">
        <v>1.7</v>
      </c>
      <c r="D188">
        <v>1.7</v>
      </c>
      <c r="E188">
        <v>1.7</v>
      </c>
      <c r="F188">
        <v>1.7</v>
      </c>
      <c r="G188">
        <v>1.39</v>
      </c>
      <c r="H188">
        <v>1.39</v>
      </c>
      <c r="I188">
        <v>1.39</v>
      </c>
      <c r="J188">
        <v>1.39</v>
      </c>
      <c r="K188">
        <v>1.39</v>
      </c>
    </row>
    <row r="189" spans="1:11" x14ac:dyDescent="0.2">
      <c r="A189">
        <v>2010</v>
      </c>
      <c r="B189">
        <v>1.8</v>
      </c>
      <c r="C189">
        <v>1.8</v>
      </c>
      <c r="D189">
        <v>1.8</v>
      </c>
      <c r="E189">
        <v>1.8</v>
      </c>
      <c r="F189">
        <v>1.8</v>
      </c>
      <c r="G189">
        <v>1.4</v>
      </c>
      <c r="H189">
        <v>1.4</v>
      </c>
      <c r="I189">
        <v>1.4</v>
      </c>
      <c r="J189">
        <v>1.4</v>
      </c>
      <c r="K189">
        <v>1.4</v>
      </c>
    </row>
    <row r="190" spans="1:11" x14ac:dyDescent="0.2">
      <c r="A190">
        <v>2100</v>
      </c>
      <c r="B190">
        <v>1.1000000000000001</v>
      </c>
      <c r="C190">
        <v>1.1000000000000001</v>
      </c>
      <c r="D190">
        <v>1.1000000000000001</v>
      </c>
      <c r="E190">
        <v>1.1000000000000001</v>
      </c>
      <c r="F190">
        <v>1.1000000000000001</v>
      </c>
      <c r="G190">
        <v>1</v>
      </c>
      <c r="H190">
        <v>1</v>
      </c>
      <c r="I190">
        <v>1</v>
      </c>
      <c r="J190">
        <v>1</v>
      </c>
      <c r="K190">
        <v>1</v>
      </c>
    </row>
    <row r="191" spans="1:11" x14ac:dyDescent="0.2">
      <c r="A191">
        <v>2101</v>
      </c>
      <c r="B191">
        <v>1.28</v>
      </c>
      <c r="C191">
        <v>1.28</v>
      </c>
      <c r="D191">
        <v>1.28</v>
      </c>
      <c r="E191">
        <v>1.28</v>
      </c>
      <c r="F191">
        <v>1.28</v>
      </c>
      <c r="G191">
        <v>1.08</v>
      </c>
      <c r="H191">
        <v>1.08</v>
      </c>
      <c r="I191">
        <v>1.08</v>
      </c>
      <c r="J191">
        <v>1.08</v>
      </c>
      <c r="K191">
        <v>1.08</v>
      </c>
    </row>
    <row r="192" spans="1:11" x14ac:dyDescent="0.2">
      <c r="A192">
        <v>2102</v>
      </c>
      <c r="B192">
        <v>1.46</v>
      </c>
      <c r="C192">
        <v>1.46</v>
      </c>
      <c r="D192">
        <v>1.46</v>
      </c>
      <c r="E192">
        <v>1.46</v>
      </c>
      <c r="F192">
        <v>1.46</v>
      </c>
      <c r="G192">
        <v>1.1599999999999999</v>
      </c>
      <c r="H192">
        <v>1.1599999999999999</v>
      </c>
      <c r="I192">
        <v>1.1599999999999999</v>
      </c>
      <c r="J192">
        <v>1.1599999999999999</v>
      </c>
      <c r="K192">
        <v>1.1599999999999999</v>
      </c>
    </row>
    <row r="193" spans="1:11" x14ac:dyDescent="0.2">
      <c r="A193">
        <v>2103</v>
      </c>
      <c r="B193">
        <v>1.64</v>
      </c>
      <c r="C193">
        <v>1.64</v>
      </c>
      <c r="D193">
        <v>1.64</v>
      </c>
      <c r="E193">
        <v>1.64</v>
      </c>
      <c r="F193">
        <v>1.64</v>
      </c>
      <c r="G193">
        <v>1.24</v>
      </c>
      <c r="H193">
        <v>1.24</v>
      </c>
      <c r="I193">
        <v>1.24</v>
      </c>
      <c r="J193">
        <v>1.24</v>
      </c>
      <c r="K193">
        <v>1.24</v>
      </c>
    </row>
    <row r="194" spans="1:11" x14ac:dyDescent="0.2">
      <c r="A194">
        <v>2104</v>
      </c>
      <c r="B194">
        <v>1.82</v>
      </c>
      <c r="C194">
        <v>1.82</v>
      </c>
      <c r="D194">
        <v>1.82</v>
      </c>
      <c r="E194">
        <v>1.82</v>
      </c>
      <c r="F194">
        <v>1.82</v>
      </c>
      <c r="G194">
        <v>1.32</v>
      </c>
      <c r="H194">
        <v>1.32</v>
      </c>
      <c r="I194">
        <v>1.32</v>
      </c>
      <c r="J194">
        <v>1.32</v>
      </c>
      <c r="K194">
        <v>1.32</v>
      </c>
    </row>
    <row r="195" spans="1:11" x14ac:dyDescent="0.2">
      <c r="A195">
        <v>2105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1.4</v>
      </c>
      <c r="H195">
        <v>1.4</v>
      </c>
      <c r="I195">
        <v>1.4</v>
      </c>
      <c r="J195">
        <v>1.4</v>
      </c>
      <c r="K195">
        <v>1.4</v>
      </c>
    </row>
    <row r="196" spans="1:11" x14ac:dyDescent="0.2">
      <c r="A196">
        <v>2200</v>
      </c>
      <c r="B196">
        <v>1.1499999999999999</v>
      </c>
      <c r="C196">
        <v>1.1499999999999999</v>
      </c>
      <c r="D196">
        <v>1.1499999999999999</v>
      </c>
      <c r="E196">
        <v>1.1499999999999999</v>
      </c>
      <c r="F196">
        <v>1.1499999999999999</v>
      </c>
      <c r="G196">
        <v>1</v>
      </c>
      <c r="H196">
        <v>1</v>
      </c>
      <c r="I196">
        <v>1</v>
      </c>
      <c r="J196">
        <v>1</v>
      </c>
      <c r="K196">
        <v>1</v>
      </c>
    </row>
    <row r="197" spans="1:11" x14ac:dyDescent="0.2">
      <c r="A197">
        <v>2201</v>
      </c>
      <c r="B197">
        <v>1.28</v>
      </c>
      <c r="C197">
        <v>1.28</v>
      </c>
      <c r="D197">
        <v>1.28</v>
      </c>
      <c r="E197">
        <v>1.28</v>
      </c>
      <c r="F197">
        <v>1.28</v>
      </c>
      <c r="G197">
        <v>1.08</v>
      </c>
      <c r="H197">
        <v>1.08</v>
      </c>
      <c r="I197">
        <v>1.08</v>
      </c>
      <c r="J197">
        <v>1.08</v>
      </c>
      <c r="K197">
        <v>1.08</v>
      </c>
    </row>
    <row r="198" spans="1:11" x14ac:dyDescent="0.2">
      <c r="A198">
        <v>2202</v>
      </c>
      <c r="B198">
        <v>1.37</v>
      </c>
      <c r="C198">
        <v>1.37</v>
      </c>
      <c r="D198">
        <v>1.37</v>
      </c>
      <c r="E198">
        <v>1.37</v>
      </c>
      <c r="F198">
        <v>1.37</v>
      </c>
      <c r="G198">
        <v>1.1599999999999999</v>
      </c>
      <c r="H198">
        <v>1.1599999999999999</v>
      </c>
      <c r="I198">
        <v>1.1599999999999999</v>
      </c>
      <c r="J198">
        <v>1.1599999999999999</v>
      </c>
      <c r="K198">
        <v>1.1599999999999999</v>
      </c>
    </row>
    <row r="199" spans="1:11" x14ac:dyDescent="0.2">
      <c r="A199">
        <v>2203</v>
      </c>
      <c r="B199">
        <v>1.6</v>
      </c>
      <c r="C199">
        <v>1.6</v>
      </c>
      <c r="D199">
        <v>1.6</v>
      </c>
      <c r="E199">
        <v>1.6</v>
      </c>
      <c r="F199">
        <v>1.6</v>
      </c>
      <c r="G199">
        <v>1.24</v>
      </c>
      <c r="H199">
        <v>1.24</v>
      </c>
      <c r="I199">
        <v>1.24</v>
      </c>
      <c r="J199">
        <v>1.24</v>
      </c>
      <c r="K199">
        <v>1.24</v>
      </c>
    </row>
    <row r="200" spans="1:11" x14ac:dyDescent="0.2">
      <c r="A200">
        <v>2204</v>
      </c>
      <c r="B200">
        <v>1.8</v>
      </c>
      <c r="C200">
        <v>1.8</v>
      </c>
      <c r="D200">
        <v>1.8</v>
      </c>
      <c r="E200">
        <v>1.8</v>
      </c>
      <c r="F200">
        <v>1.8</v>
      </c>
      <c r="G200">
        <v>1.32</v>
      </c>
      <c r="H200">
        <v>1.32</v>
      </c>
      <c r="I200">
        <v>1.32</v>
      </c>
      <c r="J200">
        <v>1.32</v>
      </c>
      <c r="K200">
        <v>1.32</v>
      </c>
    </row>
    <row r="201" spans="1:11" x14ac:dyDescent="0.2">
      <c r="A201">
        <v>2205</v>
      </c>
      <c r="B201">
        <v>2</v>
      </c>
      <c r="C201">
        <v>2</v>
      </c>
      <c r="D201">
        <v>2</v>
      </c>
      <c r="E201">
        <v>2</v>
      </c>
      <c r="F201">
        <v>2</v>
      </c>
      <c r="G201">
        <v>1.4</v>
      </c>
      <c r="H201">
        <v>1.4</v>
      </c>
      <c r="I201">
        <v>1.4</v>
      </c>
      <c r="J201">
        <v>1.4</v>
      </c>
      <c r="K201">
        <v>1.4</v>
      </c>
    </row>
    <row r="202" spans="1:11" x14ac:dyDescent="0.2">
      <c r="A202">
        <v>2300</v>
      </c>
      <c r="B202">
        <v>1.1000000000000001</v>
      </c>
      <c r="C202">
        <v>1.1000000000000001</v>
      </c>
      <c r="D202">
        <v>1.1000000000000001</v>
      </c>
      <c r="E202">
        <v>1.1000000000000001</v>
      </c>
      <c r="F202">
        <v>1.1000000000000001</v>
      </c>
      <c r="G202">
        <v>1</v>
      </c>
      <c r="H202">
        <v>1</v>
      </c>
      <c r="I202">
        <v>1</v>
      </c>
      <c r="J202">
        <v>1</v>
      </c>
      <c r="K202">
        <v>1</v>
      </c>
    </row>
    <row r="203" spans="1:11" x14ac:dyDescent="0.2">
      <c r="A203">
        <v>2301</v>
      </c>
      <c r="B203">
        <v>1.28</v>
      </c>
      <c r="C203">
        <v>1.28</v>
      </c>
      <c r="D203">
        <v>1.28</v>
      </c>
      <c r="E203">
        <v>1.28</v>
      </c>
      <c r="F203">
        <v>1.28</v>
      </c>
      <c r="G203">
        <v>1.08</v>
      </c>
      <c r="H203">
        <v>1.08</v>
      </c>
      <c r="I203">
        <v>1.08</v>
      </c>
      <c r="J203">
        <v>1.08</v>
      </c>
      <c r="K203">
        <v>1.08</v>
      </c>
    </row>
    <row r="204" spans="1:11" x14ac:dyDescent="0.2">
      <c r="A204">
        <v>2302</v>
      </c>
      <c r="B204">
        <v>1.46</v>
      </c>
      <c r="C204">
        <v>1.46</v>
      </c>
      <c r="D204">
        <v>1.46</v>
      </c>
      <c r="E204">
        <v>1.46</v>
      </c>
      <c r="F204">
        <v>1.46</v>
      </c>
      <c r="G204">
        <v>1.1599999999999999</v>
      </c>
      <c r="H204">
        <v>1.1599999999999999</v>
      </c>
      <c r="I204">
        <v>1.1599999999999999</v>
      </c>
      <c r="J204">
        <v>1.1599999999999999</v>
      </c>
      <c r="K204">
        <v>1.1599999999999999</v>
      </c>
    </row>
    <row r="205" spans="1:11" x14ac:dyDescent="0.2">
      <c r="A205">
        <v>2303</v>
      </c>
      <c r="B205">
        <v>1.64</v>
      </c>
      <c r="C205">
        <v>1.64</v>
      </c>
      <c r="D205">
        <v>1.64</v>
      </c>
      <c r="E205">
        <v>1.64</v>
      </c>
      <c r="F205">
        <v>1.64</v>
      </c>
      <c r="G205">
        <v>1.24</v>
      </c>
      <c r="H205">
        <v>1.24</v>
      </c>
      <c r="I205">
        <v>1.24</v>
      </c>
      <c r="J205">
        <v>1.24</v>
      </c>
      <c r="K205">
        <v>1.24</v>
      </c>
    </row>
    <row r="206" spans="1:11" x14ac:dyDescent="0.2">
      <c r="A206">
        <v>2304</v>
      </c>
      <c r="B206">
        <v>1.82</v>
      </c>
      <c r="C206">
        <v>1.82</v>
      </c>
      <c r="D206">
        <v>1.82</v>
      </c>
      <c r="E206">
        <v>1.82</v>
      </c>
      <c r="F206">
        <v>1.82</v>
      </c>
      <c r="G206">
        <v>1.32</v>
      </c>
      <c r="H206">
        <v>1.32</v>
      </c>
      <c r="I206">
        <v>1.32</v>
      </c>
      <c r="J206">
        <v>1.32</v>
      </c>
      <c r="K206">
        <v>1.32</v>
      </c>
    </row>
    <row r="207" spans="1:11" x14ac:dyDescent="0.2">
      <c r="A207">
        <v>2305</v>
      </c>
      <c r="B207">
        <v>2</v>
      </c>
      <c r="C207">
        <v>2</v>
      </c>
      <c r="D207">
        <v>2</v>
      </c>
      <c r="E207">
        <v>2</v>
      </c>
      <c r="F207">
        <v>2</v>
      </c>
      <c r="G207">
        <v>1.4</v>
      </c>
      <c r="H207">
        <v>1.4</v>
      </c>
      <c r="I207">
        <v>1.4</v>
      </c>
      <c r="J207">
        <v>1.4</v>
      </c>
      <c r="K207">
        <v>1.4</v>
      </c>
    </row>
    <row r="208" spans="1:11" x14ac:dyDescent="0.2">
      <c r="A208">
        <v>2400</v>
      </c>
      <c r="B208">
        <v>1.1499999999999999</v>
      </c>
      <c r="C208">
        <v>1.1499999999999999</v>
      </c>
      <c r="D208">
        <v>1.1499999999999999</v>
      </c>
      <c r="E208">
        <v>1.1499999999999999</v>
      </c>
      <c r="F208">
        <v>1.1499999999999999</v>
      </c>
      <c r="G208">
        <v>1</v>
      </c>
      <c r="H208">
        <v>1</v>
      </c>
      <c r="I208">
        <v>1</v>
      </c>
      <c r="J208">
        <v>1</v>
      </c>
      <c r="K208">
        <v>1</v>
      </c>
    </row>
    <row r="209" spans="1:11" x14ac:dyDescent="0.2">
      <c r="A209">
        <v>2401</v>
      </c>
      <c r="B209">
        <v>1.28</v>
      </c>
      <c r="C209">
        <v>1.28</v>
      </c>
      <c r="D209">
        <v>1.28</v>
      </c>
      <c r="E209">
        <v>1.28</v>
      </c>
      <c r="F209">
        <v>1.28</v>
      </c>
      <c r="G209">
        <v>1.08</v>
      </c>
      <c r="H209">
        <v>1.08</v>
      </c>
      <c r="I209">
        <v>1.08</v>
      </c>
      <c r="J209">
        <v>1.08</v>
      </c>
      <c r="K209">
        <v>1.08</v>
      </c>
    </row>
    <row r="210" spans="1:11" x14ac:dyDescent="0.2">
      <c r="A210">
        <v>2402</v>
      </c>
      <c r="B210">
        <v>1.37</v>
      </c>
      <c r="C210">
        <v>1.37</v>
      </c>
      <c r="D210">
        <v>1.37</v>
      </c>
      <c r="E210">
        <v>1.37</v>
      </c>
      <c r="F210">
        <v>1.37</v>
      </c>
      <c r="G210">
        <v>1.1599999999999999</v>
      </c>
      <c r="H210">
        <v>1.1599999999999999</v>
      </c>
      <c r="I210">
        <v>1.1599999999999999</v>
      </c>
      <c r="J210">
        <v>1.1599999999999999</v>
      </c>
      <c r="K210">
        <v>1.1599999999999999</v>
      </c>
    </row>
    <row r="211" spans="1:11" x14ac:dyDescent="0.2">
      <c r="A211">
        <v>2403</v>
      </c>
      <c r="B211">
        <v>1.6</v>
      </c>
      <c r="C211">
        <v>1.6</v>
      </c>
      <c r="D211">
        <v>1.6</v>
      </c>
      <c r="E211">
        <v>1.6</v>
      </c>
      <c r="F211">
        <v>1.6</v>
      </c>
      <c r="G211">
        <v>1.24</v>
      </c>
      <c r="H211">
        <v>1.24</v>
      </c>
      <c r="I211">
        <v>1.24</v>
      </c>
      <c r="J211">
        <v>1.24</v>
      </c>
      <c r="K211">
        <v>1.24</v>
      </c>
    </row>
    <row r="212" spans="1:11" x14ac:dyDescent="0.2">
      <c r="A212">
        <v>2404</v>
      </c>
      <c r="B212">
        <v>1.8</v>
      </c>
      <c r="C212">
        <v>1.8</v>
      </c>
      <c r="D212">
        <v>1.8</v>
      </c>
      <c r="E212">
        <v>1.8</v>
      </c>
      <c r="F212">
        <v>1.8</v>
      </c>
      <c r="G212">
        <v>1.32</v>
      </c>
      <c r="H212">
        <v>1.32</v>
      </c>
      <c r="I212">
        <v>1.32</v>
      </c>
      <c r="J212">
        <v>1.32</v>
      </c>
      <c r="K212">
        <v>1.32</v>
      </c>
    </row>
    <row r="213" spans="1:11" x14ac:dyDescent="0.2">
      <c r="A213">
        <v>2405</v>
      </c>
      <c r="B213">
        <v>2</v>
      </c>
      <c r="C213">
        <v>2</v>
      </c>
      <c r="D213">
        <v>2</v>
      </c>
      <c r="E213">
        <v>2</v>
      </c>
      <c r="F213">
        <v>2</v>
      </c>
      <c r="G213">
        <v>1.4</v>
      </c>
      <c r="H213">
        <v>1.4</v>
      </c>
      <c r="I213">
        <v>1.4</v>
      </c>
      <c r="J213">
        <v>1.4</v>
      </c>
      <c r="K213">
        <v>1.4</v>
      </c>
    </row>
    <row r="214" spans="1:11" x14ac:dyDescent="0.2">
      <c r="A214">
        <v>2500</v>
      </c>
      <c r="B214">
        <v>1.1000000000000001</v>
      </c>
      <c r="C214">
        <v>1.1000000000000001</v>
      </c>
      <c r="D214">
        <v>1.1000000000000001</v>
      </c>
      <c r="E214">
        <v>1.1000000000000001</v>
      </c>
      <c r="F214">
        <v>1.1000000000000001</v>
      </c>
      <c r="G214">
        <v>1</v>
      </c>
      <c r="H214">
        <v>1</v>
      </c>
      <c r="I214">
        <v>1</v>
      </c>
      <c r="J214">
        <v>1</v>
      </c>
      <c r="K214">
        <v>1</v>
      </c>
    </row>
    <row r="215" spans="1:11" x14ac:dyDescent="0.2">
      <c r="A215">
        <v>2501</v>
      </c>
      <c r="B215">
        <v>1.28</v>
      </c>
      <c r="C215">
        <v>1.28</v>
      </c>
      <c r="D215">
        <v>1.28</v>
      </c>
      <c r="E215">
        <v>1.28</v>
      </c>
      <c r="F215">
        <v>1.28</v>
      </c>
      <c r="G215">
        <v>1.08</v>
      </c>
      <c r="H215">
        <v>1.08</v>
      </c>
      <c r="I215">
        <v>1.08</v>
      </c>
      <c r="J215">
        <v>1.08</v>
      </c>
      <c r="K215">
        <v>1.08</v>
      </c>
    </row>
    <row r="216" spans="1:11" x14ac:dyDescent="0.2">
      <c r="A216">
        <v>2502</v>
      </c>
      <c r="B216">
        <v>1.46</v>
      </c>
      <c r="C216">
        <v>1.46</v>
      </c>
      <c r="D216">
        <v>1.46</v>
      </c>
      <c r="E216">
        <v>1.46</v>
      </c>
      <c r="F216">
        <v>1.46</v>
      </c>
      <c r="G216">
        <v>1.1599999999999999</v>
      </c>
      <c r="H216">
        <v>1.1599999999999999</v>
      </c>
      <c r="I216">
        <v>1.1599999999999999</v>
      </c>
      <c r="J216">
        <v>1.1599999999999999</v>
      </c>
      <c r="K216">
        <v>1.1599999999999999</v>
      </c>
    </row>
    <row r="217" spans="1:11" x14ac:dyDescent="0.2">
      <c r="A217">
        <v>2503</v>
      </c>
      <c r="B217">
        <v>1.64</v>
      </c>
      <c r="C217">
        <v>1.64</v>
      </c>
      <c r="D217">
        <v>1.64</v>
      </c>
      <c r="E217">
        <v>1.64</v>
      </c>
      <c r="F217">
        <v>1.64</v>
      </c>
      <c r="G217">
        <v>1.24</v>
      </c>
      <c r="H217">
        <v>1.24</v>
      </c>
      <c r="I217">
        <v>1.24</v>
      </c>
      <c r="J217">
        <v>1.24</v>
      </c>
      <c r="K217">
        <v>1.24</v>
      </c>
    </row>
    <row r="218" spans="1:11" x14ac:dyDescent="0.2">
      <c r="A218">
        <v>2504</v>
      </c>
      <c r="B218">
        <v>1.82</v>
      </c>
      <c r="C218">
        <v>1.82</v>
      </c>
      <c r="D218">
        <v>1.82</v>
      </c>
      <c r="E218">
        <v>1.82</v>
      </c>
      <c r="F218">
        <v>1.82</v>
      </c>
      <c r="G218">
        <v>1.32</v>
      </c>
      <c r="H218">
        <v>1.32</v>
      </c>
      <c r="I218">
        <v>1.32</v>
      </c>
      <c r="J218">
        <v>1.32</v>
      </c>
      <c r="K218">
        <v>1.32</v>
      </c>
    </row>
    <row r="219" spans="1:11" x14ac:dyDescent="0.2">
      <c r="A219">
        <v>2505</v>
      </c>
      <c r="B219">
        <v>2</v>
      </c>
      <c r="C219">
        <v>2</v>
      </c>
      <c r="D219">
        <v>2</v>
      </c>
      <c r="E219">
        <v>2</v>
      </c>
      <c r="F219">
        <v>2</v>
      </c>
      <c r="G219">
        <v>1.4</v>
      </c>
      <c r="H219">
        <v>1.4</v>
      </c>
      <c r="I219">
        <v>1.4</v>
      </c>
      <c r="J219">
        <v>1.4</v>
      </c>
      <c r="K219">
        <v>1.4</v>
      </c>
    </row>
    <row r="220" spans="1:11" x14ac:dyDescent="0.2">
      <c r="A220">
        <v>2600</v>
      </c>
      <c r="B220">
        <v>1.1499999999999999</v>
      </c>
      <c r="C220">
        <v>1.1499999999999999</v>
      </c>
      <c r="D220">
        <v>1.1499999999999999</v>
      </c>
      <c r="E220">
        <v>1.1499999999999999</v>
      </c>
      <c r="F220">
        <v>1.1499999999999999</v>
      </c>
      <c r="G220">
        <v>1</v>
      </c>
      <c r="H220">
        <v>1</v>
      </c>
      <c r="I220">
        <v>1</v>
      </c>
      <c r="J220">
        <v>1</v>
      </c>
      <c r="K220">
        <v>1</v>
      </c>
    </row>
    <row r="221" spans="1:11" x14ac:dyDescent="0.2">
      <c r="A221">
        <v>2601</v>
      </c>
      <c r="B221">
        <v>1.28</v>
      </c>
      <c r="C221">
        <v>1.28</v>
      </c>
      <c r="D221">
        <v>1.28</v>
      </c>
      <c r="E221">
        <v>1.28</v>
      </c>
      <c r="F221">
        <v>1.28</v>
      </c>
      <c r="G221">
        <v>1.08</v>
      </c>
      <c r="H221">
        <v>1.08</v>
      </c>
      <c r="I221">
        <v>1.08</v>
      </c>
      <c r="J221">
        <v>1.08</v>
      </c>
      <c r="K221">
        <v>1.08</v>
      </c>
    </row>
    <row r="222" spans="1:11" x14ac:dyDescent="0.2">
      <c r="A222">
        <v>2602</v>
      </c>
      <c r="B222">
        <v>1.37</v>
      </c>
      <c r="C222">
        <v>1.37</v>
      </c>
      <c r="D222">
        <v>1.37</v>
      </c>
      <c r="E222">
        <v>1.37</v>
      </c>
      <c r="F222">
        <v>1.37</v>
      </c>
      <c r="G222">
        <v>1.1599999999999999</v>
      </c>
      <c r="H222">
        <v>1.1599999999999999</v>
      </c>
      <c r="I222">
        <v>1.1599999999999999</v>
      </c>
      <c r="J222">
        <v>1.1599999999999999</v>
      </c>
      <c r="K222">
        <v>1.1599999999999999</v>
      </c>
    </row>
    <row r="223" spans="1:11" x14ac:dyDescent="0.2">
      <c r="A223">
        <v>2603</v>
      </c>
      <c r="B223">
        <v>1.6</v>
      </c>
      <c r="C223">
        <v>1.6</v>
      </c>
      <c r="D223">
        <v>1.6</v>
      </c>
      <c r="E223">
        <v>1.6</v>
      </c>
      <c r="F223">
        <v>1.6</v>
      </c>
      <c r="G223">
        <v>1.24</v>
      </c>
      <c r="H223">
        <v>1.24</v>
      </c>
      <c r="I223">
        <v>1.24</v>
      </c>
      <c r="J223">
        <v>1.24</v>
      </c>
      <c r="K223">
        <v>1.24</v>
      </c>
    </row>
    <row r="224" spans="1:11" x14ac:dyDescent="0.2">
      <c r="A224">
        <v>2604</v>
      </c>
      <c r="B224">
        <v>1.8</v>
      </c>
      <c r="C224">
        <v>1.8</v>
      </c>
      <c r="D224">
        <v>1.8</v>
      </c>
      <c r="E224">
        <v>1.8</v>
      </c>
      <c r="F224">
        <v>1.8</v>
      </c>
      <c r="G224">
        <v>1.32</v>
      </c>
      <c r="H224">
        <v>1.32</v>
      </c>
      <c r="I224">
        <v>1.32</v>
      </c>
      <c r="J224">
        <v>1.32</v>
      </c>
      <c r="K224">
        <v>1.32</v>
      </c>
    </row>
    <row r="225" spans="1:11" x14ac:dyDescent="0.2">
      <c r="A225">
        <v>2605</v>
      </c>
      <c r="B225">
        <v>2</v>
      </c>
      <c r="C225">
        <v>2</v>
      </c>
      <c r="D225">
        <v>2</v>
      </c>
      <c r="E225">
        <v>2</v>
      </c>
      <c r="F225">
        <v>2</v>
      </c>
      <c r="G225">
        <v>1.4</v>
      </c>
      <c r="H225">
        <v>1.4</v>
      </c>
      <c r="I225">
        <v>1.4</v>
      </c>
      <c r="J225">
        <v>1.4</v>
      </c>
      <c r="K225">
        <v>1.4</v>
      </c>
    </row>
    <row r="226" spans="1:11" x14ac:dyDescent="0.2">
      <c r="A226">
        <v>2700</v>
      </c>
      <c r="B226">
        <v>1.1000000000000001</v>
      </c>
      <c r="C226">
        <v>1.1000000000000001</v>
      </c>
      <c r="D226">
        <v>1.1000000000000001</v>
      </c>
      <c r="E226">
        <v>1.1000000000000001</v>
      </c>
      <c r="F226">
        <v>1.1000000000000001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 x14ac:dyDescent="0.2">
      <c r="A227">
        <v>2701</v>
      </c>
      <c r="B227">
        <v>1.17</v>
      </c>
      <c r="C227">
        <v>1.17</v>
      </c>
      <c r="D227">
        <v>1.17</v>
      </c>
      <c r="E227">
        <v>1.17</v>
      </c>
      <c r="F227">
        <v>1.17</v>
      </c>
      <c r="G227">
        <v>1.07</v>
      </c>
      <c r="H227">
        <v>1.07</v>
      </c>
      <c r="I227">
        <v>1.07</v>
      </c>
      <c r="J227">
        <v>1.07</v>
      </c>
      <c r="K227">
        <v>1.07</v>
      </c>
    </row>
    <row r="228" spans="1:11" x14ac:dyDescent="0.2">
      <c r="A228">
        <v>2702</v>
      </c>
      <c r="B228">
        <v>1.24</v>
      </c>
      <c r="C228">
        <v>1.24</v>
      </c>
      <c r="D228">
        <v>1.24</v>
      </c>
      <c r="E228">
        <v>1.24</v>
      </c>
      <c r="F228">
        <v>1.24</v>
      </c>
      <c r="G228">
        <v>1.1399999999999999</v>
      </c>
      <c r="H228">
        <v>1.1399999999999999</v>
      </c>
      <c r="I228">
        <v>1.1399999999999999</v>
      </c>
      <c r="J228">
        <v>1.1399999999999999</v>
      </c>
      <c r="K228">
        <v>1.1399999999999999</v>
      </c>
    </row>
    <row r="229" spans="1:11" x14ac:dyDescent="0.2">
      <c r="A229">
        <v>2703</v>
      </c>
      <c r="B229">
        <v>1.31</v>
      </c>
      <c r="C229">
        <v>1.31</v>
      </c>
      <c r="D229">
        <v>1.31</v>
      </c>
      <c r="E229">
        <v>1.31</v>
      </c>
      <c r="F229">
        <v>1.31</v>
      </c>
      <c r="G229">
        <v>1.21</v>
      </c>
      <c r="H229">
        <v>1.21</v>
      </c>
      <c r="I229">
        <v>1.21</v>
      </c>
      <c r="J229">
        <v>1.21</v>
      </c>
      <c r="K229">
        <v>1.21</v>
      </c>
    </row>
    <row r="230" spans="1:11" x14ac:dyDescent="0.2">
      <c r="A230">
        <v>2704</v>
      </c>
      <c r="B230">
        <v>1.38</v>
      </c>
      <c r="C230">
        <v>1.38</v>
      </c>
      <c r="D230">
        <v>1.38</v>
      </c>
      <c r="E230">
        <v>1.38</v>
      </c>
      <c r="F230">
        <v>1.38</v>
      </c>
      <c r="G230">
        <v>1.29</v>
      </c>
      <c r="H230">
        <v>1.29</v>
      </c>
      <c r="I230">
        <v>1.29</v>
      </c>
      <c r="J230">
        <v>1.29</v>
      </c>
      <c r="K230">
        <v>1.29</v>
      </c>
    </row>
    <row r="231" spans="1:11" x14ac:dyDescent="0.2">
      <c r="A231">
        <v>2705</v>
      </c>
      <c r="B231">
        <v>1.45</v>
      </c>
      <c r="C231">
        <v>1.45</v>
      </c>
      <c r="D231">
        <v>1.45</v>
      </c>
      <c r="E231">
        <v>1.45</v>
      </c>
      <c r="F231">
        <v>1.45</v>
      </c>
      <c r="G231">
        <v>1.31</v>
      </c>
      <c r="H231">
        <v>1.31</v>
      </c>
      <c r="I231">
        <v>1.31</v>
      </c>
      <c r="J231">
        <v>1.31</v>
      </c>
      <c r="K231">
        <v>1.31</v>
      </c>
    </row>
    <row r="232" spans="1:11" x14ac:dyDescent="0.2">
      <c r="A232">
        <v>2706</v>
      </c>
      <c r="B232">
        <v>1.52</v>
      </c>
      <c r="C232">
        <v>1.52</v>
      </c>
      <c r="D232">
        <v>1.52</v>
      </c>
      <c r="E232">
        <v>1.52</v>
      </c>
      <c r="F232">
        <v>1.52</v>
      </c>
      <c r="G232">
        <v>1.33</v>
      </c>
      <c r="H232">
        <v>1.33</v>
      </c>
      <c r="I232">
        <v>1.33</v>
      </c>
      <c r="J232">
        <v>1.33</v>
      </c>
      <c r="K232">
        <v>1.33</v>
      </c>
    </row>
    <row r="233" spans="1:11" x14ac:dyDescent="0.2">
      <c r="A233">
        <v>2707</v>
      </c>
      <c r="B233">
        <v>1.59</v>
      </c>
      <c r="C233">
        <v>1.59</v>
      </c>
      <c r="D233">
        <v>1.59</v>
      </c>
      <c r="E233">
        <v>1.59</v>
      </c>
      <c r="F233">
        <v>1.59</v>
      </c>
      <c r="G233">
        <v>1.35</v>
      </c>
      <c r="H233">
        <v>1.35</v>
      </c>
      <c r="I233">
        <v>1.35</v>
      </c>
      <c r="J233">
        <v>1.35</v>
      </c>
      <c r="K233">
        <v>1.35</v>
      </c>
    </row>
    <row r="234" spans="1:11" x14ac:dyDescent="0.2">
      <c r="A234">
        <v>2708</v>
      </c>
      <c r="B234">
        <v>1.66</v>
      </c>
      <c r="C234">
        <v>1.66</v>
      </c>
      <c r="D234">
        <v>1.66</v>
      </c>
      <c r="E234">
        <v>1.66</v>
      </c>
      <c r="F234">
        <v>1.66</v>
      </c>
      <c r="G234">
        <v>1.37</v>
      </c>
      <c r="H234">
        <v>1.37</v>
      </c>
      <c r="I234">
        <v>1.37</v>
      </c>
      <c r="J234">
        <v>1.37</v>
      </c>
      <c r="K234">
        <v>1.37</v>
      </c>
    </row>
    <row r="235" spans="1:11" x14ac:dyDescent="0.2">
      <c r="A235">
        <v>2709</v>
      </c>
      <c r="B235">
        <v>1.73</v>
      </c>
      <c r="C235">
        <v>1.73</v>
      </c>
      <c r="D235">
        <v>1.73</v>
      </c>
      <c r="E235">
        <v>1.73</v>
      </c>
      <c r="F235">
        <v>1.73</v>
      </c>
      <c r="G235">
        <v>1.39</v>
      </c>
      <c r="H235">
        <v>1.39</v>
      </c>
      <c r="I235">
        <v>1.39</v>
      </c>
      <c r="J235">
        <v>1.39</v>
      </c>
      <c r="K235">
        <v>1.39</v>
      </c>
    </row>
    <row r="236" spans="1:11" x14ac:dyDescent="0.2">
      <c r="A236">
        <v>2710</v>
      </c>
      <c r="B236">
        <v>1.8</v>
      </c>
      <c r="C236">
        <v>1.8</v>
      </c>
      <c r="D236">
        <v>1.8</v>
      </c>
      <c r="E236">
        <v>1.8</v>
      </c>
      <c r="F236">
        <v>1.8</v>
      </c>
      <c r="G236">
        <v>1.4</v>
      </c>
      <c r="H236">
        <v>1.4</v>
      </c>
      <c r="I236">
        <v>1.4</v>
      </c>
      <c r="J236">
        <v>1.4</v>
      </c>
      <c r="K236">
        <v>1.4</v>
      </c>
    </row>
    <row r="237" spans="1:11" x14ac:dyDescent="0.2">
      <c r="A237">
        <v>2800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</row>
    <row r="238" spans="1:11" x14ac:dyDescent="0.2">
      <c r="A238">
        <v>2801</v>
      </c>
      <c r="B238">
        <v>1.08</v>
      </c>
      <c r="C238">
        <v>1.08</v>
      </c>
      <c r="D238">
        <v>1.08</v>
      </c>
      <c r="E238">
        <v>1.08</v>
      </c>
      <c r="F238">
        <v>1.08</v>
      </c>
      <c r="G238">
        <v>1.07</v>
      </c>
      <c r="H238">
        <v>1.07</v>
      </c>
      <c r="I238">
        <v>1.07</v>
      </c>
      <c r="J238">
        <v>1.07</v>
      </c>
      <c r="K238">
        <v>1.07</v>
      </c>
    </row>
    <row r="239" spans="1:11" x14ac:dyDescent="0.2">
      <c r="A239">
        <v>2802</v>
      </c>
      <c r="B239">
        <v>1.1599999999999999</v>
      </c>
      <c r="C239">
        <v>1.1599999999999999</v>
      </c>
      <c r="D239">
        <v>1.1599999999999999</v>
      </c>
      <c r="E239">
        <v>1.1599999999999999</v>
      </c>
      <c r="F239">
        <v>1.1599999999999999</v>
      </c>
      <c r="G239">
        <v>1.1399999999999999</v>
      </c>
      <c r="H239">
        <v>1.1399999999999999</v>
      </c>
      <c r="I239">
        <v>1.1399999999999999</v>
      </c>
      <c r="J239">
        <v>1.1399999999999999</v>
      </c>
      <c r="K239">
        <v>1.1399999999999999</v>
      </c>
    </row>
    <row r="240" spans="1:11" x14ac:dyDescent="0.2">
      <c r="A240">
        <v>2803</v>
      </c>
      <c r="B240">
        <v>1.24</v>
      </c>
      <c r="C240">
        <v>1.24</v>
      </c>
      <c r="D240">
        <v>1.24</v>
      </c>
      <c r="E240">
        <v>1.24</v>
      </c>
      <c r="F240">
        <v>1.24</v>
      </c>
      <c r="G240">
        <v>1.21</v>
      </c>
      <c r="H240">
        <v>1.21</v>
      </c>
      <c r="I240">
        <v>1.21</v>
      </c>
      <c r="J240">
        <v>1.21</v>
      </c>
      <c r="K240">
        <v>1.21</v>
      </c>
    </row>
    <row r="241" spans="1:11" x14ac:dyDescent="0.2">
      <c r="A241">
        <v>2804</v>
      </c>
      <c r="B241">
        <v>1.32</v>
      </c>
      <c r="C241">
        <v>1.32</v>
      </c>
      <c r="D241">
        <v>1.32</v>
      </c>
      <c r="E241">
        <v>1.32</v>
      </c>
      <c r="F241">
        <v>1.32</v>
      </c>
      <c r="G241">
        <v>1.29</v>
      </c>
      <c r="H241">
        <v>1.29</v>
      </c>
      <c r="I241">
        <v>1.29</v>
      </c>
      <c r="J241">
        <v>1.29</v>
      </c>
      <c r="K241">
        <v>1.29</v>
      </c>
    </row>
    <row r="242" spans="1:11" x14ac:dyDescent="0.2">
      <c r="A242">
        <v>2805</v>
      </c>
      <c r="B242">
        <v>1.4</v>
      </c>
      <c r="C242">
        <v>1.4</v>
      </c>
      <c r="D242">
        <v>1.4</v>
      </c>
      <c r="E242">
        <v>1.4</v>
      </c>
      <c r="F242">
        <v>1.4</v>
      </c>
      <c r="G242">
        <v>1.31</v>
      </c>
      <c r="H242">
        <v>1.31</v>
      </c>
      <c r="I242">
        <v>1.31</v>
      </c>
      <c r="J242">
        <v>1.31</v>
      </c>
      <c r="K242">
        <v>1.31</v>
      </c>
    </row>
    <row r="243" spans="1:11" x14ac:dyDescent="0.2">
      <c r="A243">
        <v>2806</v>
      </c>
      <c r="B243">
        <v>1.48</v>
      </c>
      <c r="C243">
        <v>1.48</v>
      </c>
      <c r="D243">
        <v>1.48</v>
      </c>
      <c r="E243">
        <v>1.48</v>
      </c>
      <c r="F243">
        <v>1.48</v>
      </c>
      <c r="G243">
        <v>1.33</v>
      </c>
      <c r="H243">
        <v>1.33</v>
      </c>
      <c r="I243">
        <v>1.33</v>
      </c>
      <c r="J243">
        <v>1.33</v>
      </c>
      <c r="K243">
        <v>1.33</v>
      </c>
    </row>
    <row r="244" spans="1:11" x14ac:dyDescent="0.2">
      <c r="A244">
        <v>2807</v>
      </c>
      <c r="B244">
        <v>1.56</v>
      </c>
      <c r="C244">
        <v>1.56</v>
      </c>
      <c r="D244">
        <v>1.56</v>
      </c>
      <c r="E244">
        <v>1.56</v>
      </c>
      <c r="F244">
        <v>1.56</v>
      </c>
      <c r="G244">
        <v>1.35</v>
      </c>
      <c r="H244">
        <v>1.35</v>
      </c>
      <c r="I244">
        <v>1.35</v>
      </c>
      <c r="J244">
        <v>1.35</v>
      </c>
      <c r="K244">
        <v>1.35</v>
      </c>
    </row>
    <row r="245" spans="1:11" x14ac:dyDescent="0.2">
      <c r="A245">
        <v>2808</v>
      </c>
      <c r="B245">
        <v>1.64</v>
      </c>
      <c r="C245">
        <v>1.64</v>
      </c>
      <c r="D245">
        <v>1.64</v>
      </c>
      <c r="E245">
        <v>1.64</v>
      </c>
      <c r="F245">
        <v>1.64</v>
      </c>
      <c r="G245">
        <v>1.37</v>
      </c>
      <c r="H245">
        <v>1.37</v>
      </c>
      <c r="I245">
        <v>1.37</v>
      </c>
      <c r="J245">
        <v>1.37</v>
      </c>
      <c r="K245">
        <v>1.37</v>
      </c>
    </row>
    <row r="246" spans="1:11" x14ac:dyDescent="0.2">
      <c r="A246">
        <v>2809</v>
      </c>
      <c r="B246">
        <v>1.72</v>
      </c>
      <c r="C246">
        <v>1.72</v>
      </c>
      <c r="D246">
        <v>1.72</v>
      </c>
      <c r="E246">
        <v>1.72</v>
      </c>
      <c r="F246">
        <v>1.72</v>
      </c>
      <c r="G246">
        <v>1.39</v>
      </c>
      <c r="H246">
        <v>1.39</v>
      </c>
      <c r="I246">
        <v>1.39</v>
      </c>
      <c r="J246">
        <v>1.39</v>
      </c>
      <c r="K246">
        <v>1.39</v>
      </c>
    </row>
    <row r="247" spans="1:11" x14ac:dyDescent="0.2">
      <c r="A247">
        <v>2810</v>
      </c>
      <c r="B247">
        <v>1.8</v>
      </c>
      <c r="C247">
        <v>1.8</v>
      </c>
      <c r="D247">
        <v>1.8</v>
      </c>
      <c r="E247">
        <v>1.8</v>
      </c>
      <c r="F247">
        <v>1.8</v>
      </c>
      <c r="G247">
        <v>1.4</v>
      </c>
      <c r="H247">
        <v>1.4</v>
      </c>
      <c r="I247">
        <v>1.4</v>
      </c>
      <c r="J247">
        <v>1.4</v>
      </c>
      <c r="K247">
        <v>1.4</v>
      </c>
    </row>
    <row r="248" spans="1:11" x14ac:dyDescent="0.2">
      <c r="A248">
        <v>3000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</row>
    <row r="249" spans="1:11" x14ac:dyDescent="0.2">
      <c r="A249">
        <v>3100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1:11" x14ac:dyDescent="0.2">
      <c r="A250">
        <v>3101</v>
      </c>
      <c r="B250">
        <v>1.25</v>
      </c>
      <c r="C250">
        <v>1.25</v>
      </c>
      <c r="D250">
        <v>1.25</v>
      </c>
      <c r="E250">
        <v>1.25</v>
      </c>
      <c r="F250">
        <v>1.25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1" x14ac:dyDescent="0.2">
      <c r="A251">
        <v>3102</v>
      </c>
      <c r="B251">
        <v>1.5</v>
      </c>
      <c r="C251">
        <v>1.5</v>
      </c>
      <c r="D251">
        <v>1.5</v>
      </c>
      <c r="E251">
        <v>1.5</v>
      </c>
      <c r="F251">
        <v>1.5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1:11" x14ac:dyDescent="0.2">
      <c r="A252">
        <v>3103</v>
      </c>
      <c r="B252">
        <v>1.75</v>
      </c>
      <c r="C252">
        <v>1.75</v>
      </c>
      <c r="D252">
        <v>1.75</v>
      </c>
      <c r="E252">
        <v>1.75</v>
      </c>
      <c r="F252">
        <v>1.75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 x14ac:dyDescent="0.2">
      <c r="A253">
        <v>3104</v>
      </c>
      <c r="B253">
        <v>2</v>
      </c>
      <c r="C253">
        <v>2</v>
      </c>
      <c r="D253">
        <v>2</v>
      </c>
      <c r="E253">
        <v>2</v>
      </c>
      <c r="F253">
        <v>2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 x14ac:dyDescent="0.2">
      <c r="A254">
        <v>3105</v>
      </c>
      <c r="B254">
        <v>2.25</v>
      </c>
      <c r="C254">
        <v>2.25</v>
      </c>
      <c r="D254">
        <v>2.25</v>
      </c>
      <c r="E254">
        <v>2.25</v>
      </c>
      <c r="F254">
        <v>2.25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2">
      <c r="A255">
        <v>3106</v>
      </c>
      <c r="B255">
        <v>2.5</v>
      </c>
      <c r="C255">
        <v>2.5</v>
      </c>
      <c r="D255">
        <v>2.5</v>
      </c>
      <c r="E255">
        <v>2.5</v>
      </c>
      <c r="F255">
        <v>2.5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 x14ac:dyDescent="0.2">
      <c r="A256">
        <v>3107</v>
      </c>
      <c r="B256">
        <v>2.75</v>
      </c>
      <c r="C256">
        <v>2.75</v>
      </c>
      <c r="D256">
        <v>2.75</v>
      </c>
      <c r="E256">
        <v>2.75</v>
      </c>
      <c r="F256">
        <v>2.75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 x14ac:dyDescent="0.2">
      <c r="A257">
        <v>3108</v>
      </c>
      <c r="B257">
        <v>3</v>
      </c>
      <c r="C257">
        <v>3</v>
      </c>
      <c r="D257">
        <v>3</v>
      </c>
      <c r="E257">
        <v>3</v>
      </c>
      <c r="F257">
        <v>3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2">
      <c r="A258">
        <v>3109</v>
      </c>
      <c r="B258">
        <v>3.25</v>
      </c>
      <c r="C258">
        <v>3.25</v>
      </c>
      <c r="D258">
        <v>3.25</v>
      </c>
      <c r="E258">
        <v>3.25</v>
      </c>
      <c r="F258">
        <v>3.25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 x14ac:dyDescent="0.2">
      <c r="A259">
        <v>3110</v>
      </c>
      <c r="B259">
        <v>3.5</v>
      </c>
      <c r="C259">
        <v>3.5</v>
      </c>
      <c r="D259">
        <v>3.5</v>
      </c>
      <c r="E259">
        <v>3.5</v>
      </c>
      <c r="F259">
        <v>3.5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 x14ac:dyDescent="0.2">
      <c r="A260">
        <v>3200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 x14ac:dyDescent="0.2">
      <c r="A261">
        <v>3201</v>
      </c>
      <c r="B261">
        <v>1.1000000000000001</v>
      </c>
      <c r="C261">
        <v>1.1000000000000001</v>
      </c>
      <c r="D261">
        <v>1.1000000000000001</v>
      </c>
      <c r="E261">
        <v>1.1000000000000001</v>
      </c>
      <c r="F261">
        <v>1.1000000000000001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1:11" x14ac:dyDescent="0.2">
      <c r="A262">
        <v>3202</v>
      </c>
      <c r="B262">
        <v>1.2</v>
      </c>
      <c r="C262">
        <v>1.2</v>
      </c>
      <c r="D262">
        <v>1.2</v>
      </c>
      <c r="E262">
        <v>1.2</v>
      </c>
      <c r="F262">
        <v>1.2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1" x14ac:dyDescent="0.2">
      <c r="A263">
        <v>3203</v>
      </c>
      <c r="B263">
        <v>1.3</v>
      </c>
      <c r="C263">
        <v>1.3</v>
      </c>
      <c r="D263">
        <v>1.3</v>
      </c>
      <c r="E263">
        <v>1.3</v>
      </c>
      <c r="F263">
        <v>1.3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1:11" x14ac:dyDescent="0.2">
      <c r="A264">
        <v>3204</v>
      </c>
      <c r="B264">
        <v>1.4</v>
      </c>
      <c r="C264">
        <v>1.4</v>
      </c>
      <c r="D264">
        <v>1.4</v>
      </c>
      <c r="E264">
        <v>1.4</v>
      </c>
      <c r="F264">
        <v>1.4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1:11" x14ac:dyDescent="0.2">
      <c r="A265">
        <v>3205</v>
      </c>
      <c r="B265">
        <v>1.5</v>
      </c>
      <c r="C265">
        <v>1.5</v>
      </c>
      <c r="D265">
        <v>1.5</v>
      </c>
      <c r="E265">
        <v>1.5</v>
      </c>
      <c r="F265">
        <v>1.5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1:11" x14ac:dyDescent="0.2">
      <c r="A266">
        <v>3206</v>
      </c>
      <c r="B266">
        <v>1.6</v>
      </c>
      <c r="C266">
        <v>1.6</v>
      </c>
      <c r="D266">
        <v>1.6</v>
      </c>
      <c r="E266">
        <v>1.6</v>
      </c>
      <c r="F266">
        <v>1.6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 x14ac:dyDescent="0.2">
      <c r="A267">
        <v>3207</v>
      </c>
      <c r="B267">
        <v>1.7</v>
      </c>
      <c r="C267">
        <v>1.7</v>
      </c>
      <c r="D267">
        <v>1.7</v>
      </c>
      <c r="E267">
        <v>1.7</v>
      </c>
      <c r="F267">
        <v>1.7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 x14ac:dyDescent="0.2">
      <c r="A268">
        <v>3208</v>
      </c>
      <c r="B268">
        <v>1.8</v>
      </c>
      <c r="C268">
        <v>1.8</v>
      </c>
      <c r="D268">
        <v>1.8</v>
      </c>
      <c r="E268">
        <v>1.8</v>
      </c>
      <c r="F268">
        <v>1.8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1:11" x14ac:dyDescent="0.2">
      <c r="A269">
        <v>3209</v>
      </c>
      <c r="B269">
        <v>1.9</v>
      </c>
      <c r="C269">
        <v>1.9</v>
      </c>
      <c r="D269">
        <v>1.9</v>
      </c>
      <c r="E269">
        <v>1.9</v>
      </c>
      <c r="F269">
        <v>1.9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1:11" x14ac:dyDescent="0.2">
      <c r="A270">
        <v>3210</v>
      </c>
      <c r="B270">
        <v>2</v>
      </c>
      <c r="C270">
        <v>2</v>
      </c>
      <c r="D270">
        <v>2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1:11" x14ac:dyDescent="0.2">
      <c r="A271">
        <v>3300</v>
      </c>
      <c r="B271">
        <v>1.1000000000000001</v>
      </c>
      <c r="C271">
        <v>1.1000000000000001</v>
      </c>
      <c r="D271">
        <v>1.1000000000000001</v>
      </c>
      <c r="E271">
        <v>1.1000000000000001</v>
      </c>
      <c r="F271">
        <v>1.1000000000000001</v>
      </c>
      <c r="G271">
        <v>1</v>
      </c>
      <c r="H271">
        <v>1</v>
      </c>
      <c r="I271">
        <v>1</v>
      </c>
      <c r="J271">
        <v>1</v>
      </c>
      <c r="K271">
        <v>1</v>
      </c>
    </row>
    <row r="272" spans="1:11" x14ac:dyDescent="0.2">
      <c r="A272">
        <v>3301</v>
      </c>
      <c r="B272">
        <v>1.48</v>
      </c>
      <c r="C272">
        <v>1.48</v>
      </c>
      <c r="D272">
        <v>1.48</v>
      </c>
      <c r="E272">
        <v>1.48</v>
      </c>
      <c r="F272">
        <v>1.48</v>
      </c>
      <c r="G272">
        <v>1.08</v>
      </c>
      <c r="H272">
        <v>1.08</v>
      </c>
      <c r="I272">
        <v>1.08</v>
      </c>
      <c r="J272">
        <v>1.08</v>
      </c>
      <c r="K272">
        <v>1.08</v>
      </c>
    </row>
    <row r="273" spans="1:11" x14ac:dyDescent="0.2">
      <c r="A273">
        <v>3302</v>
      </c>
      <c r="B273">
        <v>1.86</v>
      </c>
      <c r="C273">
        <v>1.86</v>
      </c>
      <c r="D273">
        <v>1.86</v>
      </c>
      <c r="E273">
        <v>1.86</v>
      </c>
      <c r="F273">
        <v>1.86</v>
      </c>
      <c r="G273">
        <v>1.1599999999999999</v>
      </c>
      <c r="H273">
        <v>1.1599999999999999</v>
      </c>
      <c r="I273">
        <v>1.1599999999999999</v>
      </c>
      <c r="J273">
        <v>1.1599999999999999</v>
      </c>
      <c r="K273">
        <v>1.1599999999999999</v>
      </c>
    </row>
    <row r="274" spans="1:11" x14ac:dyDescent="0.2">
      <c r="A274">
        <v>3303</v>
      </c>
      <c r="B274">
        <v>2.2400000000000002</v>
      </c>
      <c r="C274">
        <v>2.2400000000000002</v>
      </c>
      <c r="D274">
        <v>2.2400000000000002</v>
      </c>
      <c r="E274">
        <v>2.2400000000000002</v>
      </c>
      <c r="F274">
        <v>2.2400000000000002</v>
      </c>
      <c r="G274">
        <v>1.24</v>
      </c>
      <c r="H274">
        <v>1.24</v>
      </c>
      <c r="I274">
        <v>1.24</v>
      </c>
      <c r="J274">
        <v>1.24</v>
      </c>
      <c r="K274">
        <v>1.24</v>
      </c>
    </row>
    <row r="275" spans="1:11" x14ac:dyDescent="0.2">
      <c r="A275">
        <v>3304</v>
      </c>
      <c r="B275">
        <v>2.62</v>
      </c>
      <c r="C275">
        <v>2.62</v>
      </c>
      <c r="D275">
        <v>2.62</v>
      </c>
      <c r="E275">
        <v>2.62</v>
      </c>
      <c r="F275">
        <v>2.62</v>
      </c>
      <c r="G275">
        <v>1.32</v>
      </c>
      <c r="H275">
        <v>1.32</v>
      </c>
      <c r="I275">
        <v>1.32</v>
      </c>
      <c r="J275">
        <v>1.32</v>
      </c>
      <c r="K275">
        <v>1.32</v>
      </c>
    </row>
    <row r="276" spans="1:11" x14ac:dyDescent="0.2">
      <c r="A276">
        <v>3305</v>
      </c>
      <c r="B276">
        <v>3</v>
      </c>
      <c r="C276">
        <v>3</v>
      </c>
      <c r="D276">
        <v>3</v>
      </c>
      <c r="E276">
        <v>3</v>
      </c>
      <c r="F276">
        <v>3</v>
      </c>
      <c r="G276">
        <v>1.4</v>
      </c>
      <c r="H276">
        <v>1.4</v>
      </c>
      <c r="I276">
        <v>1.4</v>
      </c>
      <c r="J276">
        <v>1.4</v>
      </c>
      <c r="K276">
        <v>1.4</v>
      </c>
    </row>
    <row r="277" spans="1:11" x14ac:dyDescent="0.2">
      <c r="A277">
        <v>4000</v>
      </c>
      <c r="B277">
        <v>0.95</v>
      </c>
      <c r="C277">
        <v>1</v>
      </c>
      <c r="D277">
        <v>1</v>
      </c>
      <c r="E277">
        <v>1</v>
      </c>
      <c r="F277">
        <v>1</v>
      </c>
      <c r="G277">
        <v>1.5</v>
      </c>
      <c r="H277">
        <v>0</v>
      </c>
      <c r="I277">
        <v>1</v>
      </c>
      <c r="J277">
        <v>1</v>
      </c>
      <c r="K277">
        <v>1</v>
      </c>
    </row>
    <row r="278" spans="1:11" x14ac:dyDescent="0.2">
      <c r="A278">
        <v>4001</v>
      </c>
      <c r="B278">
        <v>1.04</v>
      </c>
      <c r="C278">
        <v>1.1000000000000001</v>
      </c>
      <c r="D278">
        <v>1.1000000000000001</v>
      </c>
      <c r="E278">
        <v>1.1000000000000001</v>
      </c>
      <c r="F278">
        <v>1.1000000000000001</v>
      </c>
      <c r="G278">
        <v>1.59</v>
      </c>
      <c r="H278">
        <v>0</v>
      </c>
      <c r="I278">
        <v>1</v>
      </c>
      <c r="J278">
        <v>1</v>
      </c>
      <c r="K278">
        <v>1</v>
      </c>
    </row>
    <row r="279" spans="1:11" x14ac:dyDescent="0.2">
      <c r="A279">
        <v>4002</v>
      </c>
      <c r="B279">
        <v>1.1299999999999999</v>
      </c>
      <c r="C279">
        <v>1.2</v>
      </c>
      <c r="D279">
        <v>1.2</v>
      </c>
      <c r="E279">
        <v>1.2</v>
      </c>
      <c r="F279">
        <v>1.2</v>
      </c>
      <c r="G279">
        <v>1.68</v>
      </c>
      <c r="H279">
        <v>0</v>
      </c>
      <c r="I279">
        <v>1</v>
      </c>
      <c r="J279">
        <v>1</v>
      </c>
      <c r="K279">
        <v>1</v>
      </c>
    </row>
    <row r="280" spans="1:11" x14ac:dyDescent="0.2">
      <c r="A280">
        <v>4003</v>
      </c>
      <c r="B280">
        <v>1.22</v>
      </c>
      <c r="C280">
        <v>1.3</v>
      </c>
      <c r="D280">
        <v>1.3</v>
      </c>
      <c r="E280">
        <v>1.3</v>
      </c>
      <c r="F280">
        <v>1.3</v>
      </c>
      <c r="G280">
        <v>1.77</v>
      </c>
      <c r="H280">
        <v>0</v>
      </c>
      <c r="I280">
        <v>1</v>
      </c>
      <c r="J280">
        <v>1</v>
      </c>
      <c r="K280">
        <v>1</v>
      </c>
    </row>
    <row r="281" spans="1:11" x14ac:dyDescent="0.2">
      <c r="A281">
        <v>4004</v>
      </c>
      <c r="B281">
        <v>1.31</v>
      </c>
      <c r="C281">
        <v>1.4</v>
      </c>
      <c r="D281">
        <v>1.4</v>
      </c>
      <c r="E281">
        <v>1.4</v>
      </c>
      <c r="F281">
        <v>1.4</v>
      </c>
      <c r="G281">
        <v>1.86</v>
      </c>
      <c r="H281">
        <v>0</v>
      </c>
      <c r="I281">
        <v>1</v>
      </c>
      <c r="J281">
        <v>1</v>
      </c>
      <c r="K281">
        <v>1</v>
      </c>
    </row>
    <row r="282" spans="1:11" x14ac:dyDescent="0.2">
      <c r="A282">
        <v>4005</v>
      </c>
      <c r="B282">
        <v>1.4</v>
      </c>
      <c r="C282">
        <v>1.5</v>
      </c>
      <c r="D282">
        <v>1.5</v>
      </c>
      <c r="E282">
        <v>1.5</v>
      </c>
      <c r="F282">
        <v>1.5</v>
      </c>
      <c r="G282">
        <v>1.88</v>
      </c>
      <c r="H282">
        <v>0</v>
      </c>
      <c r="I282">
        <v>1</v>
      </c>
      <c r="J282">
        <v>1</v>
      </c>
      <c r="K282">
        <v>1</v>
      </c>
    </row>
    <row r="283" spans="1:11" x14ac:dyDescent="0.2">
      <c r="A283">
        <v>4006</v>
      </c>
      <c r="B283">
        <v>1.49</v>
      </c>
      <c r="C283">
        <v>1.6</v>
      </c>
      <c r="D283">
        <v>1.6</v>
      </c>
      <c r="E283">
        <v>1.6</v>
      </c>
      <c r="F283">
        <v>1.6</v>
      </c>
      <c r="G283">
        <v>1.9</v>
      </c>
      <c r="H283">
        <v>0</v>
      </c>
      <c r="I283">
        <v>1</v>
      </c>
      <c r="J283">
        <v>1</v>
      </c>
      <c r="K283">
        <v>1</v>
      </c>
    </row>
    <row r="284" spans="1:11" x14ac:dyDescent="0.2">
      <c r="A284">
        <v>4007</v>
      </c>
      <c r="B284">
        <v>1.58</v>
      </c>
      <c r="C284">
        <v>1.7</v>
      </c>
      <c r="D284">
        <v>1.7</v>
      </c>
      <c r="E284">
        <v>1.7</v>
      </c>
      <c r="F284">
        <v>1.7</v>
      </c>
      <c r="G284">
        <v>1.92</v>
      </c>
      <c r="H284">
        <v>0</v>
      </c>
      <c r="I284">
        <v>1</v>
      </c>
      <c r="J284">
        <v>1</v>
      </c>
      <c r="K284">
        <v>1</v>
      </c>
    </row>
    <row r="285" spans="1:11" x14ac:dyDescent="0.2">
      <c r="A285">
        <v>4008</v>
      </c>
      <c r="B285">
        <v>1.67</v>
      </c>
      <c r="C285">
        <v>1.8</v>
      </c>
      <c r="D285">
        <v>1.8</v>
      </c>
      <c r="E285">
        <v>1.8</v>
      </c>
      <c r="F285">
        <v>1.8</v>
      </c>
      <c r="G285">
        <v>1.94</v>
      </c>
      <c r="H285">
        <v>0</v>
      </c>
      <c r="I285">
        <v>1</v>
      </c>
      <c r="J285">
        <v>1</v>
      </c>
      <c r="K285">
        <v>1</v>
      </c>
    </row>
    <row r="286" spans="1:11" x14ac:dyDescent="0.2">
      <c r="A286">
        <v>4009</v>
      </c>
      <c r="B286">
        <v>1.76</v>
      </c>
      <c r="C286">
        <v>1.9</v>
      </c>
      <c r="D286">
        <v>1.9</v>
      </c>
      <c r="E286">
        <v>1.9</v>
      </c>
      <c r="F286">
        <v>1.9</v>
      </c>
      <c r="G286">
        <v>1.96</v>
      </c>
      <c r="H286">
        <v>0</v>
      </c>
      <c r="I286">
        <v>1</v>
      </c>
      <c r="J286">
        <v>1</v>
      </c>
      <c r="K286">
        <v>1</v>
      </c>
    </row>
    <row r="287" spans="1:11" x14ac:dyDescent="0.2">
      <c r="A287">
        <v>4010</v>
      </c>
      <c r="B287">
        <v>1.85</v>
      </c>
      <c r="C287">
        <v>2</v>
      </c>
      <c r="D287">
        <v>2</v>
      </c>
      <c r="E287">
        <v>2</v>
      </c>
      <c r="F287">
        <v>2</v>
      </c>
      <c r="G287">
        <v>2</v>
      </c>
      <c r="H287">
        <v>0</v>
      </c>
      <c r="I287">
        <v>1</v>
      </c>
      <c r="J287">
        <v>1</v>
      </c>
      <c r="K287">
        <v>1</v>
      </c>
    </row>
    <row r="288" spans="1:11" x14ac:dyDescent="0.2">
      <c r="A288">
        <v>4100</v>
      </c>
      <c r="B288">
        <v>0.95</v>
      </c>
      <c r="C288">
        <v>1</v>
      </c>
      <c r="D288">
        <v>1</v>
      </c>
      <c r="E288">
        <v>1</v>
      </c>
      <c r="F288">
        <v>1</v>
      </c>
      <c r="G288">
        <v>1.1000000000000001</v>
      </c>
      <c r="H288">
        <v>1.1000000000000001</v>
      </c>
      <c r="I288">
        <v>1</v>
      </c>
      <c r="J288">
        <v>1</v>
      </c>
      <c r="K288">
        <v>1</v>
      </c>
    </row>
    <row r="289" spans="1:11" x14ac:dyDescent="0.2">
      <c r="A289">
        <v>4101</v>
      </c>
      <c r="B289">
        <v>1.04</v>
      </c>
      <c r="C289">
        <v>1.1000000000000001</v>
      </c>
      <c r="D289">
        <v>1.1000000000000001</v>
      </c>
      <c r="E289">
        <v>1.1000000000000001</v>
      </c>
      <c r="F289">
        <v>1.1000000000000001</v>
      </c>
      <c r="G289">
        <v>1.1299999999999999</v>
      </c>
      <c r="H289">
        <v>1.1299999999999999</v>
      </c>
      <c r="I289">
        <v>1</v>
      </c>
      <c r="J289">
        <v>1</v>
      </c>
      <c r="K289">
        <v>1</v>
      </c>
    </row>
    <row r="290" spans="1:11" x14ac:dyDescent="0.2">
      <c r="A290">
        <v>4102</v>
      </c>
      <c r="B290">
        <v>1.1299999999999999</v>
      </c>
      <c r="C290">
        <v>1.2</v>
      </c>
      <c r="D290">
        <v>1.2</v>
      </c>
      <c r="E290">
        <v>1.2</v>
      </c>
      <c r="F290">
        <v>1.2</v>
      </c>
      <c r="G290">
        <v>1.1599999999999999</v>
      </c>
      <c r="H290">
        <v>1.1599999999999999</v>
      </c>
      <c r="I290">
        <v>1</v>
      </c>
      <c r="J290">
        <v>1</v>
      </c>
      <c r="K290">
        <v>1</v>
      </c>
    </row>
    <row r="291" spans="1:11" x14ac:dyDescent="0.2">
      <c r="A291">
        <v>4103</v>
      </c>
      <c r="B291">
        <v>1.22</v>
      </c>
      <c r="C291">
        <v>1.3</v>
      </c>
      <c r="D291">
        <v>1.3</v>
      </c>
      <c r="E291">
        <v>1.3</v>
      </c>
      <c r="F291">
        <v>1.3</v>
      </c>
      <c r="G291">
        <v>1.19</v>
      </c>
      <c r="H291">
        <v>1.19</v>
      </c>
      <c r="I291">
        <v>1</v>
      </c>
      <c r="J291">
        <v>1</v>
      </c>
      <c r="K291">
        <v>1</v>
      </c>
    </row>
    <row r="292" spans="1:11" x14ac:dyDescent="0.2">
      <c r="A292">
        <v>4104</v>
      </c>
      <c r="B292">
        <v>1.31</v>
      </c>
      <c r="C292">
        <v>1.4</v>
      </c>
      <c r="D292">
        <v>1.4</v>
      </c>
      <c r="E292">
        <v>1.4</v>
      </c>
      <c r="F292">
        <v>1.4</v>
      </c>
      <c r="G292">
        <v>1.21</v>
      </c>
      <c r="H292">
        <v>1.21</v>
      </c>
      <c r="I292">
        <v>1</v>
      </c>
      <c r="J292">
        <v>1</v>
      </c>
      <c r="K292">
        <v>1</v>
      </c>
    </row>
    <row r="293" spans="1:11" x14ac:dyDescent="0.2">
      <c r="A293">
        <v>4105</v>
      </c>
      <c r="B293">
        <v>1.4</v>
      </c>
      <c r="C293">
        <v>1.5</v>
      </c>
      <c r="D293">
        <v>1.5</v>
      </c>
      <c r="E293">
        <v>1.5</v>
      </c>
      <c r="F293">
        <v>1.5</v>
      </c>
      <c r="G293">
        <v>1.22</v>
      </c>
      <c r="H293">
        <v>1.22</v>
      </c>
      <c r="I293">
        <v>1</v>
      </c>
      <c r="J293">
        <v>1</v>
      </c>
      <c r="K293">
        <v>1</v>
      </c>
    </row>
    <row r="294" spans="1:11" x14ac:dyDescent="0.2">
      <c r="A294">
        <v>4106</v>
      </c>
      <c r="B294">
        <v>1.49</v>
      </c>
      <c r="C294">
        <v>1.6</v>
      </c>
      <c r="D294">
        <v>1.6</v>
      </c>
      <c r="E294">
        <v>1.6</v>
      </c>
      <c r="F294">
        <v>1.6</v>
      </c>
      <c r="G294">
        <v>1.23</v>
      </c>
      <c r="H294">
        <v>1.23</v>
      </c>
      <c r="I294">
        <v>1</v>
      </c>
      <c r="J294">
        <v>1</v>
      </c>
      <c r="K294">
        <v>1</v>
      </c>
    </row>
    <row r="295" spans="1:11" x14ac:dyDescent="0.2">
      <c r="A295">
        <v>4107</v>
      </c>
      <c r="B295">
        <v>1.58</v>
      </c>
      <c r="C295">
        <v>1.7</v>
      </c>
      <c r="D295">
        <v>1.7</v>
      </c>
      <c r="E295">
        <v>1.7</v>
      </c>
      <c r="F295">
        <v>1.7</v>
      </c>
      <c r="G295">
        <v>1.24</v>
      </c>
      <c r="H295">
        <v>1.24</v>
      </c>
      <c r="I295">
        <v>1</v>
      </c>
      <c r="J295">
        <v>1</v>
      </c>
      <c r="K295">
        <v>1</v>
      </c>
    </row>
    <row r="296" spans="1:11" x14ac:dyDescent="0.2">
      <c r="A296">
        <v>4108</v>
      </c>
      <c r="B296">
        <v>1.67</v>
      </c>
      <c r="C296">
        <v>1.8</v>
      </c>
      <c r="D296">
        <v>1.8</v>
      </c>
      <c r="E296">
        <v>1.8</v>
      </c>
      <c r="F296">
        <v>1.8</v>
      </c>
      <c r="G296">
        <v>1.25</v>
      </c>
      <c r="H296">
        <v>1.25</v>
      </c>
      <c r="I296">
        <v>1</v>
      </c>
      <c r="J296">
        <v>1</v>
      </c>
      <c r="K296">
        <v>1</v>
      </c>
    </row>
    <row r="297" spans="1:11" x14ac:dyDescent="0.2">
      <c r="A297">
        <v>4109</v>
      </c>
      <c r="B297">
        <v>1.76</v>
      </c>
      <c r="C297">
        <v>1.9</v>
      </c>
      <c r="D297">
        <v>1.9</v>
      </c>
      <c r="E297">
        <v>1.9</v>
      </c>
      <c r="F297">
        <v>1.9</v>
      </c>
      <c r="G297">
        <v>1.26</v>
      </c>
      <c r="H297">
        <v>1.26</v>
      </c>
      <c r="I297">
        <v>1</v>
      </c>
      <c r="J297">
        <v>1</v>
      </c>
      <c r="K297">
        <v>1</v>
      </c>
    </row>
    <row r="298" spans="1:11" x14ac:dyDescent="0.2">
      <c r="A298">
        <v>4110</v>
      </c>
      <c r="B298">
        <v>1.85</v>
      </c>
      <c r="C298">
        <v>2</v>
      </c>
      <c r="D298">
        <v>2</v>
      </c>
      <c r="E298">
        <v>2</v>
      </c>
      <c r="F298">
        <v>2</v>
      </c>
      <c r="G298">
        <v>1.25</v>
      </c>
      <c r="H298">
        <v>1.25</v>
      </c>
      <c r="I298">
        <v>1</v>
      </c>
      <c r="J298">
        <v>1</v>
      </c>
      <c r="K298">
        <v>1</v>
      </c>
    </row>
    <row r="299" spans="1:11" x14ac:dyDescent="0.2">
      <c r="A299">
        <v>4500</v>
      </c>
      <c r="B299">
        <v>1.1000000000000001</v>
      </c>
      <c r="C299">
        <v>1.1000000000000001</v>
      </c>
      <c r="D299">
        <v>1.1000000000000001</v>
      </c>
      <c r="E299">
        <v>1.1000000000000001</v>
      </c>
      <c r="F299">
        <v>1.1000000000000001</v>
      </c>
      <c r="G299">
        <v>1</v>
      </c>
      <c r="H299">
        <v>1</v>
      </c>
      <c r="I299">
        <v>1</v>
      </c>
      <c r="J299">
        <v>1</v>
      </c>
      <c r="K299">
        <v>1</v>
      </c>
    </row>
    <row r="300" spans="1:11" x14ac:dyDescent="0.2">
      <c r="A300">
        <v>4501</v>
      </c>
      <c r="B300">
        <v>1.28</v>
      </c>
      <c r="C300">
        <v>1.28</v>
      </c>
      <c r="D300">
        <v>1.28</v>
      </c>
      <c r="E300">
        <v>1.28</v>
      </c>
      <c r="F300">
        <v>1.28</v>
      </c>
      <c r="G300">
        <v>1.08</v>
      </c>
      <c r="H300">
        <v>1.08</v>
      </c>
      <c r="I300">
        <v>1.08</v>
      </c>
      <c r="J300">
        <v>1.08</v>
      </c>
      <c r="K300">
        <v>1.08</v>
      </c>
    </row>
    <row r="301" spans="1:11" x14ac:dyDescent="0.2">
      <c r="A301">
        <v>4502</v>
      </c>
      <c r="B301">
        <v>1.46</v>
      </c>
      <c r="C301">
        <v>1.46</v>
      </c>
      <c r="D301">
        <v>1.46</v>
      </c>
      <c r="E301">
        <v>1.46</v>
      </c>
      <c r="F301">
        <v>1.46</v>
      </c>
      <c r="G301">
        <v>1.1599999999999999</v>
      </c>
      <c r="H301">
        <v>1.1599999999999999</v>
      </c>
      <c r="I301">
        <v>1.1599999999999999</v>
      </c>
      <c r="J301">
        <v>1.1599999999999999</v>
      </c>
      <c r="K301">
        <v>1.1599999999999999</v>
      </c>
    </row>
    <row r="302" spans="1:11" x14ac:dyDescent="0.2">
      <c r="A302">
        <v>4503</v>
      </c>
      <c r="B302">
        <v>1.64</v>
      </c>
      <c r="C302">
        <v>1.64</v>
      </c>
      <c r="D302">
        <v>1.64</v>
      </c>
      <c r="E302">
        <v>1.64</v>
      </c>
      <c r="F302">
        <v>1.64</v>
      </c>
      <c r="G302">
        <v>1.24</v>
      </c>
      <c r="H302">
        <v>1.24</v>
      </c>
      <c r="I302">
        <v>1.24</v>
      </c>
      <c r="J302">
        <v>1.24</v>
      </c>
      <c r="K302">
        <v>1.24</v>
      </c>
    </row>
    <row r="303" spans="1:11" x14ac:dyDescent="0.2">
      <c r="A303">
        <v>4504</v>
      </c>
      <c r="B303">
        <v>1.82</v>
      </c>
      <c r="C303">
        <v>1.82</v>
      </c>
      <c r="D303">
        <v>1.82</v>
      </c>
      <c r="E303">
        <v>1.82</v>
      </c>
      <c r="F303">
        <v>1.82</v>
      </c>
      <c r="G303">
        <v>1.32</v>
      </c>
      <c r="H303">
        <v>1.32</v>
      </c>
      <c r="I303">
        <v>1.32</v>
      </c>
      <c r="J303">
        <v>1.32</v>
      </c>
      <c r="K303">
        <v>1.32</v>
      </c>
    </row>
    <row r="304" spans="1:11" x14ac:dyDescent="0.2">
      <c r="A304">
        <v>4505</v>
      </c>
      <c r="B304">
        <v>2</v>
      </c>
      <c r="C304">
        <v>2</v>
      </c>
      <c r="D304">
        <v>2</v>
      </c>
      <c r="E304">
        <v>2</v>
      </c>
      <c r="F304">
        <v>2</v>
      </c>
      <c r="G304">
        <v>1.4</v>
      </c>
      <c r="H304">
        <v>1.4</v>
      </c>
      <c r="I304">
        <v>1.4</v>
      </c>
      <c r="J304">
        <v>1.4</v>
      </c>
      <c r="K304">
        <v>1.4</v>
      </c>
    </row>
    <row r="305" spans="1:11" x14ac:dyDescent="0.2">
      <c r="A305">
        <v>4600</v>
      </c>
      <c r="B305">
        <v>1.1499999999999999</v>
      </c>
      <c r="C305">
        <v>1.1499999999999999</v>
      </c>
      <c r="D305">
        <v>1.1499999999999999</v>
      </c>
      <c r="E305">
        <v>1.1499999999999999</v>
      </c>
      <c r="F305">
        <v>1.1499999999999999</v>
      </c>
      <c r="G305">
        <v>1</v>
      </c>
      <c r="H305">
        <v>1</v>
      </c>
      <c r="I305">
        <v>1</v>
      </c>
      <c r="J305">
        <v>1</v>
      </c>
      <c r="K305">
        <v>1</v>
      </c>
    </row>
    <row r="306" spans="1:11" x14ac:dyDescent="0.2">
      <c r="A306">
        <v>4601</v>
      </c>
      <c r="B306">
        <v>1.28</v>
      </c>
      <c r="C306">
        <v>1.28</v>
      </c>
      <c r="D306">
        <v>1.28</v>
      </c>
      <c r="E306">
        <v>1.28</v>
      </c>
      <c r="F306">
        <v>1.28</v>
      </c>
      <c r="G306">
        <v>1.08</v>
      </c>
      <c r="H306">
        <v>1.08</v>
      </c>
      <c r="I306">
        <v>1.08</v>
      </c>
      <c r="J306">
        <v>1.08</v>
      </c>
      <c r="K306">
        <v>1.08</v>
      </c>
    </row>
    <row r="307" spans="1:11" x14ac:dyDescent="0.2">
      <c r="A307">
        <v>4602</v>
      </c>
      <c r="B307">
        <v>1.37</v>
      </c>
      <c r="C307">
        <v>1.37</v>
      </c>
      <c r="D307">
        <v>1.37</v>
      </c>
      <c r="E307">
        <v>1.37</v>
      </c>
      <c r="F307">
        <v>1.37</v>
      </c>
      <c r="G307">
        <v>1.1599999999999999</v>
      </c>
      <c r="H307">
        <v>1.1599999999999999</v>
      </c>
      <c r="I307">
        <v>1.1599999999999999</v>
      </c>
      <c r="J307">
        <v>1.1599999999999999</v>
      </c>
      <c r="K307">
        <v>1.1599999999999999</v>
      </c>
    </row>
    <row r="308" spans="1:11" x14ac:dyDescent="0.2">
      <c r="A308">
        <v>4603</v>
      </c>
      <c r="B308">
        <v>1.6</v>
      </c>
      <c r="C308">
        <v>1.6</v>
      </c>
      <c r="D308">
        <v>1.6</v>
      </c>
      <c r="E308">
        <v>1.6</v>
      </c>
      <c r="F308">
        <v>1.6</v>
      </c>
      <c r="G308">
        <v>1.24</v>
      </c>
      <c r="H308">
        <v>1.24</v>
      </c>
      <c r="I308">
        <v>1.24</v>
      </c>
      <c r="J308">
        <v>1.24</v>
      </c>
      <c r="K308">
        <v>1.24</v>
      </c>
    </row>
    <row r="309" spans="1:11" x14ac:dyDescent="0.2">
      <c r="A309">
        <v>4604</v>
      </c>
      <c r="B309">
        <v>1.8</v>
      </c>
      <c r="C309">
        <v>1.8</v>
      </c>
      <c r="D309">
        <v>1.8</v>
      </c>
      <c r="E309">
        <v>1.8</v>
      </c>
      <c r="F309">
        <v>1.8</v>
      </c>
      <c r="G309">
        <v>1.32</v>
      </c>
      <c r="H309">
        <v>1.32</v>
      </c>
      <c r="I309">
        <v>1.32</v>
      </c>
      <c r="J309">
        <v>1.32</v>
      </c>
      <c r="K309">
        <v>1.32</v>
      </c>
    </row>
    <row r="310" spans="1:11" x14ac:dyDescent="0.2">
      <c r="A310">
        <v>4605</v>
      </c>
      <c r="B310">
        <v>2</v>
      </c>
      <c r="C310">
        <v>2</v>
      </c>
      <c r="D310">
        <v>2</v>
      </c>
      <c r="E310">
        <v>2</v>
      </c>
      <c r="F310">
        <v>2</v>
      </c>
      <c r="G310">
        <v>1.4</v>
      </c>
      <c r="H310">
        <v>1.4</v>
      </c>
      <c r="I310">
        <v>1.4</v>
      </c>
      <c r="J310">
        <v>1.4</v>
      </c>
      <c r="K310">
        <v>1.4</v>
      </c>
    </row>
    <row r="311" spans="1:11" x14ac:dyDescent="0.2">
      <c r="A311">
        <v>5000</v>
      </c>
      <c r="B311">
        <v>0.95</v>
      </c>
      <c r="C311">
        <v>1</v>
      </c>
      <c r="D311">
        <v>1</v>
      </c>
      <c r="E311">
        <v>1</v>
      </c>
      <c r="F311">
        <v>1</v>
      </c>
      <c r="G311">
        <v>0.95</v>
      </c>
      <c r="H311">
        <v>1.6</v>
      </c>
      <c r="I311">
        <v>1</v>
      </c>
      <c r="J311">
        <v>1</v>
      </c>
      <c r="K311">
        <v>1</v>
      </c>
    </row>
    <row r="312" spans="1:11" x14ac:dyDescent="0.2">
      <c r="A312">
        <v>5001</v>
      </c>
      <c r="B312">
        <v>1.04</v>
      </c>
      <c r="C312">
        <v>1.1000000000000001</v>
      </c>
      <c r="D312">
        <v>1.1000000000000001</v>
      </c>
      <c r="E312">
        <v>1.1000000000000001</v>
      </c>
      <c r="F312">
        <v>1.1000000000000001</v>
      </c>
      <c r="G312">
        <v>0.98</v>
      </c>
      <c r="H312">
        <v>1.73</v>
      </c>
      <c r="I312">
        <v>1.07</v>
      </c>
      <c r="J312">
        <v>1.07</v>
      </c>
      <c r="K312">
        <v>1</v>
      </c>
    </row>
    <row r="313" spans="1:11" x14ac:dyDescent="0.2">
      <c r="A313">
        <v>5002</v>
      </c>
      <c r="B313">
        <v>1.1299999999999999</v>
      </c>
      <c r="C313">
        <v>1.2</v>
      </c>
      <c r="D313">
        <v>1.2</v>
      </c>
      <c r="E313">
        <v>1.2</v>
      </c>
      <c r="F313">
        <v>1.2</v>
      </c>
      <c r="G313">
        <v>1.01</v>
      </c>
      <c r="H313">
        <v>1.86</v>
      </c>
      <c r="I313">
        <v>1.1399999999999999</v>
      </c>
      <c r="J313">
        <v>1.1399999999999999</v>
      </c>
      <c r="K313">
        <v>1</v>
      </c>
    </row>
    <row r="314" spans="1:11" x14ac:dyDescent="0.2">
      <c r="A314">
        <v>5003</v>
      </c>
      <c r="B314">
        <v>1.22</v>
      </c>
      <c r="C314">
        <v>1.3</v>
      </c>
      <c r="D314">
        <v>1.3</v>
      </c>
      <c r="E314">
        <v>1.3</v>
      </c>
      <c r="F314">
        <v>1.3</v>
      </c>
      <c r="G314">
        <v>1.04</v>
      </c>
      <c r="H314">
        <v>1.99</v>
      </c>
      <c r="I314">
        <v>1.21</v>
      </c>
      <c r="J314">
        <v>1.21</v>
      </c>
      <c r="K314">
        <v>1</v>
      </c>
    </row>
    <row r="315" spans="1:11" x14ac:dyDescent="0.2">
      <c r="A315">
        <v>5004</v>
      </c>
      <c r="B315">
        <v>1.31</v>
      </c>
      <c r="C315">
        <v>1.4</v>
      </c>
      <c r="D315">
        <v>1.4</v>
      </c>
      <c r="E315">
        <v>1.4</v>
      </c>
      <c r="F315">
        <v>1.4</v>
      </c>
      <c r="G315">
        <v>1.06</v>
      </c>
      <c r="H315">
        <v>2.11</v>
      </c>
      <c r="I315">
        <v>1.29</v>
      </c>
      <c r="J315">
        <v>1.29</v>
      </c>
      <c r="K315">
        <v>1</v>
      </c>
    </row>
    <row r="316" spans="1:11" x14ac:dyDescent="0.2">
      <c r="A316">
        <v>5005</v>
      </c>
      <c r="B316">
        <v>1.4</v>
      </c>
      <c r="C316">
        <v>1.5</v>
      </c>
      <c r="D316">
        <v>1.5</v>
      </c>
      <c r="E316">
        <v>1.5</v>
      </c>
      <c r="F316">
        <v>1.5</v>
      </c>
      <c r="G316">
        <v>1.07</v>
      </c>
      <c r="H316">
        <v>2.14</v>
      </c>
      <c r="I316">
        <v>1.31</v>
      </c>
      <c r="J316">
        <v>1.31</v>
      </c>
      <c r="K316">
        <v>1</v>
      </c>
    </row>
    <row r="317" spans="1:11" x14ac:dyDescent="0.2">
      <c r="A317">
        <v>5006</v>
      </c>
      <c r="B317">
        <v>1.49</v>
      </c>
      <c r="C317">
        <v>1.6</v>
      </c>
      <c r="D317">
        <v>1.6</v>
      </c>
      <c r="E317">
        <v>1.6</v>
      </c>
      <c r="F317">
        <v>1.6</v>
      </c>
      <c r="G317">
        <v>1.08</v>
      </c>
      <c r="H317">
        <v>2.17</v>
      </c>
      <c r="I317">
        <v>1.33</v>
      </c>
      <c r="J317">
        <v>1.33</v>
      </c>
      <c r="K317">
        <v>1</v>
      </c>
    </row>
    <row r="318" spans="1:11" x14ac:dyDescent="0.2">
      <c r="A318">
        <v>5007</v>
      </c>
      <c r="B318">
        <v>1.58</v>
      </c>
      <c r="C318">
        <v>1.7</v>
      </c>
      <c r="D318">
        <v>1.7</v>
      </c>
      <c r="E318">
        <v>1.7</v>
      </c>
      <c r="F318">
        <v>1.7</v>
      </c>
      <c r="G318">
        <v>1.0900000000000001</v>
      </c>
      <c r="H318">
        <v>2.2000000000000002</v>
      </c>
      <c r="I318">
        <v>1.35</v>
      </c>
      <c r="J318">
        <v>1.35</v>
      </c>
      <c r="K318">
        <v>1</v>
      </c>
    </row>
    <row r="319" spans="1:11" x14ac:dyDescent="0.2">
      <c r="A319">
        <v>5008</v>
      </c>
      <c r="B319">
        <v>1.67</v>
      </c>
      <c r="C319">
        <v>1.8</v>
      </c>
      <c r="D319">
        <v>1.8</v>
      </c>
      <c r="E319">
        <v>1.8</v>
      </c>
      <c r="F319">
        <v>1.8</v>
      </c>
      <c r="G319">
        <v>1.1000000000000001</v>
      </c>
      <c r="H319">
        <v>2.23</v>
      </c>
      <c r="I319">
        <v>1.37</v>
      </c>
      <c r="J319">
        <v>1.37</v>
      </c>
      <c r="K319">
        <v>1</v>
      </c>
    </row>
    <row r="320" spans="1:11" x14ac:dyDescent="0.2">
      <c r="A320">
        <v>5009</v>
      </c>
      <c r="B320">
        <v>1.76</v>
      </c>
      <c r="C320">
        <v>1.9</v>
      </c>
      <c r="D320">
        <v>1.9</v>
      </c>
      <c r="E320">
        <v>1.9</v>
      </c>
      <c r="F320">
        <v>1.9</v>
      </c>
      <c r="G320">
        <v>1.1100000000000001</v>
      </c>
      <c r="H320">
        <v>2.2599999999999998</v>
      </c>
      <c r="I320">
        <v>1.39</v>
      </c>
      <c r="J320">
        <v>1.39</v>
      </c>
      <c r="K320">
        <v>1</v>
      </c>
    </row>
    <row r="321" spans="1:11" x14ac:dyDescent="0.2">
      <c r="A321">
        <v>5010</v>
      </c>
      <c r="B321">
        <v>1.85</v>
      </c>
      <c r="C321">
        <v>2</v>
      </c>
      <c r="D321">
        <v>2</v>
      </c>
      <c r="E321">
        <v>2</v>
      </c>
      <c r="F321">
        <v>2</v>
      </c>
      <c r="G321">
        <v>1.1000000000000001</v>
      </c>
      <c r="H321">
        <v>2.31</v>
      </c>
      <c r="I321">
        <v>1.4</v>
      </c>
      <c r="J321">
        <v>1.4</v>
      </c>
      <c r="K321">
        <v>1</v>
      </c>
    </row>
    <row r="322" spans="1:11" x14ac:dyDescent="0.2">
      <c r="A322">
        <v>6000</v>
      </c>
      <c r="B322">
        <v>0.95</v>
      </c>
      <c r="C322">
        <v>1</v>
      </c>
      <c r="D322">
        <v>1</v>
      </c>
      <c r="E322">
        <v>1</v>
      </c>
      <c r="F322">
        <v>1</v>
      </c>
      <c r="G322">
        <v>1.5</v>
      </c>
      <c r="H322">
        <v>0</v>
      </c>
      <c r="I322">
        <v>1</v>
      </c>
      <c r="J322">
        <v>1</v>
      </c>
      <c r="K322">
        <v>1</v>
      </c>
    </row>
    <row r="323" spans="1:11" x14ac:dyDescent="0.2">
      <c r="A323">
        <v>6001</v>
      </c>
      <c r="B323">
        <v>1.04</v>
      </c>
      <c r="C323">
        <v>1.1000000000000001</v>
      </c>
      <c r="D323">
        <v>1.1000000000000001</v>
      </c>
      <c r="E323">
        <v>1.1000000000000001</v>
      </c>
      <c r="F323">
        <v>1.1000000000000001</v>
      </c>
      <c r="G323">
        <v>1.59</v>
      </c>
      <c r="H323">
        <v>0</v>
      </c>
      <c r="I323">
        <v>1</v>
      </c>
      <c r="J323">
        <v>1</v>
      </c>
      <c r="K323">
        <v>1</v>
      </c>
    </row>
    <row r="324" spans="1:11" x14ac:dyDescent="0.2">
      <c r="A324">
        <v>6002</v>
      </c>
      <c r="B324">
        <v>1.1299999999999999</v>
      </c>
      <c r="C324">
        <v>1.2</v>
      </c>
      <c r="D324">
        <v>1.2</v>
      </c>
      <c r="E324">
        <v>1.2</v>
      </c>
      <c r="F324">
        <v>1.2</v>
      </c>
      <c r="G324">
        <v>1.68</v>
      </c>
      <c r="H324">
        <v>0</v>
      </c>
      <c r="I324">
        <v>1</v>
      </c>
      <c r="J324">
        <v>1</v>
      </c>
      <c r="K324">
        <v>1</v>
      </c>
    </row>
    <row r="325" spans="1:11" x14ac:dyDescent="0.2">
      <c r="A325">
        <v>6003</v>
      </c>
      <c r="B325">
        <v>1.22</v>
      </c>
      <c r="C325">
        <v>1.3</v>
      </c>
      <c r="D325">
        <v>1.3</v>
      </c>
      <c r="E325">
        <v>1.3</v>
      </c>
      <c r="F325">
        <v>1.3</v>
      </c>
      <c r="G325">
        <v>1.77</v>
      </c>
      <c r="H325">
        <v>0</v>
      </c>
      <c r="I325">
        <v>1</v>
      </c>
      <c r="J325">
        <v>1</v>
      </c>
      <c r="K325">
        <v>1</v>
      </c>
    </row>
    <row r="326" spans="1:11" x14ac:dyDescent="0.2">
      <c r="A326">
        <v>6004</v>
      </c>
      <c r="B326">
        <v>1.31</v>
      </c>
      <c r="C326">
        <v>1.4</v>
      </c>
      <c r="D326">
        <v>1.4</v>
      </c>
      <c r="E326">
        <v>1.4</v>
      </c>
      <c r="F326">
        <v>1.4</v>
      </c>
      <c r="G326">
        <v>1.86</v>
      </c>
      <c r="H326">
        <v>0</v>
      </c>
      <c r="I326">
        <v>1</v>
      </c>
      <c r="J326">
        <v>1</v>
      </c>
      <c r="K326">
        <v>1</v>
      </c>
    </row>
    <row r="327" spans="1:11" x14ac:dyDescent="0.2">
      <c r="A327">
        <v>6005</v>
      </c>
      <c r="B327">
        <v>1.4</v>
      </c>
      <c r="C327">
        <v>1.5</v>
      </c>
      <c r="D327">
        <v>1.5</v>
      </c>
      <c r="E327">
        <v>1.5</v>
      </c>
      <c r="F327">
        <v>1.5</v>
      </c>
      <c r="G327">
        <v>1.9</v>
      </c>
      <c r="H327">
        <v>0</v>
      </c>
      <c r="I327">
        <v>1</v>
      </c>
      <c r="J327">
        <v>1</v>
      </c>
      <c r="K327">
        <v>1</v>
      </c>
    </row>
    <row r="328" spans="1:11" x14ac:dyDescent="0.2">
      <c r="A328">
        <v>6006</v>
      </c>
      <c r="B328">
        <v>1.49</v>
      </c>
      <c r="C328">
        <v>1.6</v>
      </c>
      <c r="D328">
        <v>1.6</v>
      </c>
      <c r="E328">
        <v>1.6</v>
      </c>
      <c r="F328">
        <v>1.6</v>
      </c>
      <c r="G328">
        <v>1.94</v>
      </c>
      <c r="H328">
        <v>0</v>
      </c>
      <c r="I328">
        <v>1</v>
      </c>
      <c r="J328">
        <v>1</v>
      </c>
      <c r="K328">
        <v>1</v>
      </c>
    </row>
    <row r="329" spans="1:11" x14ac:dyDescent="0.2">
      <c r="A329">
        <v>6007</v>
      </c>
      <c r="B329">
        <v>1.58</v>
      </c>
      <c r="C329">
        <v>1.7</v>
      </c>
      <c r="D329">
        <v>1.7</v>
      </c>
      <c r="E329">
        <v>1.7</v>
      </c>
      <c r="F329">
        <v>1.7</v>
      </c>
      <c r="G329">
        <v>1.98</v>
      </c>
      <c r="H329">
        <v>0</v>
      </c>
      <c r="I329">
        <v>1</v>
      </c>
      <c r="J329">
        <v>1</v>
      </c>
      <c r="K329">
        <v>1</v>
      </c>
    </row>
    <row r="330" spans="1:11" x14ac:dyDescent="0.2">
      <c r="A330">
        <v>6008</v>
      </c>
      <c r="B330">
        <v>1.67</v>
      </c>
      <c r="C330">
        <v>1.8</v>
      </c>
      <c r="D330">
        <v>1.8</v>
      </c>
      <c r="E330">
        <v>1.8</v>
      </c>
      <c r="F330">
        <v>1.8</v>
      </c>
      <c r="G330">
        <v>2.02</v>
      </c>
      <c r="H330">
        <v>0</v>
      </c>
      <c r="I330">
        <v>1</v>
      </c>
      <c r="J330">
        <v>1</v>
      </c>
      <c r="K330">
        <v>1</v>
      </c>
    </row>
    <row r="331" spans="1:11" x14ac:dyDescent="0.2">
      <c r="A331">
        <v>6009</v>
      </c>
      <c r="B331">
        <v>1.76</v>
      </c>
      <c r="C331">
        <v>1.9</v>
      </c>
      <c r="D331">
        <v>1.9</v>
      </c>
      <c r="E331">
        <v>1.9</v>
      </c>
      <c r="F331">
        <v>1.9</v>
      </c>
      <c r="G331">
        <v>2.06</v>
      </c>
      <c r="H331">
        <v>0</v>
      </c>
      <c r="I331">
        <v>1</v>
      </c>
      <c r="J331">
        <v>1</v>
      </c>
      <c r="K331">
        <v>1</v>
      </c>
    </row>
    <row r="332" spans="1:11" x14ac:dyDescent="0.2">
      <c r="A332">
        <v>6010</v>
      </c>
      <c r="B332">
        <v>1.85</v>
      </c>
      <c r="C332">
        <v>2</v>
      </c>
      <c r="D332">
        <v>2</v>
      </c>
      <c r="E332">
        <v>2</v>
      </c>
      <c r="F332">
        <v>2</v>
      </c>
      <c r="G332">
        <v>2.1</v>
      </c>
      <c r="H332">
        <v>0</v>
      </c>
      <c r="I332">
        <v>1</v>
      </c>
      <c r="J332">
        <v>1</v>
      </c>
      <c r="K332">
        <v>1</v>
      </c>
    </row>
    <row r="333" spans="1:11" x14ac:dyDescent="0.2">
      <c r="A333">
        <v>6100</v>
      </c>
      <c r="B333">
        <v>0.95</v>
      </c>
      <c r="C333">
        <v>1</v>
      </c>
      <c r="D333">
        <v>1</v>
      </c>
      <c r="E333">
        <v>1</v>
      </c>
      <c r="F333">
        <v>1</v>
      </c>
      <c r="G333">
        <v>1.3</v>
      </c>
      <c r="H333">
        <v>1.3</v>
      </c>
      <c r="I333">
        <v>1</v>
      </c>
      <c r="J333">
        <v>1</v>
      </c>
      <c r="K333">
        <v>1</v>
      </c>
    </row>
    <row r="334" spans="1:11" x14ac:dyDescent="0.2">
      <c r="A334">
        <v>6101</v>
      </c>
      <c r="B334">
        <v>1.03</v>
      </c>
      <c r="C334">
        <v>1.1000000000000001</v>
      </c>
      <c r="D334">
        <v>1.1000000000000001</v>
      </c>
      <c r="E334">
        <v>1.1000000000000001</v>
      </c>
      <c r="F334">
        <v>1.1000000000000001</v>
      </c>
      <c r="G334">
        <v>1.39</v>
      </c>
      <c r="H334">
        <v>1.39</v>
      </c>
      <c r="I334">
        <v>1</v>
      </c>
      <c r="J334">
        <v>1</v>
      </c>
      <c r="K334">
        <v>1</v>
      </c>
    </row>
    <row r="335" spans="1:11" x14ac:dyDescent="0.2">
      <c r="A335">
        <v>6102</v>
      </c>
      <c r="B335">
        <v>1.1100000000000001</v>
      </c>
      <c r="C335">
        <v>1.2</v>
      </c>
      <c r="D335">
        <v>1.2</v>
      </c>
      <c r="E335">
        <v>1.2</v>
      </c>
      <c r="F335">
        <v>1.2</v>
      </c>
      <c r="G335">
        <v>1.48</v>
      </c>
      <c r="H335">
        <v>1.48</v>
      </c>
      <c r="I335">
        <v>1</v>
      </c>
      <c r="J335">
        <v>1</v>
      </c>
      <c r="K335">
        <v>1</v>
      </c>
    </row>
    <row r="336" spans="1:11" x14ac:dyDescent="0.2">
      <c r="A336">
        <v>6103</v>
      </c>
      <c r="B336">
        <v>1.19</v>
      </c>
      <c r="C336">
        <v>1.3</v>
      </c>
      <c r="D336">
        <v>1.3</v>
      </c>
      <c r="E336">
        <v>1.3</v>
      </c>
      <c r="F336">
        <v>1.3</v>
      </c>
      <c r="G336">
        <v>1.57</v>
      </c>
      <c r="H336">
        <v>1.57</v>
      </c>
      <c r="I336">
        <v>1</v>
      </c>
      <c r="J336">
        <v>1</v>
      </c>
      <c r="K336">
        <v>1</v>
      </c>
    </row>
    <row r="337" spans="1:11" x14ac:dyDescent="0.2">
      <c r="A337">
        <v>6104</v>
      </c>
      <c r="B337">
        <v>1.27</v>
      </c>
      <c r="C337">
        <v>1.4</v>
      </c>
      <c r="D337">
        <v>1.4</v>
      </c>
      <c r="E337">
        <v>1.4</v>
      </c>
      <c r="F337">
        <v>1.4</v>
      </c>
      <c r="G337">
        <v>1.66</v>
      </c>
      <c r="H337">
        <v>1.66</v>
      </c>
      <c r="I337">
        <v>1</v>
      </c>
      <c r="J337">
        <v>1</v>
      </c>
      <c r="K337">
        <v>1</v>
      </c>
    </row>
    <row r="338" spans="1:11" x14ac:dyDescent="0.2">
      <c r="A338">
        <v>6105</v>
      </c>
      <c r="B338">
        <v>1.35</v>
      </c>
      <c r="C338">
        <v>1.5</v>
      </c>
      <c r="D338">
        <v>1.5</v>
      </c>
      <c r="E338">
        <v>1.5</v>
      </c>
      <c r="F338">
        <v>1.5</v>
      </c>
      <c r="G338">
        <v>1.68</v>
      </c>
      <c r="H338">
        <v>1.68</v>
      </c>
      <c r="I338">
        <v>1</v>
      </c>
      <c r="J338">
        <v>1</v>
      </c>
      <c r="K338">
        <v>1</v>
      </c>
    </row>
    <row r="339" spans="1:11" x14ac:dyDescent="0.2">
      <c r="A339">
        <v>6106</v>
      </c>
      <c r="B339">
        <v>1.43</v>
      </c>
      <c r="C339">
        <v>1.6</v>
      </c>
      <c r="D339">
        <v>1.6</v>
      </c>
      <c r="E339">
        <v>1.6</v>
      </c>
      <c r="F339">
        <v>1.6</v>
      </c>
      <c r="G339">
        <v>1.7</v>
      </c>
      <c r="H339">
        <v>1.7</v>
      </c>
      <c r="I339">
        <v>1</v>
      </c>
      <c r="J339">
        <v>1</v>
      </c>
      <c r="K339">
        <v>1</v>
      </c>
    </row>
    <row r="340" spans="1:11" x14ac:dyDescent="0.2">
      <c r="A340">
        <v>6107</v>
      </c>
      <c r="B340">
        <v>1.51</v>
      </c>
      <c r="C340">
        <v>1.7</v>
      </c>
      <c r="D340">
        <v>1.7</v>
      </c>
      <c r="E340">
        <v>1.7</v>
      </c>
      <c r="F340">
        <v>1.7</v>
      </c>
      <c r="G340">
        <v>1.72</v>
      </c>
      <c r="H340">
        <v>1.72</v>
      </c>
      <c r="I340">
        <v>1</v>
      </c>
      <c r="J340">
        <v>1</v>
      </c>
      <c r="K340">
        <v>1</v>
      </c>
    </row>
    <row r="341" spans="1:11" x14ac:dyDescent="0.2">
      <c r="A341">
        <v>6108</v>
      </c>
      <c r="B341">
        <v>1.59</v>
      </c>
      <c r="C341">
        <v>1.8</v>
      </c>
      <c r="D341">
        <v>1.8</v>
      </c>
      <c r="E341">
        <v>1.8</v>
      </c>
      <c r="F341">
        <v>1.8</v>
      </c>
      <c r="G341">
        <v>1.74</v>
      </c>
      <c r="H341">
        <v>1.74</v>
      </c>
      <c r="I341">
        <v>1</v>
      </c>
      <c r="J341">
        <v>1</v>
      </c>
      <c r="K341">
        <v>1</v>
      </c>
    </row>
    <row r="342" spans="1:11" x14ac:dyDescent="0.2">
      <c r="A342">
        <v>6109</v>
      </c>
      <c r="B342">
        <v>1.67</v>
      </c>
      <c r="C342">
        <v>1.9</v>
      </c>
      <c r="D342">
        <v>1.9</v>
      </c>
      <c r="E342">
        <v>1.9</v>
      </c>
      <c r="F342">
        <v>1.9</v>
      </c>
      <c r="G342">
        <v>1.76</v>
      </c>
      <c r="H342">
        <v>1.76</v>
      </c>
      <c r="I342">
        <v>1</v>
      </c>
      <c r="J342">
        <v>1</v>
      </c>
      <c r="K342">
        <v>1</v>
      </c>
    </row>
    <row r="343" spans="1:11" x14ac:dyDescent="0.2">
      <c r="A343">
        <v>6110</v>
      </c>
      <c r="B343">
        <v>1.75</v>
      </c>
      <c r="C343">
        <v>2</v>
      </c>
      <c r="D343">
        <v>2</v>
      </c>
      <c r="E343">
        <v>2</v>
      </c>
      <c r="F343">
        <v>2</v>
      </c>
      <c r="G343">
        <v>1.8</v>
      </c>
      <c r="H343">
        <v>1.8</v>
      </c>
      <c r="I343">
        <v>1</v>
      </c>
      <c r="J343">
        <v>1</v>
      </c>
      <c r="K343">
        <v>1</v>
      </c>
    </row>
    <row r="344" spans="1:11" x14ac:dyDescent="0.2">
      <c r="A344">
        <v>6200</v>
      </c>
      <c r="B344">
        <v>0.95</v>
      </c>
      <c r="C344">
        <v>1</v>
      </c>
      <c r="D344">
        <v>1</v>
      </c>
      <c r="E344">
        <v>1</v>
      </c>
      <c r="F344">
        <v>1</v>
      </c>
      <c r="G344">
        <v>1.5</v>
      </c>
      <c r="H344">
        <v>0</v>
      </c>
      <c r="I344">
        <v>1</v>
      </c>
      <c r="J344">
        <v>1</v>
      </c>
      <c r="K344">
        <v>1</v>
      </c>
    </row>
    <row r="345" spans="1:11" x14ac:dyDescent="0.2">
      <c r="A345">
        <v>6201</v>
      </c>
      <c r="B345">
        <v>1.04</v>
      </c>
      <c r="C345">
        <v>1.1000000000000001</v>
      </c>
      <c r="D345">
        <v>1.1000000000000001</v>
      </c>
      <c r="E345">
        <v>1.1000000000000001</v>
      </c>
      <c r="F345">
        <v>1.1000000000000001</v>
      </c>
      <c r="G345">
        <v>1.63</v>
      </c>
      <c r="H345">
        <v>0</v>
      </c>
      <c r="I345">
        <v>1</v>
      </c>
      <c r="J345">
        <v>1</v>
      </c>
      <c r="K345">
        <v>1</v>
      </c>
    </row>
    <row r="346" spans="1:11" x14ac:dyDescent="0.2">
      <c r="A346">
        <v>6202</v>
      </c>
      <c r="B346">
        <v>1.1299999999999999</v>
      </c>
      <c r="C346">
        <v>1.2</v>
      </c>
      <c r="D346">
        <v>1.2</v>
      </c>
      <c r="E346">
        <v>1.2</v>
      </c>
      <c r="F346">
        <v>1.2</v>
      </c>
      <c r="G346">
        <v>1.76</v>
      </c>
      <c r="H346">
        <v>0</v>
      </c>
      <c r="I346">
        <v>1</v>
      </c>
      <c r="J346">
        <v>1</v>
      </c>
      <c r="K346">
        <v>1</v>
      </c>
    </row>
    <row r="347" spans="1:11" x14ac:dyDescent="0.2">
      <c r="A347">
        <v>6203</v>
      </c>
      <c r="B347">
        <v>1.22</v>
      </c>
      <c r="C347">
        <v>1.3</v>
      </c>
      <c r="D347">
        <v>1.3</v>
      </c>
      <c r="E347">
        <v>1.3</v>
      </c>
      <c r="F347">
        <v>1.3</v>
      </c>
      <c r="G347">
        <v>1.89</v>
      </c>
      <c r="H347">
        <v>0</v>
      </c>
      <c r="I347">
        <v>1</v>
      </c>
      <c r="J347">
        <v>1</v>
      </c>
      <c r="K347">
        <v>1</v>
      </c>
    </row>
    <row r="348" spans="1:11" x14ac:dyDescent="0.2">
      <c r="A348">
        <v>6204</v>
      </c>
      <c r="B348">
        <v>1.31</v>
      </c>
      <c r="C348">
        <v>1.4</v>
      </c>
      <c r="D348">
        <v>1.4</v>
      </c>
      <c r="E348">
        <v>1.4</v>
      </c>
      <c r="F348">
        <v>1.4</v>
      </c>
      <c r="G348">
        <v>2.0299999999999998</v>
      </c>
      <c r="H348">
        <v>0</v>
      </c>
      <c r="I348">
        <v>1</v>
      </c>
      <c r="J348">
        <v>1</v>
      </c>
      <c r="K348">
        <v>1</v>
      </c>
    </row>
    <row r="349" spans="1:11" x14ac:dyDescent="0.2">
      <c r="A349">
        <v>6205</v>
      </c>
      <c r="B349">
        <v>1.4</v>
      </c>
      <c r="C349">
        <v>1.5</v>
      </c>
      <c r="D349">
        <v>1.5</v>
      </c>
      <c r="E349">
        <v>1.5</v>
      </c>
      <c r="F349">
        <v>1.5</v>
      </c>
      <c r="G349">
        <v>2.09</v>
      </c>
      <c r="H349">
        <v>0</v>
      </c>
      <c r="I349">
        <v>1</v>
      </c>
      <c r="J349">
        <v>1</v>
      </c>
      <c r="K349">
        <v>1</v>
      </c>
    </row>
    <row r="350" spans="1:11" x14ac:dyDescent="0.2">
      <c r="A350">
        <v>6206</v>
      </c>
      <c r="B350">
        <v>1.49</v>
      </c>
      <c r="C350">
        <v>1.6</v>
      </c>
      <c r="D350">
        <v>1.6</v>
      </c>
      <c r="E350">
        <v>1.6</v>
      </c>
      <c r="F350">
        <v>1.6</v>
      </c>
      <c r="G350">
        <v>2.15</v>
      </c>
      <c r="H350">
        <v>0</v>
      </c>
      <c r="I350">
        <v>1</v>
      </c>
      <c r="J350">
        <v>1</v>
      </c>
      <c r="K350">
        <v>1</v>
      </c>
    </row>
    <row r="351" spans="1:11" x14ac:dyDescent="0.2">
      <c r="A351">
        <v>6207</v>
      </c>
      <c r="B351">
        <v>1.58</v>
      </c>
      <c r="C351">
        <v>1.7</v>
      </c>
      <c r="D351">
        <v>1.7</v>
      </c>
      <c r="E351">
        <v>1.7</v>
      </c>
      <c r="F351">
        <v>1.7</v>
      </c>
      <c r="G351">
        <v>2.21</v>
      </c>
      <c r="H351">
        <v>0</v>
      </c>
      <c r="I351">
        <v>1</v>
      </c>
      <c r="J351">
        <v>1</v>
      </c>
      <c r="K351">
        <v>1</v>
      </c>
    </row>
    <row r="352" spans="1:11" x14ac:dyDescent="0.2">
      <c r="A352">
        <v>6208</v>
      </c>
      <c r="B352">
        <v>1.67</v>
      </c>
      <c r="C352">
        <v>1.8</v>
      </c>
      <c r="D352">
        <v>1.8</v>
      </c>
      <c r="E352">
        <v>1.8</v>
      </c>
      <c r="F352">
        <v>1.8</v>
      </c>
      <c r="G352">
        <v>2.27</v>
      </c>
      <c r="H352">
        <v>0</v>
      </c>
      <c r="I352">
        <v>1</v>
      </c>
      <c r="J352">
        <v>1</v>
      </c>
      <c r="K352">
        <v>1</v>
      </c>
    </row>
    <row r="353" spans="1:11" x14ac:dyDescent="0.2">
      <c r="A353">
        <v>6209</v>
      </c>
      <c r="B353">
        <v>1.76</v>
      </c>
      <c r="C353">
        <v>1.9</v>
      </c>
      <c r="D353">
        <v>1.9</v>
      </c>
      <c r="E353">
        <v>1.9</v>
      </c>
      <c r="F353">
        <v>1.9</v>
      </c>
      <c r="G353">
        <v>2.33</v>
      </c>
      <c r="H353">
        <v>0</v>
      </c>
      <c r="I353">
        <v>1</v>
      </c>
      <c r="J353">
        <v>1</v>
      </c>
      <c r="K353">
        <v>1</v>
      </c>
    </row>
    <row r="354" spans="1:11" x14ac:dyDescent="0.2">
      <c r="A354">
        <v>6210</v>
      </c>
      <c r="B354">
        <v>1.85</v>
      </c>
      <c r="C354">
        <v>2</v>
      </c>
      <c r="D354">
        <v>2</v>
      </c>
      <c r="E354">
        <v>2</v>
      </c>
      <c r="F354">
        <v>2</v>
      </c>
      <c r="G354">
        <v>2.4</v>
      </c>
      <c r="H354">
        <v>0</v>
      </c>
      <c r="I354">
        <v>1</v>
      </c>
      <c r="J354">
        <v>1</v>
      </c>
      <c r="K354">
        <v>1</v>
      </c>
    </row>
    <row r="355" spans="1:11" x14ac:dyDescent="0.2">
      <c r="A355">
        <v>6300</v>
      </c>
      <c r="B355">
        <v>0.95</v>
      </c>
      <c r="C355">
        <v>1</v>
      </c>
      <c r="D355">
        <v>1</v>
      </c>
      <c r="E355">
        <v>1</v>
      </c>
      <c r="F355">
        <v>1</v>
      </c>
      <c r="G355">
        <v>0.95</v>
      </c>
      <c r="H355">
        <v>1.5</v>
      </c>
      <c r="I355">
        <v>1</v>
      </c>
      <c r="J355">
        <v>1</v>
      </c>
      <c r="K355">
        <v>1</v>
      </c>
    </row>
    <row r="356" spans="1:11" x14ac:dyDescent="0.2">
      <c r="A356">
        <v>6301</v>
      </c>
      <c r="B356">
        <v>1.04</v>
      </c>
      <c r="C356">
        <v>1.1000000000000001</v>
      </c>
      <c r="D356">
        <v>1.1000000000000001</v>
      </c>
      <c r="E356">
        <v>1.1000000000000001</v>
      </c>
      <c r="F356">
        <v>1.1000000000000001</v>
      </c>
      <c r="G356">
        <v>0.98</v>
      </c>
      <c r="H356">
        <v>1.61</v>
      </c>
      <c r="I356">
        <v>1.07</v>
      </c>
      <c r="J356">
        <v>1.07</v>
      </c>
      <c r="K356">
        <v>1</v>
      </c>
    </row>
    <row r="357" spans="1:11" x14ac:dyDescent="0.2">
      <c r="A357">
        <v>6302</v>
      </c>
      <c r="B357">
        <v>1.1299999999999999</v>
      </c>
      <c r="C357">
        <v>1.2</v>
      </c>
      <c r="D357">
        <v>1.2</v>
      </c>
      <c r="E357">
        <v>1.2</v>
      </c>
      <c r="F357">
        <v>1.2</v>
      </c>
      <c r="G357">
        <v>1.01</v>
      </c>
      <c r="H357">
        <v>1.72</v>
      </c>
      <c r="I357">
        <v>1.1399999999999999</v>
      </c>
      <c r="J357">
        <v>1.1399999999999999</v>
      </c>
      <c r="K357">
        <v>1</v>
      </c>
    </row>
    <row r="358" spans="1:11" x14ac:dyDescent="0.2">
      <c r="A358">
        <v>6303</v>
      </c>
      <c r="B358">
        <v>1.22</v>
      </c>
      <c r="C358">
        <v>1.3</v>
      </c>
      <c r="D358">
        <v>1.3</v>
      </c>
      <c r="E358">
        <v>1.3</v>
      </c>
      <c r="F358">
        <v>1.3</v>
      </c>
      <c r="G358">
        <v>1.04</v>
      </c>
      <c r="H358">
        <v>1.83</v>
      </c>
      <c r="I358">
        <v>1.21</v>
      </c>
      <c r="J358">
        <v>1.21</v>
      </c>
      <c r="K358">
        <v>1</v>
      </c>
    </row>
    <row r="359" spans="1:11" x14ac:dyDescent="0.2">
      <c r="A359">
        <v>6304</v>
      </c>
      <c r="B359">
        <v>1.31</v>
      </c>
      <c r="C359">
        <v>1.4</v>
      </c>
      <c r="D359">
        <v>1.4</v>
      </c>
      <c r="E359">
        <v>1.4</v>
      </c>
      <c r="F359">
        <v>1.4</v>
      </c>
      <c r="G359">
        <v>1.06</v>
      </c>
      <c r="H359">
        <v>1.93</v>
      </c>
      <c r="I359">
        <v>1.29</v>
      </c>
      <c r="J359">
        <v>1.29</v>
      </c>
      <c r="K359">
        <v>1</v>
      </c>
    </row>
    <row r="360" spans="1:11" x14ac:dyDescent="0.2">
      <c r="A360">
        <v>6305</v>
      </c>
      <c r="B360">
        <v>1.4</v>
      </c>
      <c r="C360">
        <v>1.5</v>
      </c>
      <c r="D360">
        <v>1.5</v>
      </c>
      <c r="E360">
        <v>1.5</v>
      </c>
      <c r="F360">
        <v>1.5</v>
      </c>
      <c r="G360">
        <v>1.07</v>
      </c>
      <c r="H360">
        <v>1.96</v>
      </c>
      <c r="I360">
        <v>1.31</v>
      </c>
      <c r="J360">
        <v>1.31</v>
      </c>
      <c r="K360">
        <v>1</v>
      </c>
    </row>
    <row r="361" spans="1:11" x14ac:dyDescent="0.2">
      <c r="A361">
        <v>6306</v>
      </c>
      <c r="B361">
        <v>1.49</v>
      </c>
      <c r="C361">
        <v>1.6</v>
      </c>
      <c r="D361">
        <v>1.6</v>
      </c>
      <c r="E361">
        <v>1.6</v>
      </c>
      <c r="F361">
        <v>1.6</v>
      </c>
      <c r="G361">
        <v>1.08</v>
      </c>
      <c r="H361">
        <v>1.99</v>
      </c>
      <c r="I361">
        <v>1.33</v>
      </c>
      <c r="J361">
        <v>1.33</v>
      </c>
      <c r="K361">
        <v>1</v>
      </c>
    </row>
    <row r="362" spans="1:11" x14ac:dyDescent="0.2">
      <c r="A362">
        <v>6307</v>
      </c>
      <c r="B362">
        <v>1.58</v>
      </c>
      <c r="C362">
        <v>1.7</v>
      </c>
      <c r="D362">
        <v>1.7</v>
      </c>
      <c r="E362">
        <v>1.7</v>
      </c>
      <c r="F362">
        <v>1.7</v>
      </c>
      <c r="G362">
        <v>1.0900000000000001</v>
      </c>
      <c r="H362">
        <v>2.02</v>
      </c>
      <c r="I362">
        <v>1.35</v>
      </c>
      <c r="J362">
        <v>1.35</v>
      </c>
      <c r="K362">
        <v>1</v>
      </c>
    </row>
    <row r="363" spans="1:11" x14ac:dyDescent="0.2">
      <c r="A363">
        <v>6308</v>
      </c>
      <c r="B363">
        <v>1.67</v>
      </c>
      <c r="C363">
        <v>1.8</v>
      </c>
      <c r="D363">
        <v>1.8</v>
      </c>
      <c r="E363">
        <v>1.8</v>
      </c>
      <c r="F363">
        <v>1.8</v>
      </c>
      <c r="G363">
        <v>1.1000000000000001</v>
      </c>
      <c r="H363">
        <v>2.0499999999999998</v>
      </c>
      <c r="I363">
        <v>1.37</v>
      </c>
      <c r="J363">
        <v>1.37</v>
      </c>
      <c r="K363">
        <v>1</v>
      </c>
    </row>
    <row r="364" spans="1:11" x14ac:dyDescent="0.2">
      <c r="A364">
        <v>6309</v>
      </c>
      <c r="B364">
        <v>1.76</v>
      </c>
      <c r="C364">
        <v>1.9</v>
      </c>
      <c r="D364">
        <v>1.9</v>
      </c>
      <c r="E364">
        <v>1.9</v>
      </c>
      <c r="F364">
        <v>1.9</v>
      </c>
      <c r="G364">
        <v>1.1100000000000001</v>
      </c>
      <c r="H364">
        <v>2.08</v>
      </c>
      <c r="I364">
        <v>1.39</v>
      </c>
      <c r="J364">
        <v>1.39</v>
      </c>
      <c r="K364">
        <v>1</v>
      </c>
    </row>
    <row r="365" spans="1:11" x14ac:dyDescent="0.2">
      <c r="A365">
        <v>6310</v>
      </c>
      <c r="B365">
        <v>1.85</v>
      </c>
      <c r="C365">
        <v>2</v>
      </c>
      <c r="D365">
        <v>2</v>
      </c>
      <c r="E365">
        <v>2</v>
      </c>
      <c r="F365">
        <v>2</v>
      </c>
      <c r="G365">
        <v>1.1000000000000001</v>
      </c>
      <c r="H365">
        <v>2.1</v>
      </c>
      <c r="I365">
        <v>1.4</v>
      </c>
      <c r="J365">
        <v>1.4</v>
      </c>
      <c r="K365">
        <v>1</v>
      </c>
    </row>
    <row r="366" spans="1:11" x14ac:dyDescent="0.2">
      <c r="A366">
        <v>7000</v>
      </c>
      <c r="B366">
        <v>0.98</v>
      </c>
      <c r="C366">
        <v>1</v>
      </c>
      <c r="D366">
        <v>1</v>
      </c>
      <c r="E366">
        <v>1</v>
      </c>
      <c r="F366">
        <v>1</v>
      </c>
      <c r="G366">
        <v>1.6</v>
      </c>
      <c r="H366">
        <v>0</v>
      </c>
      <c r="I366">
        <v>1</v>
      </c>
      <c r="J366">
        <v>1</v>
      </c>
      <c r="K366">
        <v>1</v>
      </c>
    </row>
    <row r="367" spans="1:11" x14ac:dyDescent="0.2">
      <c r="A367">
        <v>7001</v>
      </c>
      <c r="B367">
        <v>1.0669999999999999</v>
      </c>
      <c r="C367">
        <v>1.1000000000000001</v>
      </c>
      <c r="D367">
        <v>1.1000000000000001</v>
      </c>
      <c r="E367">
        <v>1.1000000000000001</v>
      </c>
      <c r="F367">
        <v>1.1000000000000001</v>
      </c>
      <c r="G367">
        <v>1.66</v>
      </c>
      <c r="H367">
        <v>0</v>
      </c>
      <c r="I367">
        <v>1.05</v>
      </c>
      <c r="J367">
        <v>1.05</v>
      </c>
      <c r="K367">
        <v>1</v>
      </c>
    </row>
    <row r="368" spans="1:11" x14ac:dyDescent="0.2">
      <c r="A368">
        <v>7002</v>
      </c>
      <c r="B368">
        <v>1.1539999999999999</v>
      </c>
      <c r="C368">
        <v>1.2</v>
      </c>
      <c r="D368">
        <v>1.2</v>
      </c>
      <c r="E368">
        <v>1.2</v>
      </c>
      <c r="F368">
        <v>1.2</v>
      </c>
      <c r="G368">
        <v>1.72</v>
      </c>
      <c r="H368">
        <v>0</v>
      </c>
      <c r="I368">
        <v>1.1000000000000001</v>
      </c>
      <c r="J368">
        <v>1.1000000000000001</v>
      </c>
      <c r="K368">
        <v>1</v>
      </c>
    </row>
    <row r="369" spans="1:11" x14ac:dyDescent="0.2">
      <c r="A369">
        <v>7003</v>
      </c>
      <c r="B369">
        <v>1.2410000000000001</v>
      </c>
      <c r="C369">
        <v>1.3</v>
      </c>
      <c r="D369">
        <v>1.3</v>
      </c>
      <c r="E369">
        <v>1.3</v>
      </c>
      <c r="F369">
        <v>1.3</v>
      </c>
      <c r="G369">
        <v>1.78</v>
      </c>
      <c r="H369">
        <v>0</v>
      </c>
      <c r="I369">
        <v>1.1499999999999999</v>
      </c>
      <c r="J369">
        <v>1.1499999999999999</v>
      </c>
      <c r="K369">
        <v>1</v>
      </c>
    </row>
    <row r="370" spans="1:11" x14ac:dyDescent="0.2">
      <c r="A370">
        <v>7004</v>
      </c>
      <c r="B370">
        <v>1.3280000000000001</v>
      </c>
      <c r="C370">
        <v>1.4</v>
      </c>
      <c r="D370">
        <v>1.4</v>
      </c>
      <c r="E370">
        <v>1.4</v>
      </c>
      <c r="F370">
        <v>1.4</v>
      </c>
      <c r="G370">
        <v>1.85</v>
      </c>
      <c r="H370">
        <v>0</v>
      </c>
      <c r="I370">
        <v>1.2</v>
      </c>
      <c r="J370">
        <v>1.2</v>
      </c>
      <c r="K370">
        <v>1</v>
      </c>
    </row>
    <row r="371" spans="1:11" x14ac:dyDescent="0.2">
      <c r="A371">
        <v>7005</v>
      </c>
      <c r="B371">
        <v>1.415</v>
      </c>
      <c r="C371">
        <v>1.5</v>
      </c>
      <c r="D371">
        <v>1.5</v>
      </c>
      <c r="E371">
        <v>1.5</v>
      </c>
      <c r="F371">
        <v>1.5</v>
      </c>
      <c r="G371">
        <v>1.89</v>
      </c>
      <c r="H371">
        <v>0</v>
      </c>
      <c r="I371">
        <v>1.23</v>
      </c>
      <c r="J371">
        <v>1.23</v>
      </c>
      <c r="K371">
        <v>1</v>
      </c>
    </row>
    <row r="372" spans="1:11" x14ac:dyDescent="0.2">
      <c r="A372">
        <v>7006</v>
      </c>
      <c r="B372">
        <v>1.502</v>
      </c>
      <c r="C372">
        <v>1.6</v>
      </c>
      <c r="D372">
        <v>1.6</v>
      </c>
      <c r="E372">
        <v>1.6</v>
      </c>
      <c r="F372">
        <v>1.6</v>
      </c>
      <c r="G372">
        <v>1.93</v>
      </c>
      <c r="H372">
        <v>0</v>
      </c>
      <c r="I372">
        <v>1.26</v>
      </c>
      <c r="J372">
        <v>1.26</v>
      </c>
      <c r="K372">
        <v>1</v>
      </c>
    </row>
    <row r="373" spans="1:11" x14ac:dyDescent="0.2">
      <c r="A373">
        <v>7007</v>
      </c>
      <c r="B373">
        <v>1.589</v>
      </c>
      <c r="C373">
        <v>1.7</v>
      </c>
      <c r="D373">
        <v>1.7</v>
      </c>
      <c r="E373">
        <v>1.7</v>
      </c>
      <c r="F373">
        <v>1.7</v>
      </c>
      <c r="G373">
        <v>1.97</v>
      </c>
      <c r="H373">
        <v>0</v>
      </c>
      <c r="I373">
        <v>1.29</v>
      </c>
      <c r="J373">
        <v>1.29</v>
      </c>
      <c r="K373">
        <v>1</v>
      </c>
    </row>
    <row r="374" spans="1:11" x14ac:dyDescent="0.2">
      <c r="A374">
        <v>7008</v>
      </c>
      <c r="B374">
        <v>1.6759999999999999</v>
      </c>
      <c r="C374">
        <v>1.8</v>
      </c>
      <c r="D374">
        <v>1.8</v>
      </c>
      <c r="E374">
        <v>1.8</v>
      </c>
      <c r="F374">
        <v>1.8</v>
      </c>
      <c r="G374">
        <v>2.0099999999999998</v>
      </c>
      <c r="H374">
        <v>0</v>
      </c>
      <c r="I374">
        <v>1.32</v>
      </c>
      <c r="J374">
        <v>1.32</v>
      </c>
      <c r="K374">
        <v>1</v>
      </c>
    </row>
    <row r="375" spans="1:11" x14ac:dyDescent="0.2">
      <c r="A375">
        <v>7009</v>
      </c>
      <c r="B375">
        <v>1.7629999999999999</v>
      </c>
      <c r="C375">
        <v>1.9</v>
      </c>
      <c r="D375">
        <v>1.9</v>
      </c>
      <c r="E375">
        <v>1.9</v>
      </c>
      <c r="F375">
        <v>1.9</v>
      </c>
      <c r="G375">
        <v>2.0499999999999998</v>
      </c>
      <c r="H375">
        <v>0</v>
      </c>
      <c r="I375">
        <v>1.35</v>
      </c>
      <c r="J375">
        <v>1.35</v>
      </c>
      <c r="K375">
        <v>1</v>
      </c>
    </row>
    <row r="376" spans="1:11" x14ac:dyDescent="0.2">
      <c r="A376">
        <v>7010</v>
      </c>
      <c r="B376">
        <v>1.85</v>
      </c>
      <c r="C376">
        <v>2</v>
      </c>
      <c r="D376">
        <v>2</v>
      </c>
      <c r="E376">
        <v>2</v>
      </c>
      <c r="F376">
        <v>2</v>
      </c>
      <c r="G376">
        <v>2.1</v>
      </c>
      <c r="H376">
        <v>0</v>
      </c>
      <c r="I376">
        <v>1.4</v>
      </c>
      <c r="J376">
        <v>1.4</v>
      </c>
      <c r="K376">
        <v>1</v>
      </c>
    </row>
    <row r="377" spans="1:11" x14ac:dyDescent="0.2">
      <c r="A377">
        <v>8000</v>
      </c>
      <c r="B377">
        <v>1</v>
      </c>
      <c r="C377">
        <v>1</v>
      </c>
      <c r="D377">
        <v>1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</row>
    <row r="378" spans="1:11" x14ac:dyDescent="0.2">
      <c r="A378">
        <v>8001</v>
      </c>
      <c r="B378">
        <v>1.1000000000000001</v>
      </c>
      <c r="C378">
        <v>1.1000000000000001</v>
      </c>
      <c r="D378">
        <v>1.1000000000000001</v>
      </c>
      <c r="E378">
        <v>1.1000000000000001</v>
      </c>
      <c r="F378">
        <v>1.1000000000000001</v>
      </c>
      <c r="G378">
        <v>1.05</v>
      </c>
      <c r="H378">
        <v>1.05</v>
      </c>
      <c r="I378">
        <v>1.05</v>
      </c>
      <c r="J378">
        <v>1.05</v>
      </c>
      <c r="K378">
        <v>1.05</v>
      </c>
    </row>
    <row r="379" spans="1:11" x14ac:dyDescent="0.2">
      <c r="A379">
        <v>8002</v>
      </c>
      <c r="B379">
        <v>1.2</v>
      </c>
      <c r="C379">
        <v>1.2</v>
      </c>
      <c r="D379">
        <v>1.2</v>
      </c>
      <c r="E379">
        <v>1.2</v>
      </c>
      <c r="F379">
        <v>1.2</v>
      </c>
      <c r="G379">
        <v>1.1000000000000001</v>
      </c>
      <c r="H379">
        <v>1.1000000000000001</v>
      </c>
      <c r="I379">
        <v>1.1000000000000001</v>
      </c>
      <c r="J379">
        <v>1.1000000000000001</v>
      </c>
      <c r="K379">
        <v>1.1000000000000001</v>
      </c>
    </row>
    <row r="380" spans="1:11" x14ac:dyDescent="0.2">
      <c r="A380">
        <v>8003</v>
      </c>
      <c r="B380">
        <v>1.3</v>
      </c>
      <c r="C380">
        <v>1.3</v>
      </c>
      <c r="D380">
        <v>1.3</v>
      </c>
      <c r="E380">
        <v>1.3</v>
      </c>
      <c r="F380">
        <v>1.3</v>
      </c>
      <c r="G380">
        <v>1.1499999999999999</v>
      </c>
      <c r="H380">
        <v>1.1499999999999999</v>
      </c>
      <c r="I380">
        <v>1.1499999999999999</v>
      </c>
      <c r="J380">
        <v>1.1499999999999999</v>
      </c>
      <c r="K380">
        <v>1.1499999999999999</v>
      </c>
    </row>
    <row r="381" spans="1:11" x14ac:dyDescent="0.2">
      <c r="A381">
        <v>8004</v>
      </c>
      <c r="B381">
        <v>1.4</v>
      </c>
      <c r="C381">
        <v>1.4</v>
      </c>
      <c r="D381">
        <v>1.4</v>
      </c>
      <c r="E381">
        <v>1.4</v>
      </c>
      <c r="F381">
        <v>1.4</v>
      </c>
      <c r="G381">
        <v>1.2</v>
      </c>
      <c r="H381">
        <v>1.2</v>
      </c>
      <c r="I381">
        <v>1.2</v>
      </c>
      <c r="J381">
        <v>1.2</v>
      </c>
      <c r="K381">
        <v>1.2</v>
      </c>
    </row>
    <row r="382" spans="1:11" x14ac:dyDescent="0.2">
      <c r="A382">
        <v>8005</v>
      </c>
      <c r="B382">
        <v>1.5</v>
      </c>
      <c r="C382">
        <v>1.5</v>
      </c>
      <c r="D382">
        <v>1.5</v>
      </c>
      <c r="E382">
        <v>1.5</v>
      </c>
      <c r="F382">
        <v>1.5</v>
      </c>
      <c r="G382">
        <v>1.23</v>
      </c>
      <c r="H382">
        <v>1.23</v>
      </c>
      <c r="I382">
        <v>1.23</v>
      </c>
      <c r="J382">
        <v>1.23</v>
      </c>
      <c r="K382">
        <v>1.23</v>
      </c>
    </row>
    <row r="383" spans="1:11" x14ac:dyDescent="0.2">
      <c r="A383">
        <v>8006</v>
      </c>
      <c r="B383">
        <v>1.6</v>
      </c>
      <c r="C383">
        <v>1.6</v>
      </c>
      <c r="D383">
        <v>1.6</v>
      </c>
      <c r="E383">
        <v>1.6</v>
      </c>
      <c r="F383">
        <v>1.6</v>
      </c>
      <c r="G383">
        <v>1.26</v>
      </c>
      <c r="H383">
        <v>1.26</v>
      </c>
      <c r="I383">
        <v>1.26</v>
      </c>
      <c r="J383">
        <v>1.26</v>
      </c>
      <c r="K383">
        <v>1.26</v>
      </c>
    </row>
    <row r="384" spans="1:11" x14ac:dyDescent="0.2">
      <c r="A384">
        <v>8007</v>
      </c>
      <c r="B384">
        <v>1.7</v>
      </c>
      <c r="C384">
        <v>1.7</v>
      </c>
      <c r="D384">
        <v>1.7</v>
      </c>
      <c r="E384">
        <v>1.7</v>
      </c>
      <c r="F384">
        <v>1.7</v>
      </c>
      <c r="G384">
        <v>1.29</v>
      </c>
      <c r="H384">
        <v>1.29</v>
      </c>
      <c r="I384">
        <v>1.29</v>
      </c>
      <c r="J384">
        <v>1.29</v>
      </c>
      <c r="K384">
        <v>1.29</v>
      </c>
    </row>
    <row r="385" spans="1:11" x14ac:dyDescent="0.2">
      <c r="A385">
        <v>8008</v>
      </c>
      <c r="B385">
        <v>1.8</v>
      </c>
      <c r="C385">
        <v>1.8</v>
      </c>
      <c r="D385">
        <v>1.8</v>
      </c>
      <c r="E385">
        <v>1.8</v>
      </c>
      <c r="F385">
        <v>1.8</v>
      </c>
      <c r="G385">
        <v>1.32</v>
      </c>
      <c r="H385">
        <v>1.32</v>
      </c>
      <c r="I385">
        <v>1.32</v>
      </c>
      <c r="J385">
        <v>1.32</v>
      </c>
      <c r="K385">
        <v>1.32</v>
      </c>
    </row>
    <row r="386" spans="1:11" x14ac:dyDescent="0.2">
      <c r="A386">
        <v>8009</v>
      </c>
      <c r="B386">
        <v>1.9</v>
      </c>
      <c r="C386">
        <v>1.9</v>
      </c>
      <c r="D386">
        <v>1.9</v>
      </c>
      <c r="E386">
        <v>1.9</v>
      </c>
      <c r="F386">
        <v>1.9</v>
      </c>
      <c r="G386">
        <v>1.35</v>
      </c>
      <c r="H386">
        <v>1.35</v>
      </c>
      <c r="I386">
        <v>1.35</v>
      </c>
      <c r="J386">
        <v>1.35</v>
      </c>
      <c r="K386">
        <v>1.35</v>
      </c>
    </row>
    <row r="387" spans="1:11" x14ac:dyDescent="0.2">
      <c r="A387">
        <v>8010</v>
      </c>
      <c r="B387">
        <v>2</v>
      </c>
      <c r="C387">
        <v>2</v>
      </c>
      <c r="D387">
        <v>2</v>
      </c>
      <c r="E387">
        <v>2</v>
      </c>
      <c r="F387">
        <v>2</v>
      </c>
      <c r="G387">
        <v>1.4</v>
      </c>
      <c r="H387">
        <v>1.4</v>
      </c>
      <c r="I387">
        <v>1.4</v>
      </c>
      <c r="J387">
        <v>1.4</v>
      </c>
      <c r="K387">
        <v>1.4</v>
      </c>
    </row>
    <row r="388" spans="1:11" x14ac:dyDescent="0.2">
      <c r="A388">
        <v>8100</v>
      </c>
      <c r="B388">
        <v>1</v>
      </c>
      <c r="C388">
        <v>1</v>
      </c>
      <c r="D388">
        <v>1</v>
      </c>
      <c r="E388">
        <v>1</v>
      </c>
      <c r="F388">
        <v>1</v>
      </c>
      <c r="G388">
        <v>1</v>
      </c>
      <c r="H388">
        <v>1</v>
      </c>
      <c r="I388">
        <v>1</v>
      </c>
      <c r="J388">
        <v>1</v>
      </c>
      <c r="K388">
        <v>1</v>
      </c>
    </row>
    <row r="389" spans="1:11" x14ac:dyDescent="0.2">
      <c r="A389">
        <v>8101</v>
      </c>
      <c r="B389">
        <v>1.1000000000000001</v>
      </c>
      <c r="C389">
        <v>1.1000000000000001</v>
      </c>
      <c r="D389">
        <v>1.1000000000000001</v>
      </c>
      <c r="E389">
        <v>1.1000000000000001</v>
      </c>
      <c r="F389">
        <v>1.1000000000000001</v>
      </c>
      <c r="G389">
        <v>1.05</v>
      </c>
      <c r="H389">
        <v>1.05</v>
      </c>
      <c r="I389">
        <v>1.05</v>
      </c>
      <c r="J389">
        <v>1.05</v>
      </c>
      <c r="K389">
        <v>1.05</v>
      </c>
    </row>
    <row r="390" spans="1:11" x14ac:dyDescent="0.2">
      <c r="A390">
        <v>8102</v>
      </c>
      <c r="B390">
        <v>1.2</v>
      </c>
      <c r="C390">
        <v>1.2</v>
      </c>
      <c r="D390">
        <v>1.2</v>
      </c>
      <c r="E390">
        <v>1.2</v>
      </c>
      <c r="F390">
        <v>1.2</v>
      </c>
      <c r="G390">
        <v>1.1000000000000001</v>
      </c>
      <c r="H390">
        <v>1.1000000000000001</v>
      </c>
      <c r="I390">
        <v>1.1000000000000001</v>
      </c>
      <c r="J390">
        <v>1.1000000000000001</v>
      </c>
      <c r="K390">
        <v>1.1000000000000001</v>
      </c>
    </row>
    <row r="391" spans="1:11" x14ac:dyDescent="0.2">
      <c r="A391">
        <v>8103</v>
      </c>
      <c r="B391">
        <v>1.3</v>
      </c>
      <c r="C391">
        <v>1.3</v>
      </c>
      <c r="D391">
        <v>1.3</v>
      </c>
      <c r="E391">
        <v>1.3</v>
      </c>
      <c r="F391">
        <v>1.3</v>
      </c>
      <c r="G391">
        <v>1.1499999999999999</v>
      </c>
      <c r="H391">
        <v>1.1499999999999999</v>
      </c>
      <c r="I391">
        <v>1.1499999999999999</v>
      </c>
      <c r="J391">
        <v>1.1499999999999999</v>
      </c>
      <c r="K391">
        <v>1.1499999999999999</v>
      </c>
    </row>
    <row r="392" spans="1:11" x14ac:dyDescent="0.2">
      <c r="A392">
        <v>8104</v>
      </c>
      <c r="B392">
        <v>1.4</v>
      </c>
      <c r="C392">
        <v>1.4</v>
      </c>
      <c r="D392">
        <v>1.4</v>
      </c>
      <c r="E392">
        <v>1.4</v>
      </c>
      <c r="F392">
        <v>1.4</v>
      </c>
      <c r="G392">
        <v>1.2</v>
      </c>
      <c r="H392">
        <v>1.2</v>
      </c>
      <c r="I392">
        <v>1.2</v>
      </c>
      <c r="J392">
        <v>1.2</v>
      </c>
      <c r="K392">
        <v>1.2</v>
      </c>
    </row>
    <row r="393" spans="1:11" x14ac:dyDescent="0.2">
      <c r="A393">
        <v>8105</v>
      </c>
      <c r="B393">
        <v>1.5</v>
      </c>
      <c r="C393">
        <v>1.5</v>
      </c>
      <c r="D393">
        <v>1.5</v>
      </c>
      <c r="E393">
        <v>1.5</v>
      </c>
      <c r="F393">
        <v>1.5</v>
      </c>
      <c r="G393">
        <v>1.23</v>
      </c>
      <c r="H393">
        <v>1.23</v>
      </c>
      <c r="I393">
        <v>1.23</v>
      </c>
      <c r="J393">
        <v>1.23</v>
      </c>
      <c r="K393">
        <v>1.23</v>
      </c>
    </row>
    <row r="394" spans="1:11" x14ac:dyDescent="0.2">
      <c r="A394">
        <v>8106</v>
      </c>
      <c r="B394">
        <v>1.6</v>
      </c>
      <c r="C394">
        <v>1.6</v>
      </c>
      <c r="D394">
        <v>1.6</v>
      </c>
      <c r="E394">
        <v>1.6</v>
      </c>
      <c r="F394">
        <v>1.6</v>
      </c>
      <c r="G394">
        <v>1.26</v>
      </c>
      <c r="H394">
        <v>1.26</v>
      </c>
      <c r="I394">
        <v>1.26</v>
      </c>
      <c r="J394">
        <v>1.26</v>
      </c>
      <c r="K394">
        <v>1.26</v>
      </c>
    </row>
    <row r="395" spans="1:11" x14ac:dyDescent="0.2">
      <c r="A395">
        <v>8107</v>
      </c>
      <c r="B395">
        <v>1.7</v>
      </c>
      <c r="C395">
        <v>1.7</v>
      </c>
      <c r="D395">
        <v>1.7</v>
      </c>
      <c r="E395">
        <v>1.7</v>
      </c>
      <c r="F395">
        <v>1.7</v>
      </c>
      <c r="G395">
        <v>1.29</v>
      </c>
      <c r="H395">
        <v>1.29</v>
      </c>
      <c r="I395">
        <v>1.29</v>
      </c>
      <c r="J395">
        <v>1.29</v>
      </c>
      <c r="K395">
        <v>1.29</v>
      </c>
    </row>
    <row r="396" spans="1:11" x14ac:dyDescent="0.2">
      <c r="A396">
        <v>8108</v>
      </c>
      <c r="B396">
        <v>1.8</v>
      </c>
      <c r="C396">
        <v>1.8</v>
      </c>
      <c r="D396">
        <v>1.8</v>
      </c>
      <c r="E396">
        <v>1.8</v>
      </c>
      <c r="F396">
        <v>1.8</v>
      </c>
      <c r="G396">
        <v>1.32</v>
      </c>
      <c r="H396">
        <v>1.32</v>
      </c>
      <c r="I396">
        <v>1.32</v>
      </c>
      <c r="J396">
        <v>1.32</v>
      </c>
      <c r="K396">
        <v>1.32</v>
      </c>
    </row>
    <row r="397" spans="1:11" x14ac:dyDescent="0.2">
      <c r="A397">
        <v>8109</v>
      </c>
      <c r="B397">
        <v>1.9</v>
      </c>
      <c r="C397">
        <v>1.9</v>
      </c>
      <c r="D397">
        <v>1.9</v>
      </c>
      <c r="E397">
        <v>1.9</v>
      </c>
      <c r="F397">
        <v>1.9</v>
      </c>
      <c r="G397">
        <v>1.35</v>
      </c>
      <c r="H397">
        <v>1.35</v>
      </c>
      <c r="I397">
        <v>1.35</v>
      </c>
      <c r="J397">
        <v>1.35</v>
      </c>
      <c r="K397">
        <v>1.35</v>
      </c>
    </row>
    <row r="398" spans="1:11" x14ac:dyDescent="0.2">
      <c r="A398">
        <v>8110</v>
      </c>
      <c r="B398">
        <v>2</v>
      </c>
      <c r="C398">
        <v>2</v>
      </c>
      <c r="D398">
        <v>2</v>
      </c>
      <c r="E398">
        <v>2</v>
      </c>
      <c r="F398">
        <v>2</v>
      </c>
      <c r="G398">
        <v>1.4</v>
      </c>
      <c r="H398">
        <v>1.4</v>
      </c>
      <c r="I398">
        <v>1.4</v>
      </c>
      <c r="J398">
        <v>1.4</v>
      </c>
      <c r="K398">
        <v>1.4</v>
      </c>
    </row>
    <row r="399" spans="1:11" x14ac:dyDescent="0.2">
      <c r="A399">
        <v>8200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H399">
        <v>1</v>
      </c>
      <c r="I399">
        <v>1</v>
      </c>
      <c r="J399">
        <v>1</v>
      </c>
      <c r="K399">
        <v>1</v>
      </c>
    </row>
    <row r="400" spans="1:11" x14ac:dyDescent="0.2">
      <c r="A400">
        <v>8201</v>
      </c>
      <c r="B400">
        <v>1.1000000000000001</v>
      </c>
      <c r="C400">
        <v>1.1000000000000001</v>
      </c>
      <c r="D400">
        <v>1.1000000000000001</v>
      </c>
      <c r="E400">
        <v>1.1000000000000001</v>
      </c>
      <c r="F400">
        <v>1.1000000000000001</v>
      </c>
      <c r="G400">
        <v>1.05</v>
      </c>
      <c r="H400">
        <v>1.05</v>
      </c>
      <c r="I400">
        <v>1.05</v>
      </c>
      <c r="J400">
        <v>1.05</v>
      </c>
      <c r="K400">
        <v>1.05</v>
      </c>
    </row>
    <row r="401" spans="1:11" x14ac:dyDescent="0.2">
      <c r="A401">
        <v>8202</v>
      </c>
      <c r="B401">
        <v>1.2</v>
      </c>
      <c r="C401">
        <v>1.2</v>
      </c>
      <c r="D401">
        <v>1.2</v>
      </c>
      <c r="E401">
        <v>1.2</v>
      </c>
      <c r="F401">
        <v>1.2</v>
      </c>
      <c r="G401">
        <v>1.1000000000000001</v>
      </c>
      <c r="H401">
        <v>1.1000000000000001</v>
      </c>
      <c r="I401">
        <v>1.1000000000000001</v>
      </c>
      <c r="J401">
        <v>1.1000000000000001</v>
      </c>
      <c r="K401">
        <v>1.1000000000000001</v>
      </c>
    </row>
    <row r="402" spans="1:11" x14ac:dyDescent="0.2">
      <c r="A402">
        <v>8203</v>
      </c>
      <c r="B402">
        <v>1.3</v>
      </c>
      <c r="C402">
        <v>1.3</v>
      </c>
      <c r="D402">
        <v>1.3</v>
      </c>
      <c r="E402">
        <v>1.3</v>
      </c>
      <c r="F402">
        <v>1.3</v>
      </c>
      <c r="G402">
        <v>1.1499999999999999</v>
      </c>
      <c r="H402">
        <v>1.1499999999999999</v>
      </c>
      <c r="I402">
        <v>1.1499999999999999</v>
      </c>
      <c r="J402">
        <v>1.1499999999999999</v>
      </c>
      <c r="K402">
        <v>1.1499999999999999</v>
      </c>
    </row>
    <row r="403" spans="1:11" x14ac:dyDescent="0.2">
      <c r="A403">
        <v>8204</v>
      </c>
      <c r="B403">
        <v>1.4</v>
      </c>
      <c r="C403">
        <v>1.4</v>
      </c>
      <c r="D403">
        <v>1.4</v>
      </c>
      <c r="E403">
        <v>1.4</v>
      </c>
      <c r="F403">
        <v>1.4</v>
      </c>
      <c r="G403">
        <v>1.2</v>
      </c>
      <c r="H403">
        <v>1.2</v>
      </c>
      <c r="I403">
        <v>1.2</v>
      </c>
      <c r="J403">
        <v>1.2</v>
      </c>
      <c r="K403">
        <v>1.2</v>
      </c>
    </row>
    <row r="404" spans="1:11" x14ac:dyDescent="0.2">
      <c r="A404">
        <v>8205</v>
      </c>
      <c r="B404">
        <v>1.5</v>
      </c>
      <c r="C404">
        <v>1.5</v>
      </c>
      <c r="D404">
        <v>1.5</v>
      </c>
      <c r="E404">
        <v>1.5</v>
      </c>
      <c r="F404">
        <v>1.5</v>
      </c>
      <c r="G404">
        <v>1.23</v>
      </c>
      <c r="H404">
        <v>1.23</v>
      </c>
      <c r="I404">
        <v>1.23</v>
      </c>
      <c r="J404">
        <v>1.23</v>
      </c>
      <c r="K404">
        <v>1.23</v>
      </c>
    </row>
    <row r="405" spans="1:11" x14ac:dyDescent="0.2">
      <c r="A405">
        <v>8206</v>
      </c>
      <c r="B405">
        <v>1.6</v>
      </c>
      <c r="C405">
        <v>1.6</v>
      </c>
      <c r="D405">
        <v>1.6</v>
      </c>
      <c r="E405">
        <v>1.6</v>
      </c>
      <c r="F405">
        <v>1.6</v>
      </c>
      <c r="G405">
        <v>1.26</v>
      </c>
      <c r="H405">
        <v>1.26</v>
      </c>
      <c r="I405">
        <v>1.26</v>
      </c>
      <c r="J405">
        <v>1.26</v>
      </c>
      <c r="K405">
        <v>1.26</v>
      </c>
    </row>
    <row r="406" spans="1:11" x14ac:dyDescent="0.2">
      <c r="A406">
        <v>8207</v>
      </c>
      <c r="B406">
        <v>1.7</v>
      </c>
      <c r="C406">
        <v>1.7</v>
      </c>
      <c r="D406">
        <v>1.7</v>
      </c>
      <c r="E406">
        <v>1.7</v>
      </c>
      <c r="F406">
        <v>1.7</v>
      </c>
      <c r="G406">
        <v>1.29</v>
      </c>
      <c r="H406">
        <v>1.29</v>
      </c>
      <c r="I406">
        <v>1.29</v>
      </c>
      <c r="J406">
        <v>1.29</v>
      </c>
      <c r="K406">
        <v>1.29</v>
      </c>
    </row>
    <row r="407" spans="1:11" x14ac:dyDescent="0.2">
      <c r="A407">
        <v>8208</v>
      </c>
      <c r="B407">
        <v>1.8</v>
      </c>
      <c r="C407">
        <v>1.8</v>
      </c>
      <c r="D407">
        <v>1.8</v>
      </c>
      <c r="E407">
        <v>1.8</v>
      </c>
      <c r="F407">
        <v>1.8</v>
      </c>
      <c r="G407">
        <v>1.32</v>
      </c>
      <c r="H407">
        <v>1.32</v>
      </c>
      <c r="I407">
        <v>1.32</v>
      </c>
      <c r="J407">
        <v>1.32</v>
      </c>
      <c r="K407">
        <v>1.32</v>
      </c>
    </row>
    <row r="408" spans="1:11" x14ac:dyDescent="0.2">
      <c r="A408">
        <v>8209</v>
      </c>
      <c r="B408">
        <v>1.9</v>
      </c>
      <c r="C408">
        <v>1.9</v>
      </c>
      <c r="D408">
        <v>1.9</v>
      </c>
      <c r="E408">
        <v>1.9</v>
      </c>
      <c r="F408">
        <v>1.9</v>
      </c>
      <c r="G408">
        <v>1.35</v>
      </c>
      <c r="H408">
        <v>1.35</v>
      </c>
      <c r="I408">
        <v>1.35</v>
      </c>
      <c r="J408">
        <v>1.35</v>
      </c>
      <c r="K408">
        <v>1.35</v>
      </c>
    </row>
    <row r="409" spans="1:11" x14ac:dyDescent="0.2">
      <c r="A409">
        <v>8210</v>
      </c>
      <c r="B409">
        <v>2</v>
      </c>
      <c r="C409">
        <v>2</v>
      </c>
      <c r="D409">
        <v>2</v>
      </c>
      <c r="E409">
        <v>2</v>
      </c>
      <c r="F409">
        <v>2</v>
      </c>
      <c r="G409">
        <v>1.4</v>
      </c>
      <c r="H409">
        <v>1.4</v>
      </c>
      <c r="I409">
        <v>1.4</v>
      </c>
      <c r="J409">
        <v>1.4</v>
      </c>
      <c r="K409">
        <v>1.4</v>
      </c>
    </row>
    <row r="410" spans="1:11" x14ac:dyDescent="0.2">
      <c r="A410">
        <v>8300</v>
      </c>
      <c r="B410">
        <v>1.1499999999999999</v>
      </c>
      <c r="C410">
        <v>1.1499999999999999</v>
      </c>
      <c r="D410">
        <v>1.1499999999999999</v>
      </c>
      <c r="E410">
        <v>1.1499999999999999</v>
      </c>
      <c r="F410">
        <v>1.1499999999999999</v>
      </c>
      <c r="G410">
        <v>1</v>
      </c>
      <c r="H410">
        <v>1</v>
      </c>
      <c r="I410">
        <v>1</v>
      </c>
      <c r="J410">
        <v>1</v>
      </c>
      <c r="K410">
        <v>1</v>
      </c>
    </row>
    <row r="411" spans="1:11" x14ac:dyDescent="0.2">
      <c r="A411">
        <v>8301</v>
      </c>
      <c r="B411">
        <v>1.28</v>
      </c>
      <c r="C411">
        <v>1.28</v>
      </c>
      <c r="D411">
        <v>1.28</v>
      </c>
      <c r="E411">
        <v>1.28</v>
      </c>
      <c r="F411">
        <v>1.28</v>
      </c>
      <c r="G411">
        <v>1.08</v>
      </c>
      <c r="H411">
        <v>1.08</v>
      </c>
      <c r="I411">
        <v>1.08</v>
      </c>
      <c r="J411">
        <v>1.08</v>
      </c>
      <c r="K411">
        <v>1.08</v>
      </c>
    </row>
    <row r="412" spans="1:11" x14ac:dyDescent="0.2">
      <c r="A412">
        <v>8302</v>
      </c>
      <c r="B412">
        <v>1.37</v>
      </c>
      <c r="C412">
        <v>1.37</v>
      </c>
      <c r="D412">
        <v>1.37</v>
      </c>
      <c r="E412">
        <v>1.37</v>
      </c>
      <c r="F412">
        <v>1.37</v>
      </c>
      <c r="G412">
        <v>1.1599999999999999</v>
      </c>
      <c r="H412">
        <v>1.1599999999999999</v>
      </c>
      <c r="I412">
        <v>1.1599999999999999</v>
      </c>
      <c r="J412">
        <v>1.1599999999999999</v>
      </c>
      <c r="K412">
        <v>1.1599999999999999</v>
      </c>
    </row>
    <row r="413" spans="1:11" x14ac:dyDescent="0.2">
      <c r="A413">
        <v>8303</v>
      </c>
      <c r="B413">
        <v>1.6</v>
      </c>
      <c r="C413">
        <v>1.6</v>
      </c>
      <c r="D413">
        <v>1.6</v>
      </c>
      <c r="E413">
        <v>1.6</v>
      </c>
      <c r="F413">
        <v>1.6</v>
      </c>
      <c r="G413">
        <v>1.24</v>
      </c>
      <c r="H413">
        <v>1.24</v>
      </c>
      <c r="I413">
        <v>1.24</v>
      </c>
      <c r="J413">
        <v>1.24</v>
      </c>
      <c r="K413">
        <v>1.24</v>
      </c>
    </row>
    <row r="414" spans="1:11" x14ac:dyDescent="0.2">
      <c r="A414">
        <v>8304</v>
      </c>
      <c r="B414">
        <v>1.8</v>
      </c>
      <c r="C414">
        <v>1.8</v>
      </c>
      <c r="D414">
        <v>1.8</v>
      </c>
      <c r="E414">
        <v>1.8</v>
      </c>
      <c r="F414">
        <v>1.8</v>
      </c>
      <c r="G414">
        <v>1.32</v>
      </c>
      <c r="H414">
        <v>1.32</v>
      </c>
      <c r="I414">
        <v>1.32</v>
      </c>
      <c r="J414">
        <v>1.32</v>
      </c>
      <c r="K414">
        <v>1.32</v>
      </c>
    </row>
    <row r="415" spans="1:11" x14ac:dyDescent="0.2">
      <c r="A415">
        <v>8305</v>
      </c>
      <c r="B415">
        <v>2</v>
      </c>
      <c r="C415">
        <v>2</v>
      </c>
      <c r="D415">
        <v>2</v>
      </c>
      <c r="E415">
        <v>2</v>
      </c>
      <c r="F415">
        <v>2</v>
      </c>
      <c r="G415">
        <v>1.4</v>
      </c>
      <c r="H415">
        <v>1.4</v>
      </c>
      <c r="I415">
        <v>1.4</v>
      </c>
      <c r="J415">
        <v>1.4</v>
      </c>
      <c r="K415">
        <v>1.4</v>
      </c>
    </row>
    <row r="416" spans="1:11" x14ac:dyDescent="0.2">
      <c r="A416">
        <v>8400</v>
      </c>
      <c r="B416">
        <v>1.1000000000000001</v>
      </c>
      <c r="C416">
        <v>1.1000000000000001</v>
      </c>
      <c r="D416">
        <v>1.1000000000000001</v>
      </c>
      <c r="E416">
        <v>1.1000000000000001</v>
      </c>
      <c r="F416">
        <v>1.1000000000000001</v>
      </c>
      <c r="G416">
        <v>1</v>
      </c>
      <c r="H416">
        <v>1</v>
      </c>
      <c r="I416">
        <v>1</v>
      </c>
      <c r="J416">
        <v>1</v>
      </c>
      <c r="K416">
        <v>1</v>
      </c>
    </row>
    <row r="417" spans="1:11" x14ac:dyDescent="0.2">
      <c r="A417">
        <v>8401</v>
      </c>
      <c r="B417">
        <v>1.28</v>
      </c>
      <c r="C417">
        <v>1.28</v>
      </c>
      <c r="D417">
        <v>1.28</v>
      </c>
      <c r="E417">
        <v>1.28</v>
      </c>
      <c r="F417">
        <v>1.28</v>
      </c>
      <c r="G417">
        <v>1.08</v>
      </c>
      <c r="H417">
        <v>1.08</v>
      </c>
      <c r="I417">
        <v>1.08</v>
      </c>
      <c r="J417">
        <v>1.08</v>
      </c>
      <c r="K417">
        <v>1.08</v>
      </c>
    </row>
    <row r="418" spans="1:11" x14ac:dyDescent="0.2">
      <c r="A418">
        <v>8402</v>
      </c>
      <c r="B418">
        <v>1.46</v>
      </c>
      <c r="C418">
        <v>1.46</v>
      </c>
      <c r="D418">
        <v>1.46</v>
      </c>
      <c r="E418">
        <v>1.46</v>
      </c>
      <c r="F418">
        <v>1.46</v>
      </c>
      <c r="G418">
        <v>1.1599999999999999</v>
      </c>
      <c r="H418">
        <v>1.1599999999999999</v>
      </c>
      <c r="I418">
        <v>1.1599999999999999</v>
      </c>
      <c r="J418">
        <v>1.1599999999999999</v>
      </c>
      <c r="K418">
        <v>1.1599999999999999</v>
      </c>
    </row>
    <row r="419" spans="1:11" x14ac:dyDescent="0.2">
      <c r="A419">
        <v>8403</v>
      </c>
      <c r="B419">
        <v>1.64</v>
      </c>
      <c r="C419">
        <v>1.64</v>
      </c>
      <c r="D419">
        <v>1.64</v>
      </c>
      <c r="E419">
        <v>1.64</v>
      </c>
      <c r="F419">
        <v>1.64</v>
      </c>
      <c r="G419">
        <v>1.24</v>
      </c>
      <c r="H419">
        <v>1.24</v>
      </c>
      <c r="I419">
        <v>1.24</v>
      </c>
      <c r="J419">
        <v>1.24</v>
      </c>
      <c r="K419">
        <v>1.24</v>
      </c>
    </row>
    <row r="420" spans="1:11" x14ac:dyDescent="0.2">
      <c r="A420">
        <v>8404</v>
      </c>
      <c r="B420">
        <v>1.82</v>
      </c>
      <c r="C420">
        <v>1.82</v>
      </c>
      <c r="D420">
        <v>1.82</v>
      </c>
      <c r="E420">
        <v>1.82</v>
      </c>
      <c r="F420">
        <v>1.82</v>
      </c>
      <c r="G420">
        <v>1.32</v>
      </c>
      <c r="H420">
        <v>1.32</v>
      </c>
      <c r="I420">
        <v>1.32</v>
      </c>
      <c r="J420">
        <v>1.32</v>
      </c>
      <c r="K420">
        <v>1.32</v>
      </c>
    </row>
    <row r="421" spans="1:11" x14ac:dyDescent="0.2">
      <c r="A421">
        <v>8405</v>
      </c>
      <c r="B421">
        <v>2</v>
      </c>
      <c r="C421">
        <v>2</v>
      </c>
      <c r="D421">
        <v>2</v>
      </c>
      <c r="E421">
        <v>2</v>
      </c>
      <c r="F421">
        <v>2</v>
      </c>
      <c r="G421">
        <v>1.4</v>
      </c>
      <c r="H421">
        <v>1.4</v>
      </c>
      <c r="I421">
        <v>1.4</v>
      </c>
      <c r="J421">
        <v>1.4</v>
      </c>
      <c r="K421">
        <v>1.4</v>
      </c>
    </row>
    <row r="422" spans="1:11" x14ac:dyDescent="0.2">
      <c r="A422">
        <v>8500</v>
      </c>
      <c r="B422">
        <v>1.1499999999999999</v>
      </c>
      <c r="C422">
        <v>1.1499999999999999</v>
      </c>
      <c r="D422">
        <v>1.1499999999999999</v>
      </c>
      <c r="E422">
        <v>1.1499999999999999</v>
      </c>
      <c r="F422">
        <v>1.1499999999999999</v>
      </c>
      <c r="G422">
        <v>1</v>
      </c>
      <c r="H422">
        <v>1</v>
      </c>
      <c r="I422">
        <v>1</v>
      </c>
      <c r="J422">
        <v>1</v>
      </c>
      <c r="K422">
        <v>1</v>
      </c>
    </row>
    <row r="423" spans="1:11" x14ac:dyDescent="0.2">
      <c r="A423">
        <v>8501</v>
      </c>
      <c r="B423">
        <v>1.28</v>
      </c>
      <c r="C423">
        <v>1.28</v>
      </c>
      <c r="D423">
        <v>1.28</v>
      </c>
      <c r="E423">
        <v>1.28</v>
      </c>
      <c r="F423">
        <v>1.28</v>
      </c>
      <c r="G423">
        <v>1.08</v>
      </c>
      <c r="H423">
        <v>1.08</v>
      </c>
      <c r="I423">
        <v>1.08</v>
      </c>
      <c r="J423">
        <v>1.08</v>
      </c>
      <c r="K423">
        <v>1.08</v>
      </c>
    </row>
    <row r="424" spans="1:11" x14ac:dyDescent="0.2">
      <c r="A424">
        <v>8502</v>
      </c>
      <c r="B424">
        <v>1.37</v>
      </c>
      <c r="C424">
        <v>1.37</v>
      </c>
      <c r="D424">
        <v>1.37</v>
      </c>
      <c r="E424">
        <v>1.37</v>
      </c>
      <c r="F424">
        <v>1.37</v>
      </c>
      <c r="G424">
        <v>1.1599999999999999</v>
      </c>
      <c r="H424">
        <v>1.1599999999999999</v>
      </c>
      <c r="I424">
        <v>1.1599999999999999</v>
      </c>
      <c r="J424">
        <v>1.1599999999999999</v>
      </c>
      <c r="K424">
        <v>1.1599999999999999</v>
      </c>
    </row>
    <row r="425" spans="1:11" x14ac:dyDescent="0.2">
      <c r="A425">
        <v>8503</v>
      </c>
      <c r="B425">
        <v>1.6</v>
      </c>
      <c r="C425">
        <v>1.6</v>
      </c>
      <c r="D425">
        <v>1.6</v>
      </c>
      <c r="E425">
        <v>1.6</v>
      </c>
      <c r="F425">
        <v>1.6</v>
      </c>
      <c r="G425">
        <v>1.24</v>
      </c>
      <c r="H425">
        <v>1.24</v>
      </c>
      <c r="I425">
        <v>1.24</v>
      </c>
      <c r="J425">
        <v>1.24</v>
      </c>
      <c r="K425">
        <v>1.24</v>
      </c>
    </row>
    <row r="426" spans="1:11" x14ac:dyDescent="0.2">
      <c r="A426">
        <v>8504</v>
      </c>
      <c r="B426">
        <v>1.8</v>
      </c>
      <c r="C426">
        <v>1.8</v>
      </c>
      <c r="D426">
        <v>1.8</v>
      </c>
      <c r="E426">
        <v>1.8</v>
      </c>
      <c r="F426">
        <v>1.8</v>
      </c>
      <c r="G426">
        <v>1.32</v>
      </c>
      <c r="H426">
        <v>1.32</v>
      </c>
      <c r="I426">
        <v>1.32</v>
      </c>
      <c r="J426">
        <v>1.32</v>
      </c>
      <c r="K426">
        <v>1.32</v>
      </c>
    </row>
    <row r="427" spans="1:11" x14ac:dyDescent="0.2">
      <c r="A427">
        <v>8505</v>
      </c>
      <c r="B427">
        <v>2</v>
      </c>
      <c r="C427">
        <v>2</v>
      </c>
      <c r="D427">
        <v>2</v>
      </c>
      <c r="E427">
        <v>2</v>
      </c>
      <c r="F427">
        <v>2</v>
      </c>
      <c r="G427">
        <v>1.4</v>
      </c>
      <c r="H427">
        <v>1.4</v>
      </c>
      <c r="I427">
        <v>1.4</v>
      </c>
      <c r="J427">
        <v>1.4</v>
      </c>
      <c r="K427">
        <v>1.4</v>
      </c>
    </row>
    <row r="428" spans="1:11" x14ac:dyDescent="0.2">
      <c r="A428">
        <v>8600</v>
      </c>
      <c r="B428">
        <v>1.1000000000000001</v>
      </c>
      <c r="C428">
        <v>1.1000000000000001</v>
      </c>
      <c r="D428">
        <v>1.1000000000000001</v>
      </c>
      <c r="E428">
        <v>1.1000000000000001</v>
      </c>
      <c r="F428">
        <v>1.1000000000000001</v>
      </c>
      <c r="G428">
        <v>1</v>
      </c>
      <c r="H428">
        <v>1</v>
      </c>
      <c r="I428">
        <v>1</v>
      </c>
      <c r="J428">
        <v>1</v>
      </c>
      <c r="K428">
        <v>1</v>
      </c>
    </row>
    <row r="429" spans="1:11" x14ac:dyDescent="0.2">
      <c r="A429">
        <v>8601</v>
      </c>
      <c r="B429">
        <v>1.28</v>
      </c>
      <c r="C429">
        <v>1.28</v>
      </c>
      <c r="D429">
        <v>1.28</v>
      </c>
      <c r="E429">
        <v>1.28</v>
      </c>
      <c r="F429">
        <v>1.28</v>
      </c>
      <c r="G429">
        <v>1.08</v>
      </c>
      <c r="H429">
        <v>1.08</v>
      </c>
      <c r="I429">
        <v>1.08</v>
      </c>
      <c r="J429">
        <v>1.08</v>
      </c>
      <c r="K429">
        <v>1.08</v>
      </c>
    </row>
    <row r="430" spans="1:11" x14ac:dyDescent="0.2">
      <c r="A430">
        <v>8602</v>
      </c>
      <c r="B430">
        <v>1.46</v>
      </c>
      <c r="C430">
        <v>1.46</v>
      </c>
      <c r="D430">
        <v>1.46</v>
      </c>
      <c r="E430">
        <v>1.46</v>
      </c>
      <c r="F430">
        <v>1.46</v>
      </c>
      <c r="G430">
        <v>1.1599999999999999</v>
      </c>
      <c r="H430">
        <v>1.1599999999999999</v>
      </c>
      <c r="I430">
        <v>1.1599999999999999</v>
      </c>
      <c r="J430">
        <v>1.1599999999999999</v>
      </c>
      <c r="K430">
        <v>1.1599999999999999</v>
      </c>
    </row>
    <row r="431" spans="1:11" x14ac:dyDescent="0.2">
      <c r="A431">
        <v>8603</v>
      </c>
      <c r="B431">
        <v>1.64</v>
      </c>
      <c r="C431">
        <v>1.64</v>
      </c>
      <c r="D431">
        <v>1.64</v>
      </c>
      <c r="E431">
        <v>1.64</v>
      </c>
      <c r="F431">
        <v>1.64</v>
      </c>
      <c r="G431">
        <v>1.24</v>
      </c>
      <c r="H431">
        <v>1.24</v>
      </c>
      <c r="I431">
        <v>1.24</v>
      </c>
      <c r="J431">
        <v>1.24</v>
      </c>
      <c r="K431">
        <v>1.24</v>
      </c>
    </row>
    <row r="432" spans="1:11" x14ac:dyDescent="0.2">
      <c r="A432">
        <v>8604</v>
      </c>
      <c r="B432">
        <v>1.82</v>
      </c>
      <c r="C432">
        <v>1.82</v>
      </c>
      <c r="D432">
        <v>1.82</v>
      </c>
      <c r="E432">
        <v>1.82</v>
      </c>
      <c r="F432">
        <v>1.82</v>
      </c>
      <c r="G432">
        <v>1.32</v>
      </c>
      <c r="H432">
        <v>1.32</v>
      </c>
      <c r="I432">
        <v>1.32</v>
      </c>
      <c r="J432">
        <v>1.32</v>
      </c>
      <c r="K432">
        <v>1.32</v>
      </c>
    </row>
    <row r="433" spans="1:11" x14ac:dyDescent="0.2">
      <c r="A433">
        <v>8605</v>
      </c>
      <c r="B433">
        <v>2</v>
      </c>
      <c r="C433">
        <v>2</v>
      </c>
      <c r="D433">
        <v>2</v>
      </c>
      <c r="E433">
        <v>2</v>
      </c>
      <c r="F433">
        <v>2</v>
      </c>
      <c r="G433">
        <v>1.4</v>
      </c>
      <c r="H433">
        <v>1.4</v>
      </c>
      <c r="I433">
        <v>1.4</v>
      </c>
      <c r="J433">
        <v>1.4</v>
      </c>
      <c r="K433">
        <v>1.4</v>
      </c>
    </row>
    <row r="434" spans="1:11" x14ac:dyDescent="0.2">
      <c r="A434">
        <v>9000</v>
      </c>
      <c r="B434">
        <v>1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</row>
    <row r="435" spans="1:11" x14ac:dyDescent="0.2">
      <c r="A435">
        <v>9001</v>
      </c>
      <c r="B435">
        <v>1.1000000000000001</v>
      </c>
      <c r="C435">
        <v>1.1000000000000001</v>
      </c>
      <c r="D435">
        <v>1.1000000000000001</v>
      </c>
      <c r="E435">
        <v>1.1000000000000001</v>
      </c>
      <c r="F435">
        <v>1.1000000000000001</v>
      </c>
      <c r="G435">
        <v>1.05</v>
      </c>
      <c r="H435">
        <v>1.05</v>
      </c>
      <c r="I435">
        <v>1.05</v>
      </c>
      <c r="J435">
        <v>1.05</v>
      </c>
      <c r="K435">
        <v>1.05</v>
      </c>
    </row>
    <row r="436" spans="1:11" x14ac:dyDescent="0.2">
      <c r="A436">
        <v>9002</v>
      </c>
      <c r="B436">
        <v>1.2</v>
      </c>
      <c r="C436">
        <v>1.2</v>
      </c>
      <c r="D436">
        <v>1.2</v>
      </c>
      <c r="E436">
        <v>1.2</v>
      </c>
      <c r="F436">
        <v>1.2</v>
      </c>
      <c r="G436">
        <v>1.1000000000000001</v>
      </c>
      <c r="H436">
        <v>1.1000000000000001</v>
      </c>
      <c r="I436">
        <v>1.1000000000000001</v>
      </c>
      <c r="J436">
        <v>1.1000000000000001</v>
      </c>
      <c r="K436">
        <v>1.1000000000000001</v>
      </c>
    </row>
    <row r="437" spans="1:11" x14ac:dyDescent="0.2">
      <c r="A437">
        <v>9003</v>
      </c>
      <c r="B437">
        <v>1.3</v>
      </c>
      <c r="C437">
        <v>1.3</v>
      </c>
      <c r="D437">
        <v>1.3</v>
      </c>
      <c r="E437">
        <v>1.3</v>
      </c>
      <c r="F437">
        <v>1.3</v>
      </c>
      <c r="G437">
        <v>1.1499999999999999</v>
      </c>
      <c r="H437">
        <v>1.1499999999999999</v>
      </c>
      <c r="I437">
        <v>1.1499999999999999</v>
      </c>
      <c r="J437">
        <v>1.1499999999999999</v>
      </c>
      <c r="K437">
        <v>1.1499999999999999</v>
      </c>
    </row>
    <row r="438" spans="1:11" x14ac:dyDescent="0.2">
      <c r="A438">
        <v>9004</v>
      </c>
      <c r="B438">
        <v>1.4</v>
      </c>
      <c r="C438">
        <v>1.4</v>
      </c>
      <c r="D438">
        <v>1.4</v>
      </c>
      <c r="E438">
        <v>1.4</v>
      </c>
      <c r="F438">
        <v>1.4</v>
      </c>
      <c r="G438">
        <v>1.2</v>
      </c>
      <c r="H438">
        <v>1.2</v>
      </c>
      <c r="I438">
        <v>1.2</v>
      </c>
      <c r="J438">
        <v>1.2</v>
      </c>
      <c r="K438">
        <v>1.2</v>
      </c>
    </row>
    <row r="439" spans="1:11" x14ac:dyDescent="0.2">
      <c r="A439">
        <v>9005</v>
      </c>
      <c r="B439">
        <v>1.5</v>
      </c>
      <c r="C439">
        <v>1.5</v>
      </c>
      <c r="D439">
        <v>1.5</v>
      </c>
      <c r="E439">
        <v>1.5</v>
      </c>
      <c r="F439">
        <v>1.5</v>
      </c>
      <c r="G439">
        <v>1.23</v>
      </c>
      <c r="H439">
        <v>1.23</v>
      </c>
      <c r="I439">
        <v>1.23</v>
      </c>
      <c r="J439">
        <v>1.23</v>
      </c>
      <c r="K439">
        <v>1.23</v>
      </c>
    </row>
    <row r="440" spans="1:11" x14ac:dyDescent="0.2">
      <c r="A440">
        <v>9006</v>
      </c>
      <c r="B440">
        <v>1.6</v>
      </c>
      <c r="C440">
        <v>1.6</v>
      </c>
      <c r="D440">
        <v>1.6</v>
      </c>
      <c r="E440">
        <v>1.6</v>
      </c>
      <c r="F440">
        <v>1.6</v>
      </c>
      <c r="G440">
        <v>1.26</v>
      </c>
      <c r="H440">
        <v>1.26</v>
      </c>
      <c r="I440">
        <v>1.26</v>
      </c>
      <c r="J440">
        <v>1.26</v>
      </c>
      <c r="K440">
        <v>1.26</v>
      </c>
    </row>
    <row r="441" spans="1:11" x14ac:dyDescent="0.2">
      <c r="A441">
        <v>9007</v>
      </c>
      <c r="B441">
        <v>1.7</v>
      </c>
      <c r="C441">
        <v>1.7</v>
      </c>
      <c r="D441">
        <v>1.7</v>
      </c>
      <c r="E441">
        <v>1.7</v>
      </c>
      <c r="F441">
        <v>1.7</v>
      </c>
      <c r="G441">
        <v>1.29</v>
      </c>
      <c r="H441">
        <v>1.29</v>
      </c>
      <c r="I441">
        <v>1.29</v>
      </c>
      <c r="J441">
        <v>1.29</v>
      </c>
      <c r="K441">
        <v>1.29</v>
      </c>
    </row>
    <row r="442" spans="1:11" x14ac:dyDescent="0.2">
      <c r="A442">
        <v>9008</v>
      </c>
      <c r="B442">
        <v>1.8</v>
      </c>
      <c r="C442">
        <v>1.8</v>
      </c>
      <c r="D442">
        <v>1.8</v>
      </c>
      <c r="E442">
        <v>1.8</v>
      </c>
      <c r="F442">
        <v>1.8</v>
      </c>
      <c r="G442">
        <v>1.32</v>
      </c>
      <c r="H442">
        <v>1.32</v>
      </c>
      <c r="I442">
        <v>1.32</v>
      </c>
      <c r="J442">
        <v>1.32</v>
      </c>
      <c r="K442">
        <v>1.32</v>
      </c>
    </row>
    <row r="443" spans="1:11" x14ac:dyDescent="0.2">
      <c r="A443">
        <v>9009</v>
      </c>
      <c r="B443">
        <v>1.9</v>
      </c>
      <c r="C443">
        <v>1.9</v>
      </c>
      <c r="D443">
        <v>1.9</v>
      </c>
      <c r="E443">
        <v>1.9</v>
      </c>
      <c r="F443">
        <v>1.9</v>
      </c>
      <c r="G443">
        <v>1.35</v>
      </c>
      <c r="H443">
        <v>1.35</v>
      </c>
      <c r="I443">
        <v>1.35</v>
      </c>
      <c r="J443">
        <v>1.35</v>
      </c>
      <c r="K443">
        <v>1.35</v>
      </c>
    </row>
    <row r="444" spans="1:11" x14ac:dyDescent="0.2">
      <c r="A444">
        <v>9010</v>
      </c>
      <c r="B444">
        <v>2</v>
      </c>
      <c r="C444">
        <v>2</v>
      </c>
      <c r="D444">
        <v>2</v>
      </c>
      <c r="E444">
        <v>2</v>
      </c>
      <c r="F444">
        <v>2</v>
      </c>
      <c r="G444">
        <v>1.4</v>
      </c>
      <c r="H444">
        <v>1.4</v>
      </c>
      <c r="I444">
        <v>1.4</v>
      </c>
      <c r="J444">
        <v>1.4</v>
      </c>
      <c r="K444">
        <v>1.4</v>
      </c>
    </row>
    <row r="445" spans="1:11" x14ac:dyDescent="0.2">
      <c r="A445">
        <v>9998</v>
      </c>
      <c r="B445">
        <v>1</v>
      </c>
      <c r="C445">
        <v>1</v>
      </c>
      <c r="D445">
        <v>1</v>
      </c>
      <c r="E445">
        <v>1</v>
      </c>
      <c r="F445">
        <v>1</v>
      </c>
      <c r="G445">
        <v>1</v>
      </c>
      <c r="H445">
        <v>1</v>
      </c>
      <c r="I445">
        <v>1</v>
      </c>
      <c r="J445">
        <v>1</v>
      </c>
      <c r="K445">
        <v>1</v>
      </c>
    </row>
    <row r="446" spans="1:11" x14ac:dyDescent="0.2">
      <c r="A446">
        <v>9999</v>
      </c>
      <c r="B446">
        <v>1</v>
      </c>
      <c r="C446">
        <v>1</v>
      </c>
      <c r="D446">
        <v>1</v>
      </c>
      <c r="E446">
        <v>1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</row>
  </sheetData>
  <mergeCells count="2">
    <mergeCell ref="B1:F1"/>
    <mergeCell ref="G1:K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31B4C-01E0-4D6B-A793-C0FB27D66248}">
  <sheetPr codeName="Sheet6"/>
  <dimension ref="A1:AHH70"/>
  <sheetViews>
    <sheetView workbookViewId="0">
      <pane xSplit="1" topLeftCell="B1" activePane="topRight" state="frozen"/>
      <selection pane="topRight" activeCell="CV2" sqref="CV2"/>
    </sheetView>
  </sheetViews>
  <sheetFormatPr defaultRowHeight="14.25" x14ac:dyDescent="0.2"/>
  <cols>
    <col min="1" max="1" width="9.75" customWidth="1"/>
  </cols>
  <sheetData>
    <row r="1" spans="1:892" x14ac:dyDescent="0.2">
      <c r="A1" t="s">
        <v>2419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  <c r="RA1">
        <v>468</v>
      </c>
      <c r="RB1">
        <v>469</v>
      </c>
      <c r="RC1">
        <v>470</v>
      </c>
      <c r="RD1">
        <v>471</v>
      </c>
      <c r="RE1">
        <v>472</v>
      </c>
      <c r="RF1">
        <v>473</v>
      </c>
      <c r="RG1">
        <v>474</v>
      </c>
      <c r="RH1">
        <v>475</v>
      </c>
      <c r="RI1">
        <v>476</v>
      </c>
      <c r="RJ1">
        <v>477</v>
      </c>
      <c r="RK1">
        <v>478</v>
      </c>
      <c r="RL1">
        <v>479</v>
      </c>
      <c r="RM1">
        <v>480</v>
      </c>
      <c r="RN1">
        <v>481</v>
      </c>
      <c r="RO1">
        <v>482</v>
      </c>
      <c r="RP1">
        <v>483</v>
      </c>
      <c r="RQ1">
        <v>484</v>
      </c>
      <c r="RR1">
        <v>485</v>
      </c>
      <c r="RS1">
        <v>486</v>
      </c>
      <c r="RT1">
        <v>487</v>
      </c>
      <c r="RU1">
        <v>488</v>
      </c>
      <c r="RV1">
        <v>489</v>
      </c>
      <c r="RW1">
        <v>490</v>
      </c>
      <c r="RX1">
        <v>491</v>
      </c>
      <c r="RY1">
        <v>492</v>
      </c>
      <c r="RZ1">
        <v>493</v>
      </c>
      <c r="SA1">
        <v>494</v>
      </c>
      <c r="SB1">
        <v>495</v>
      </c>
      <c r="SC1">
        <v>496</v>
      </c>
      <c r="SD1">
        <v>497</v>
      </c>
      <c r="SE1">
        <v>498</v>
      </c>
      <c r="SF1">
        <v>499</v>
      </c>
      <c r="SG1">
        <v>500</v>
      </c>
      <c r="SH1">
        <v>501</v>
      </c>
      <c r="SI1">
        <v>502</v>
      </c>
      <c r="SJ1">
        <v>503</v>
      </c>
      <c r="SK1">
        <v>504</v>
      </c>
      <c r="SL1">
        <v>505</v>
      </c>
      <c r="SM1">
        <v>506</v>
      </c>
      <c r="SN1">
        <v>507</v>
      </c>
      <c r="SO1">
        <v>508</v>
      </c>
      <c r="SP1">
        <v>509</v>
      </c>
      <c r="SQ1">
        <v>510</v>
      </c>
      <c r="SR1">
        <v>511</v>
      </c>
      <c r="SS1">
        <v>512</v>
      </c>
      <c r="ST1">
        <v>513</v>
      </c>
      <c r="SU1">
        <v>514</v>
      </c>
      <c r="SV1">
        <v>515</v>
      </c>
      <c r="SW1">
        <v>516</v>
      </c>
      <c r="SX1">
        <v>517</v>
      </c>
      <c r="SY1">
        <v>518</v>
      </c>
      <c r="SZ1">
        <v>519</v>
      </c>
      <c r="TA1">
        <v>520</v>
      </c>
      <c r="TB1">
        <v>521</v>
      </c>
      <c r="TC1">
        <v>522</v>
      </c>
      <c r="TD1">
        <v>523</v>
      </c>
      <c r="TE1">
        <v>524</v>
      </c>
      <c r="TF1">
        <v>525</v>
      </c>
      <c r="TG1">
        <v>526</v>
      </c>
      <c r="TH1">
        <v>527</v>
      </c>
      <c r="TI1">
        <v>528</v>
      </c>
      <c r="TJ1">
        <v>529</v>
      </c>
      <c r="TK1">
        <v>530</v>
      </c>
      <c r="TL1">
        <v>531</v>
      </c>
      <c r="TM1">
        <v>532</v>
      </c>
      <c r="TN1">
        <v>533</v>
      </c>
      <c r="TO1">
        <v>534</v>
      </c>
      <c r="TP1">
        <v>535</v>
      </c>
      <c r="TQ1">
        <v>536</v>
      </c>
      <c r="TR1">
        <v>537</v>
      </c>
      <c r="TS1">
        <v>538</v>
      </c>
      <c r="TT1">
        <v>539</v>
      </c>
      <c r="TU1">
        <v>540</v>
      </c>
      <c r="TV1">
        <v>541</v>
      </c>
      <c r="TW1">
        <v>542</v>
      </c>
      <c r="TX1">
        <v>543</v>
      </c>
      <c r="TY1">
        <v>544</v>
      </c>
      <c r="TZ1">
        <v>545</v>
      </c>
      <c r="UA1">
        <v>546</v>
      </c>
      <c r="UB1">
        <v>547</v>
      </c>
      <c r="UC1">
        <v>548</v>
      </c>
      <c r="UD1">
        <v>549</v>
      </c>
      <c r="UE1">
        <v>550</v>
      </c>
      <c r="UF1">
        <v>551</v>
      </c>
      <c r="UG1">
        <v>552</v>
      </c>
      <c r="UH1">
        <v>553</v>
      </c>
      <c r="UI1">
        <v>554</v>
      </c>
      <c r="UJ1">
        <v>555</v>
      </c>
      <c r="UK1">
        <v>556</v>
      </c>
      <c r="UL1">
        <v>557</v>
      </c>
      <c r="UM1">
        <v>558</v>
      </c>
      <c r="UN1">
        <v>559</v>
      </c>
      <c r="UO1">
        <v>560</v>
      </c>
      <c r="UP1">
        <v>561</v>
      </c>
      <c r="UQ1">
        <v>562</v>
      </c>
      <c r="UR1">
        <v>563</v>
      </c>
      <c r="US1">
        <v>564</v>
      </c>
      <c r="UT1">
        <v>565</v>
      </c>
      <c r="UU1">
        <v>566</v>
      </c>
      <c r="UV1">
        <v>567</v>
      </c>
      <c r="UW1">
        <v>568</v>
      </c>
      <c r="UX1">
        <v>569</v>
      </c>
      <c r="UY1">
        <v>570</v>
      </c>
      <c r="UZ1">
        <v>571</v>
      </c>
      <c r="VA1">
        <v>572</v>
      </c>
      <c r="VB1">
        <v>573</v>
      </c>
      <c r="VC1">
        <v>574</v>
      </c>
      <c r="VD1">
        <v>575</v>
      </c>
      <c r="VE1">
        <v>576</v>
      </c>
      <c r="VF1">
        <v>577</v>
      </c>
      <c r="VG1">
        <v>578</v>
      </c>
      <c r="VH1">
        <v>579</v>
      </c>
      <c r="VI1">
        <v>580</v>
      </c>
      <c r="VJ1">
        <v>581</v>
      </c>
      <c r="VK1">
        <v>582</v>
      </c>
      <c r="VL1">
        <v>583</v>
      </c>
      <c r="VM1">
        <v>584</v>
      </c>
      <c r="VN1">
        <v>585</v>
      </c>
      <c r="VO1">
        <v>586</v>
      </c>
      <c r="VP1">
        <v>587</v>
      </c>
      <c r="VQ1">
        <v>588</v>
      </c>
      <c r="VR1">
        <v>589</v>
      </c>
      <c r="VS1">
        <v>590</v>
      </c>
      <c r="VT1">
        <v>591</v>
      </c>
      <c r="VU1">
        <v>592</v>
      </c>
      <c r="VV1">
        <v>593</v>
      </c>
      <c r="VW1">
        <v>594</v>
      </c>
      <c r="VX1">
        <v>595</v>
      </c>
      <c r="VY1">
        <v>596</v>
      </c>
      <c r="VZ1">
        <v>597</v>
      </c>
      <c r="WA1">
        <v>598</v>
      </c>
      <c r="WB1">
        <v>599</v>
      </c>
      <c r="WC1">
        <v>600</v>
      </c>
      <c r="WD1">
        <v>601</v>
      </c>
      <c r="WE1">
        <v>602</v>
      </c>
      <c r="WF1">
        <v>603</v>
      </c>
      <c r="WG1">
        <v>604</v>
      </c>
      <c r="WH1">
        <v>605</v>
      </c>
      <c r="WI1">
        <v>606</v>
      </c>
      <c r="WJ1">
        <v>607</v>
      </c>
      <c r="WK1">
        <v>608</v>
      </c>
      <c r="WL1">
        <v>609</v>
      </c>
      <c r="WM1">
        <v>610</v>
      </c>
      <c r="WN1">
        <v>611</v>
      </c>
      <c r="WO1">
        <v>612</v>
      </c>
      <c r="WP1">
        <v>613</v>
      </c>
      <c r="WQ1">
        <v>614</v>
      </c>
      <c r="WR1">
        <v>615</v>
      </c>
      <c r="WS1">
        <v>616</v>
      </c>
      <c r="WT1">
        <v>617</v>
      </c>
      <c r="WU1">
        <v>618</v>
      </c>
      <c r="WV1">
        <v>619</v>
      </c>
      <c r="WW1">
        <v>620</v>
      </c>
      <c r="WX1">
        <v>621</v>
      </c>
      <c r="WY1">
        <v>622</v>
      </c>
      <c r="WZ1">
        <v>623</v>
      </c>
      <c r="XA1">
        <v>624</v>
      </c>
      <c r="XB1">
        <v>625</v>
      </c>
      <c r="XC1">
        <v>626</v>
      </c>
      <c r="XD1">
        <v>627</v>
      </c>
      <c r="XE1">
        <v>628</v>
      </c>
      <c r="XF1">
        <v>629</v>
      </c>
      <c r="XG1">
        <v>630</v>
      </c>
      <c r="XH1">
        <v>631</v>
      </c>
      <c r="XI1">
        <v>632</v>
      </c>
      <c r="XJ1">
        <v>633</v>
      </c>
      <c r="XK1">
        <v>634</v>
      </c>
      <c r="XL1">
        <v>635</v>
      </c>
      <c r="XM1">
        <v>636</v>
      </c>
      <c r="XN1">
        <v>637</v>
      </c>
      <c r="XO1">
        <v>638</v>
      </c>
      <c r="XP1">
        <v>639</v>
      </c>
      <c r="XQ1">
        <v>640</v>
      </c>
      <c r="XR1">
        <v>641</v>
      </c>
      <c r="XS1">
        <v>642</v>
      </c>
      <c r="XT1">
        <v>643</v>
      </c>
      <c r="XU1">
        <v>644</v>
      </c>
      <c r="XV1">
        <v>645</v>
      </c>
      <c r="XW1">
        <v>646</v>
      </c>
      <c r="XX1">
        <v>647</v>
      </c>
      <c r="XY1">
        <v>648</v>
      </c>
      <c r="XZ1">
        <v>649</v>
      </c>
      <c r="YA1">
        <v>650</v>
      </c>
      <c r="YB1">
        <v>651</v>
      </c>
      <c r="YC1">
        <v>652</v>
      </c>
      <c r="YD1">
        <v>653</v>
      </c>
      <c r="YE1">
        <v>654</v>
      </c>
      <c r="YF1">
        <v>655</v>
      </c>
      <c r="YG1">
        <v>656</v>
      </c>
      <c r="YH1">
        <v>657</v>
      </c>
      <c r="YI1">
        <v>658</v>
      </c>
      <c r="YJ1">
        <v>659</v>
      </c>
      <c r="YK1">
        <v>660</v>
      </c>
      <c r="YL1">
        <v>661</v>
      </c>
      <c r="YM1">
        <v>662</v>
      </c>
      <c r="YN1">
        <v>663</v>
      </c>
      <c r="YO1">
        <v>664</v>
      </c>
      <c r="YP1">
        <v>665</v>
      </c>
      <c r="YQ1">
        <v>666</v>
      </c>
      <c r="YR1">
        <v>667</v>
      </c>
      <c r="YS1">
        <v>668</v>
      </c>
      <c r="YT1">
        <v>669</v>
      </c>
      <c r="YU1">
        <v>670</v>
      </c>
      <c r="YV1">
        <v>671</v>
      </c>
      <c r="YW1">
        <v>672</v>
      </c>
      <c r="YX1">
        <v>673</v>
      </c>
      <c r="YY1">
        <v>674</v>
      </c>
      <c r="YZ1">
        <v>675</v>
      </c>
      <c r="ZA1">
        <v>676</v>
      </c>
      <c r="ZB1">
        <v>677</v>
      </c>
      <c r="ZC1">
        <v>678</v>
      </c>
      <c r="ZD1">
        <v>679</v>
      </c>
      <c r="ZE1">
        <v>680</v>
      </c>
      <c r="ZF1">
        <v>681</v>
      </c>
      <c r="ZG1">
        <v>682</v>
      </c>
      <c r="ZH1">
        <v>683</v>
      </c>
      <c r="ZI1">
        <v>684</v>
      </c>
      <c r="ZJ1">
        <v>685</v>
      </c>
      <c r="ZK1">
        <v>686</v>
      </c>
      <c r="ZL1">
        <v>687</v>
      </c>
      <c r="ZM1">
        <v>688</v>
      </c>
      <c r="ZN1">
        <v>689</v>
      </c>
      <c r="ZO1">
        <v>690</v>
      </c>
      <c r="ZP1">
        <v>691</v>
      </c>
      <c r="ZQ1">
        <v>692</v>
      </c>
      <c r="ZR1">
        <v>693</v>
      </c>
      <c r="ZS1">
        <v>694</v>
      </c>
      <c r="ZT1">
        <v>695</v>
      </c>
      <c r="ZU1">
        <v>696</v>
      </c>
      <c r="ZV1">
        <v>697</v>
      </c>
      <c r="ZW1">
        <v>698</v>
      </c>
      <c r="ZX1">
        <v>699</v>
      </c>
      <c r="ZY1">
        <v>700</v>
      </c>
      <c r="ZZ1">
        <v>701</v>
      </c>
      <c r="AAA1">
        <v>702</v>
      </c>
      <c r="AAB1">
        <v>703</v>
      </c>
      <c r="AAC1">
        <v>704</v>
      </c>
      <c r="AAD1">
        <v>705</v>
      </c>
      <c r="AAE1">
        <v>706</v>
      </c>
      <c r="AAF1">
        <v>707</v>
      </c>
      <c r="AAG1">
        <v>708</v>
      </c>
      <c r="AAH1">
        <v>709</v>
      </c>
      <c r="AAI1">
        <v>710</v>
      </c>
      <c r="AAJ1">
        <v>711</v>
      </c>
      <c r="AAK1">
        <v>712</v>
      </c>
      <c r="AAL1">
        <v>713</v>
      </c>
      <c r="AAM1">
        <v>714</v>
      </c>
      <c r="AAN1">
        <v>715</v>
      </c>
      <c r="AAO1">
        <v>716</v>
      </c>
      <c r="AAP1">
        <v>717</v>
      </c>
      <c r="AAQ1">
        <v>718</v>
      </c>
      <c r="AAR1">
        <v>719</v>
      </c>
      <c r="AAS1">
        <v>720</v>
      </c>
      <c r="AAT1">
        <v>721</v>
      </c>
      <c r="AAU1">
        <v>722</v>
      </c>
      <c r="AAV1">
        <v>723</v>
      </c>
      <c r="AAW1">
        <v>724</v>
      </c>
      <c r="AAX1">
        <v>725</v>
      </c>
      <c r="AAY1">
        <v>726</v>
      </c>
      <c r="AAZ1">
        <v>727</v>
      </c>
      <c r="ABA1">
        <v>728</v>
      </c>
      <c r="ABB1">
        <v>729</v>
      </c>
      <c r="ABC1">
        <v>730</v>
      </c>
      <c r="ABD1">
        <v>731</v>
      </c>
      <c r="ABE1">
        <v>732</v>
      </c>
      <c r="ABF1">
        <v>733</v>
      </c>
      <c r="ABG1">
        <v>734</v>
      </c>
      <c r="ABH1">
        <v>735</v>
      </c>
      <c r="ABI1">
        <v>736</v>
      </c>
      <c r="ABJ1">
        <v>737</v>
      </c>
      <c r="ABK1">
        <v>738</v>
      </c>
      <c r="ABL1">
        <v>739</v>
      </c>
      <c r="ABM1">
        <v>740</v>
      </c>
      <c r="ABN1">
        <v>741</v>
      </c>
      <c r="ABO1">
        <v>742</v>
      </c>
      <c r="ABP1">
        <v>743</v>
      </c>
      <c r="ABQ1">
        <v>744</v>
      </c>
      <c r="ABR1">
        <v>745</v>
      </c>
      <c r="ABS1">
        <v>746</v>
      </c>
      <c r="ABT1">
        <v>747</v>
      </c>
      <c r="ABU1">
        <v>748</v>
      </c>
      <c r="ABV1">
        <v>749</v>
      </c>
      <c r="ABW1">
        <v>750</v>
      </c>
      <c r="ABX1">
        <v>751</v>
      </c>
      <c r="ABY1">
        <v>752</v>
      </c>
      <c r="ABZ1">
        <v>753</v>
      </c>
      <c r="ACA1">
        <v>754</v>
      </c>
      <c r="ACB1">
        <v>755</v>
      </c>
      <c r="ACC1">
        <v>756</v>
      </c>
      <c r="ACD1">
        <v>757</v>
      </c>
      <c r="ACE1">
        <v>758</v>
      </c>
      <c r="ACF1">
        <v>759</v>
      </c>
      <c r="ACG1">
        <v>760</v>
      </c>
      <c r="ACH1">
        <v>761</v>
      </c>
      <c r="ACI1">
        <v>762</v>
      </c>
      <c r="ACJ1">
        <v>763</v>
      </c>
      <c r="ACK1">
        <v>764</v>
      </c>
      <c r="ACL1">
        <v>765</v>
      </c>
      <c r="ACM1">
        <v>766</v>
      </c>
      <c r="ACN1">
        <v>767</v>
      </c>
      <c r="ACO1">
        <v>768</v>
      </c>
      <c r="ACP1">
        <v>769</v>
      </c>
      <c r="ACQ1">
        <v>770</v>
      </c>
      <c r="ACR1">
        <v>771</v>
      </c>
      <c r="ACS1">
        <v>772</v>
      </c>
      <c r="ACT1">
        <v>773</v>
      </c>
      <c r="ACU1">
        <v>774</v>
      </c>
      <c r="ACV1">
        <v>775</v>
      </c>
      <c r="ACW1">
        <v>776</v>
      </c>
      <c r="ACX1">
        <v>777</v>
      </c>
      <c r="ACY1">
        <v>778</v>
      </c>
      <c r="ACZ1">
        <v>779</v>
      </c>
      <c r="ADA1">
        <v>780</v>
      </c>
      <c r="ADB1">
        <v>781</v>
      </c>
      <c r="ADC1">
        <v>782</v>
      </c>
      <c r="ADD1">
        <v>783</v>
      </c>
      <c r="ADE1">
        <v>784</v>
      </c>
      <c r="ADF1">
        <v>785</v>
      </c>
      <c r="ADG1">
        <v>786</v>
      </c>
      <c r="ADH1">
        <v>787</v>
      </c>
      <c r="ADI1">
        <v>788</v>
      </c>
      <c r="ADJ1">
        <v>789</v>
      </c>
      <c r="ADK1">
        <v>790</v>
      </c>
      <c r="ADL1">
        <v>791</v>
      </c>
      <c r="ADM1">
        <v>792</v>
      </c>
      <c r="ADN1">
        <v>793</v>
      </c>
      <c r="ADO1">
        <v>794</v>
      </c>
      <c r="ADP1">
        <v>795</v>
      </c>
      <c r="ADQ1">
        <v>796</v>
      </c>
      <c r="ADR1">
        <v>797</v>
      </c>
      <c r="ADS1">
        <v>798</v>
      </c>
      <c r="ADT1">
        <v>799</v>
      </c>
      <c r="ADU1">
        <v>800</v>
      </c>
      <c r="ADV1">
        <v>801</v>
      </c>
      <c r="ADW1">
        <v>802</v>
      </c>
      <c r="ADX1">
        <v>803</v>
      </c>
      <c r="ADY1">
        <v>804</v>
      </c>
      <c r="ADZ1">
        <v>805</v>
      </c>
      <c r="AEA1">
        <v>806</v>
      </c>
      <c r="AEB1">
        <v>807</v>
      </c>
      <c r="AEC1">
        <v>808</v>
      </c>
      <c r="AED1">
        <v>809</v>
      </c>
      <c r="AEE1">
        <v>810</v>
      </c>
      <c r="AEF1">
        <v>811</v>
      </c>
      <c r="AEG1">
        <v>812</v>
      </c>
      <c r="AEH1">
        <v>813</v>
      </c>
      <c r="AEI1">
        <v>814</v>
      </c>
      <c r="AEJ1">
        <v>815</v>
      </c>
      <c r="AEK1">
        <v>816</v>
      </c>
      <c r="AEL1">
        <v>817</v>
      </c>
      <c r="AEM1">
        <v>818</v>
      </c>
      <c r="AEN1">
        <v>819</v>
      </c>
      <c r="AEO1">
        <v>820</v>
      </c>
      <c r="AEP1">
        <v>821</v>
      </c>
      <c r="AEQ1">
        <v>822</v>
      </c>
      <c r="AER1">
        <v>823</v>
      </c>
      <c r="AES1">
        <v>824</v>
      </c>
      <c r="AET1">
        <v>825</v>
      </c>
      <c r="AEU1">
        <v>826</v>
      </c>
      <c r="AEV1">
        <v>827</v>
      </c>
      <c r="AEW1">
        <v>828</v>
      </c>
      <c r="AEX1">
        <v>829</v>
      </c>
      <c r="AEY1">
        <v>830</v>
      </c>
      <c r="AEZ1">
        <v>831</v>
      </c>
      <c r="AFA1">
        <v>832</v>
      </c>
      <c r="AFB1">
        <v>833</v>
      </c>
      <c r="AFC1">
        <v>834</v>
      </c>
      <c r="AFD1">
        <v>835</v>
      </c>
      <c r="AFE1">
        <v>836</v>
      </c>
      <c r="AFF1">
        <v>837</v>
      </c>
      <c r="AFG1">
        <v>838</v>
      </c>
      <c r="AFH1">
        <v>839</v>
      </c>
      <c r="AFI1">
        <v>840</v>
      </c>
      <c r="AFJ1">
        <v>841</v>
      </c>
      <c r="AFK1">
        <v>842</v>
      </c>
      <c r="AFL1">
        <v>843</v>
      </c>
      <c r="AFM1">
        <v>844</v>
      </c>
      <c r="AFN1">
        <v>845</v>
      </c>
      <c r="AFO1">
        <v>846</v>
      </c>
      <c r="AFP1">
        <v>847</v>
      </c>
      <c r="AFQ1">
        <v>848</v>
      </c>
      <c r="AFR1">
        <v>849</v>
      </c>
      <c r="AFS1">
        <v>850</v>
      </c>
      <c r="AFT1">
        <v>851</v>
      </c>
      <c r="AFU1">
        <v>852</v>
      </c>
      <c r="AFV1">
        <v>853</v>
      </c>
      <c r="AFW1">
        <v>854</v>
      </c>
      <c r="AFX1">
        <v>855</v>
      </c>
      <c r="AFY1">
        <v>856</v>
      </c>
      <c r="AFZ1">
        <v>857</v>
      </c>
      <c r="AGA1">
        <v>858</v>
      </c>
      <c r="AGB1">
        <v>859</v>
      </c>
      <c r="AGC1">
        <v>860</v>
      </c>
      <c r="AGD1">
        <v>861</v>
      </c>
      <c r="AGE1">
        <v>862</v>
      </c>
      <c r="AGF1">
        <v>863</v>
      </c>
      <c r="AGG1">
        <v>864</v>
      </c>
      <c r="AGH1">
        <v>865</v>
      </c>
      <c r="AGI1">
        <v>866</v>
      </c>
      <c r="AGJ1">
        <v>867</v>
      </c>
      <c r="AGK1">
        <v>868</v>
      </c>
      <c r="AGL1">
        <v>869</v>
      </c>
      <c r="AGM1">
        <v>870</v>
      </c>
      <c r="AGN1">
        <v>871</v>
      </c>
      <c r="AGO1">
        <v>872</v>
      </c>
      <c r="AGP1">
        <v>873</v>
      </c>
      <c r="AGQ1">
        <v>874</v>
      </c>
      <c r="AGR1">
        <v>875</v>
      </c>
      <c r="AGS1">
        <v>876</v>
      </c>
      <c r="AGT1">
        <v>877</v>
      </c>
      <c r="AGU1">
        <v>878</v>
      </c>
      <c r="AGV1">
        <v>879</v>
      </c>
      <c r="AGW1">
        <v>880</v>
      </c>
      <c r="AGX1">
        <v>881</v>
      </c>
      <c r="AGY1">
        <v>882</v>
      </c>
      <c r="AGZ1">
        <v>883</v>
      </c>
      <c r="AHA1">
        <v>884</v>
      </c>
      <c r="AHB1">
        <v>885</v>
      </c>
      <c r="AHC1">
        <v>886</v>
      </c>
      <c r="AHD1">
        <v>887</v>
      </c>
      <c r="AHE1">
        <v>888</v>
      </c>
      <c r="AHF1">
        <v>889</v>
      </c>
      <c r="AHG1">
        <v>890</v>
      </c>
      <c r="AHH1">
        <v>891</v>
      </c>
    </row>
    <row r="2" spans="1:892" x14ac:dyDescent="0.2">
      <c r="A2">
        <v>0</v>
      </c>
      <c r="B2">
        <v>0</v>
      </c>
      <c r="C2">
        <v>0.83445189070000003</v>
      </c>
      <c r="D2">
        <v>1.917067028</v>
      </c>
      <c r="E2">
        <v>3.1185076139999999</v>
      </c>
      <c r="F2">
        <v>4.4042634840000003</v>
      </c>
      <c r="G2">
        <v>5.7565901229999996</v>
      </c>
      <c r="H2">
        <v>7.1644491319999997</v>
      </c>
      <c r="I2">
        <v>8.6202319339999995</v>
      </c>
      <c r="J2">
        <v>10.118340440000001</v>
      </c>
      <c r="K2">
        <v>11.654464259999999</v>
      </c>
      <c r="L2">
        <v>13.225171209999999</v>
      </c>
      <c r="M2">
        <v>14.8276568</v>
      </c>
      <c r="N2">
        <v>16.45958186</v>
      </c>
      <c r="O2">
        <v>18.11896248</v>
      </c>
      <c r="P2">
        <v>19.804092489999999</v>
      </c>
      <c r="Q2">
        <v>21.513487269999999</v>
      </c>
      <c r="R2">
        <v>23.245842029999999</v>
      </c>
      <c r="S2">
        <v>25</v>
      </c>
      <c r="T2">
        <v>27.71472262</v>
      </c>
      <c r="U2">
        <v>30.403704739999998</v>
      </c>
      <c r="V2">
        <v>33.06592105</v>
      </c>
      <c r="W2">
        <v>35.700249479999997</v>
      </c>
      <c r="X2">
        <v>38.30545618</v>
      </c>
      <c r="Y2">
        <v>40.880177240000002</v>
      </c>
      <c r="Z2">
        <v>43.422895949999997</v>
      </c>
      <c r="AA2">
        <v>45.931914419999998</v>
      </c>
      <c r="AB2">
        <v>48.405317490000002</v>
      </c>
      <c r="AC2">
        <v>50.840926080000003</v>
      </c>
      <c r="AD2">
        <v>53.236235919999999</v>
      </c>
      <c r="AE2">
        <v>55.588335020000002</v>
      </c>
      <c r="AF2">
        <v>57.893790019999997</v>
      </c>
      <c r="AG2">
        <v>60.148484539999998</v>
      </c>
      <c r="AH2">
        <v>62.347380860000001</v>
      </c>
      <c r="AI2">
        <v>64.484152300000005</v>
      </c>
      <c r="AJ2">
        <v>66.550582059999996</v>
      </c>
      <c r="AK2">
        <v>68.53550242</v>
      </c>
      <c r="AL2">
        <v>70.422711430000007</v>
      </c>
      <c r="AM2">
        <v>72.186164000000005</v>
      </c>
      <c r="AN2">
        <v>73.775206740000002</v>
      </c>
      <c r="AO2">
        <v>75</v>
      </c>
      <c r="AP2">
        <v>75.5</v>
      </c>
      <c r="AQ2">
        <v>76</v>
      </c>
      <c r="AR2">
        <v>76.5</v>
      </c>
      <c r="AS2">
        <v>77</v>
      </c>
      <c r="AT2">
        <v>77.5</v>
      </c>
      <c r="AU2">
        <v>78</v>
      </c>
      <c r="AV2">
        <v>78.5</v>
      </c>
      <c r="AW2">
        <v>79</v>
      </c>
      <c r="AX2">
        <v>79.5</v>
      </c>
      <c r="AY2">
        <v>80</v>
      </c>
      <c r="AZ2">
        <v>80.5</v>
      </c>
      <c r="BA2">
        <v>81</v>
      </c>
      <c r="BB2">
        <v>81.5</v>
      </c>
      <c r="BC2">
        <v>82</v>
      </c>
      <c r="BD2">
        <v>82.5</v>
      </c>
      <c r="BE2">
        <v>83</v>
      </c>
      <c r="BF2">
        <v>83.5</v>
      </c>
      <c r="BG2">
        <v>84</v>
      </c>
      <c r="BH2">
        <v>84.5</v>
      </c>
      <c r="BI2">
        <v>85</v>
      </c>
      <c r="BJ2">
        <v>85.061587750000001</v>
      </c>
      <c r="BK2">
        <v>85.174196469999998</v>
      </c>
      <c r="BL2">
        <v>85.320019340000002</v>
      </c>
      <c r="BM2">
        <v>85.492702010000002</v>
      </c>
      <c r="BN2">
        <v>85.68857199</v>
      </c>
      <c r="BO2">
        <v>85.90515139</v>
      </c>
      <c r="BP2">
        <v>86.140621120000006</v>
      </c>
      <c r="BQ2">
        <v>86.393571730000005</v>
      </c>
      <c r="BR2">
        <v>86.662869290000003</v>
      </c>
      <c r="BS2">
        <v>86.947575709999995</v>
      </c>
      <c r="BT2">
        <v>87.246898099999996</v>
      </c>
      <c r="BU2">
        <v>87.560154749999995</v>
      </c>
      <c r="BV2">
        <v>87.886751349999997</v>
      </c>
      <c r="BW2">
        <v>88.226163709999994</v>
      </c>
      <c r="BX2">
        <v>88.577925039999997</v>
      </c>
      <c r="BY2">
        <v>88.941616089999997</v>
      </c>
      <c r="BZ2">
        <v>89.316857679999998</v>
      </c>
      <c r="CA2">
        <v>89.703304599999996</v>
      </c>
      <c r="CB2">
        <v>90.100640909999996</v>
      </c>
      <c r="CC2">
        <v>90.508575949999994</v>
      </c>
      <c r="CD2">
        <v>90.926841190000005</v>
      </c>
      <c r="CE2">
        <v>91.355187520000001</v>
      </c>
      <c r="CF2">
        <v>91.793383039999995</v>
      </c>
      <c r="CG2">
        <v>92.241211140000004</v>
      </c>
      <c r="CH2">
        <v>92.698468930000004</v>
      </c>
      <c r="CI2">
        <v>93.164965809999998</v>
      </c>
      <c r="CJ2">
        <v>93.640522290000007</v>
      </c>
      <c r="CK2">
        <v>94.124968949999996</v>
      </c>
      <c r="CL2">
        <v>94.618145560000002</v>
      </c>
      <c r="CM2">
        <v>95.119900220000005</v>
      </c>
      <c r="CN2">
        <v>95.630088720000003</v>
      </c>
      <c r="CO2">
        <v>96.148573870000007</v>
      </c>
      <c r="CP2">
        <v>96.675224990000004</v>
      </c>
      <c r="CQ2">
        <v>97.209917349999998</v>
      </c>
      <c r="CR2">
        <v>97.7525318</v>
      </c>
      <c r="CS2">
        <v>98.302954319999998</v>
      </c>
      <c r="CT2">
        <v>98.861075679999999</v>
      </c>
      <c r="CU2">
        <v>99.426791109999996</v>
      </c>
      <c r="CV2">
        <v>100</v>
      </c>
    </row>
    <row r="3" spans="1:892" x14ac:dyDescent="0.2">
      <c r="A3">
        <v>1</v>
      </c>
      <c r="B3">
        <v>0</v>
      </c>
      <c r="C3">
        <v>1.3575584380000001</v>
      </c>
      <c r="D3">
        <v>3.1188502890000001</v>
      </c>
      <c r="E3">
        <v>5.0734576459999996</v>
      </c>
      <c r="F3">
        <v>7.1652363929999998</v>
      </c>
      <c r="G3">
        <v>9.3653182210000008</v>
      </c>
      <c r="H3">
        <v>11.6557449</v>
      </c>
      <c r="I3">
        <v>14.02413816</v>
      </c>
      <c r="J3">
        <v>16.461390519999998</v>
      </c>
      <c r="K3">
        <v>18.96048948</v>
      </c>
      <c r="L3">
        <v>21.515851269999999</v>
      </c>
      <c r="M3">
        <v>24.122913279999999</v>
      </c>
      <c r="N3">
        <v>26.777869989999999</v>
      </c>
      <c r="O3">
        <v>29.477493769999999</v>
      </c>
      <c r="P3">
        <v>32.219008860000002</v>
      </c>
      <c r="Q3">
        <v>35</v>
      </c>
      <c r="R3">
        <v>36.991572300000001</v>
      </c>
      <c r="S3">
        <v>38.965896780000001</v>
      </c>
      <c r="T3">
        <v>40.922348679999999</v>
      </c>
      <c r="U3">
        <v>42.860249869999997</v>
      </c>
      <c r="V3">
        <v>44.778861409999998</v>
      </c>
      <c r="W3">
        <v>46.677374659999998</v>
      </c>
      <c r="X3">
        <v>48.554900410000002</v>
      </c>
      <c r="Y3">
        <v>50.410455689999999</v>
      </c>
      <c r="Z3">
        <v>52.242947460000003</v>
      </c>
      <c r="AA3">
        <v>54.051152070000001</v>
      </c>
      <c r="AB3">
        <v>55.833689300000003</v>
      </c>
      <c r="AC3">
        <v>57.588988729999997</v>
      </c>
      <c r="AD3">
        <v>59.315245570000002</v>
      </c>
      <c r="AE3">
        <v>61.010361209999999</v>
      </c>
      <c r="AF3">
        <v>62.671861280000002</v>
      </c>
      <c r="AG3">
        <v>64.296779180000001</v>
      </c>
      <c r="AH3">
        <v>65.881484319999998</v>
      </c>
      <c r="AI3">
        <v>67.421417169999998</v>
      </c>
      <c r="AJ3">
        <v>68.910656029999998</v>
      </c>
      <c r="AK3">
        <v>70.341152539999996</v>
      </c>
      <c r="AL3">
        <v>71.701230219999999</v>
      </c>
      <c r="AM3">
        <v>72.972118859999995</v>
      </c>
      <c r="AN3">
        <v>74.117313469999999</v>
      </c>
      <c r="AO3">
        <v>75</v>
      </c>
      <c r="AP3">
        <v>75.5</v>
      </c>
      <c r="AQ3">
        <v>76</v>
      </c>
      <c r="AR3">
        <v>76.5</v>
      </c>
      <c r="AS3">
        <v>77</v>
      </c>
      <c r="AT3">
        <v>77.5</v>
      </c>
      <c r="AU3">
        <v>78</v>
      </c>
      <c r="AV3">
        <v>78.5</v>
      </c>
      <c r="AW3">
        <v>79</v>
      </c>
      <c r="AX3">
        <v>79.5</v>
      </c>
      <c r="AY3">
        <v>80</v>
      </c>
      <c r="AZ3">
        <v>80.5</v>
      </c>
      <c r="BA3">
        <v>81</v>
      </c>
      <c r="BB3">
        <v>81.5</v>
      </c>
      <c r="BC3">
        <v>82</v>
      </c>
      <c r="BD3">
        <v>82.5</v>
      </c>
      <c r="BE3">
        <v>83</v>
      </c>
      <c r="BF3">
        <v>83.5</v>
      </c>
      <c r="BG3">
        <v>84</v>
      </c>
      <c r="BH3">
        <v>84.5</v>
      </c>
      <c r="BI3">
        <v>85</v>
      </c>
      <c r="BJ3">
        <v>85.061587750000001</v>
      </c>
      <c r="BK3">
        <v>85.174196469999998</v>
      </c>
      <c r="BL3">
        <v>85.320019340000002</v>
      </c>
      <c r="BM3">
        <v>85.492702010000002</v>
      </c>
      <c r="BN3">
        <v>85.68857199</v>
      </c>
      <c r="BO3">
        <v>85.90515139</v>
      </c>
      <c r="BP3">
        <v>86.140621120000006</v>
      </c>
      <c r="BQ3">
        <v>86.393571730000005</v>
      </c>
      <c r="BR3">
        <v>86.662869290000003</v>
      </c>
      <c r="BS3">
        <v>86.947575709999995</v>
      </c>
      <c r="BT3">
        <v>87.246898099999996</v>
      </c>
      <c r="BU3">
        <v>87.560154749999995</v>
      </c>
      <c r="BV3">
        <v>87.886751349999997</v>
      </c>
      <c r="BW3">
        <v>88.226163709999994</v>
      </c>
      <c r="BX3">
        <v>88.577925039999997</v>
      </c>
      <c r="BY3">
        <v>88.941616089999997</v>
      </c>
      <c r="BZ3">
        <v>89.316857679999998</v>
      </c>
      <c r="CA3">
        <v>89.703304599999996</v>
      </c>
      <c r="CB3">
        <v>90.100640909999996</v>
      </c>
      <c r="CC3">
        <v>90.508575949999994</v>
      </c>
      <c r="CD3">
        <v>90.926841190000005</v>
      </c>
      <c r="CE3">
        <v>91.355187520000001</v>
      </c>
      <c r="CF3">
        <v>91.793383039999995</v>
      </c>
      <c r="CG3">
        <v>92.241211140000004</v>
      </c>
      <c r="CH3">
        <v>92.698468930000004</v>
      </c>
      <c r="CI3">
        <v>93.164965809999998</v>
      </c>
      <c r="CJ3">
        <v>93.640522290000007</v>
      </c>
      <c r="CK3">
        <v>94.124968949999996</v>
      </c>
      <c r="CL3">
        <v>94.618145560000002</v>
      </c>
      <c r="CM3">
        <v>95.119900220000005</v>
      </c>
      <c r="CN3">
        <v>95.630088720000003</v>
      </c>
      <c r="CO3">
        <v>96.148573870000007</v>
      </c>
      <c r="CP3">
        <v>96.675224990000004</v>
      </c>
      <c r="CQ3">
        <v>97.209917349999998</v>
      </c>
      <c r="CR3">
        <v>97.7525318</v>
      </c>
      <c r="CS3">
        <v>98.302954319999998</v>
      </c>
      <c r="CT3">
        <v>98.861075679999999</v>
      </c>
      <c r="CU3">
        <v>99.426791109999996</v>
      </c>
      <c r="CV3">
        <v>100</v>
      </c>
    </row>
    <row r="4" spans="1:892" x14ac:dyDescent="0.2">
      <c r="A4">
        <v>2</v>
      </c>
      <c r="B4">
        <f>0+(33-0)/33^1.2*((B1-1)*33/15)^1.2</f>
        <v>0</v>
      </c>
      <c r="C4">
        <f t="shared" ref="C4:Q4" si="0">0+(33-0)/33^1.2*((C1-1)*33/15)^1.2</f>
        <v>1.2799836701359146</v>
      </c>
      <c r="D4">
        <f t="shared" si="0"/>
        <v>2.9406302726163851</v>
      </c>
      <c r="E4">
        <f t="shared" si="0"/>
        <v>4.7835457802727932</v>
      </c>
      <c r="F4">
        <f t="shared" si="0"/>
        <v>6.7557943136178489</v>
      </c>
      <c r="G4">
        <f t="shared" si="0"/>
        <v>8.8301571793625424</v>
      </c>
      <c r="H4">
        <f t="shared" si="0"/>
        <v>10.989702337704731</v>
      </c>
      <c r="I4">
        <f t="shared" si="0"/>
        <v>13.222758833661141</v>
      </c>
      <c r="J4">
        <f t="shared" si="0"/>
        <v>15.520739629502293</v>
      </c>
      <c r="K4">
        <f t="shared" si="0"/>
        <v>17.877032938659209</v>
      </c>
      <c r="L4">
        <f t="shared" si="0"/>
        <v>20.286374052598024</v>
      </c>
      <c r="M4">
        <f t="shared" si="0"/>
        <v>22.744461097269735</v>
      </c>
      <c r="N4">
        <f t="shared" si="0"/>
        <v>25.247705994456986</v>
      </c>
      <c r="O4">
        <f t="shared" si="0"/>
        <v>27.793065554559611</v>
      </c>
      <c r="P4">
        <f t="shared" si="0"/>
        <v>30.37792264149812</v>
      </c>
      <c r="Q4">
        <f t="shared" si="0"/>
        <v>33</v>
      </c>
      <c r="R4">
        <f>72+(33-72)/39^1.2*((40-R1)*1.625)^(1.2)</f>
        <v>34.941782988944368</v>
      </c>
      <c r="S4">
        <f t="shared" ref="S4:AN4" si="1">72+(33-72)/39^1.2*((40-S1)*1.625)^(1.2)</f>
        <v>36.86674935979277</v>
      </c>
      <c r="T4">
        <f t="shared" si="1"/>
        <v>38.774289961507385</v>
      </c>
      <c r="U4">
        <f t="shared" si="1"/>
        <v>40.663743619914619</v>
      </c>
      <c r="V4">
        <f t="shared" si="1"/>
        <v>42.534389878960148</v>
      </c>
      <c r="W4">
        <f t="shared" si="1"/>
        <v>44.385440294624118</v>
      </c>
      <c r="X4">
        <f t="shared" si="1"/>
        <v>46.216027896559979</v>
      </c>
      <c r="Y4">
        <f t="shared" si="1"/>
        <v>48.025194301475075</v>
      </c>
      <c r="Z4">
        <f t="shared" si="1"/>
        <v>49.811873775619645</v>
      </c>
      <c r="AA4">
        <f t="shared" si="1"/>
        <v>51.574873272605402</v>
      </c>
      <c r="AB4">
        <f t="shared" si="1"/>
        <v>53.312847070089504</v>
      </c>
      <c r="AC4">
        <f t="shared" si="1"/>
        <v>55.024264015725592</v>
      </c>
      <c r="AD4">
        <f t="shared" si="1"/>
        <v>56.707364432371847</v>
      </c>
      <c r="AE4">
        <f t="shared" si="1"/>
        <v>58.360102178362453</v>
      </c>
      <c r="AF4">
        <f t="shared" si="1"/>
        <v>59.980064746655287</v>
      </c>
      <c r="AG4">
        <f t="shared" si="1"/>
        <v>61.564359697116998</v>
      </c>
      <c r="AH4">
        <f t="shared" si="1"/>
        <v>63.109447211035956</v>
      </c>
      <c r="AI4">
        <f t="shared" si="1"/>
        <v>64.61088173826181</v>
      </c>
      <c r="AJ4">
        <f t="shared" si="1"/>
        <v>66.062889634035926</v>
      </c>
      <c r="AK4">
        <f t="shared" si="1"/>
        <v>67.457623727984739</v>
      </c>
      <c r="AL4">
        <f t="shared" si="1"/>
        <v>68.783699467491076</v>
      </c>
      <c r="AM4">
        <f t="shared" si="1"/>
        <v>70.022815888847077</v>
      </c>
      <c r="AN4">
        <f t="shared" si="1"/>
        <v>71.139380629147837</v>
      </c>
      <c r="AO4">
        <f>72</f>
        <v>72</v>
      </c>
      <c r="AP4">
        <f t="shared" ref="AP4:BG4" si="2">81+(72-81)/9^1.2*((60-AP1)*(9/20))^(1.2)</f>
        <v>72.537263166576253</v>
      </c>
      <c r="AQ4">
        <f t="shared" si="2"/>
        <v>73.068898264876083</v>
      </c>
      <c r="AR4">
        <f t="shared" si="2"/>
        <v>73.594656294731024</v>
      </c>
      <c r="AS4">
        <f t="shared" si="2"/>
        <v>74.114262001511733</v>
      </c>
      <c r="AT4">
        <f t="shared" si="2"/>
        <v>74.627409298759417</v>
      </c>
      <c r="AU4">
        <f t="shared" si="2"/>
        <v>75.133755534902519</v>
      </c>
      <c r="AV4">
        <f t="shared" si="2"/>
        <v>75.632914208728593</v>
      </c>
      <c r="AW4">
        <f t="shared" si="2"/>
        <v>76.124445562183851</v>
      </c>
      <c r="AX4">
        <f t="shared" si="2"/>
        <v>76.607844203236681</v>
      </c>
      <c r="AY4">
        <f t="shared" si="2"/>
        <v>77.082522465167443</v>
      </c>
      <c r="AZ4">
        <f t="shared" si="2"/>
        <v>77.547787458464512</v>
      </c>
      <c r="BA4">
        <f t="shared" si="2"/>
        <v>78.002808453353254</v>
      </c>
      <c r="BB4">
        <f t="shared" si="2"/>
        <v>78.446568788238309</v>
      </c>
      <c r="BC4">
        <f t="shared" si="2"/>
        <v>78.877791668889117</v>
      </c>
      <c r="BD4">
        <f t="shared" si="2"/>
        <v>79.294818862675797</v>
      </c>
      <c r="BE4">
        <f t="shared" si="2"/>
        <v>79.695396605380154</v>
      </c>
      <c r="BF4">
        <f t="shared" si="2"/>
        <v>80.076255170959854</v>
      </c>
      <c r="BG4">
        <f t="shared" si="2"/>
        <v>80.432138389967832</v>
      </c>
      <c r="BH4">
        <f>81+(72-81)/9^1.2*((60-BH1)*(9/20))^(1.2)</f>
        <v>80.752823877756128</v>
      </c>
      <c r="BI4">
        <v>81</v>
      </c>
      <c r="BJ4">
        <f t="shared" ref="BJ4:CT4" si="3">100+(81-100)/19^2*((99-BJ1)*19/39)^2</f>
        <v>81.961867192636419</v>
      </c>
      <c r="BK4">
        <f t="shared" si="3"/>
        <v>82.898750821827747</v>
      </c>
      <c r="BL4">
        <f t="shared" si="3"/>
        <v>83.810650887573956</v>
      </c>
      <c r="BM4">
        <f t="shared" si="3"/>
        <v>84.697567389875076</v>
      </c>
      <c r="BN4">
        <f t="shared" si="3"/>
        <v>85.55950032873109</v>
      </c>
      <c r="BO4">
        <f t="shared" si="3"/>
        <v>86.396449704142015</v>
      </c>
      <c r="BP4">
        <f t="shared" si="3"/>
        <v>87.20841551610782</v>
      </c>
      <c r="BQ4">
        <f t="shared" si="3"/>
        <v>87.995397764628535</v>
      </c>
      <c r="BR4">
        <f t="shared" si="3"/>
        <v>88.757396449704146</v>
      </c>
      <c r="BS4">
        <f t="shared" si="3"/>
        <v>89.494411571334652</v>
      </c>
      <c r="BT4">
        <f t="shared" si="3"/>
        <v>90.206443129520054</v>
      </c>
      <c r="BU4">
        <f t="shared" si="3"/>
        <v>90.89349112426035</v>
      </c>
      <c r="BV4">
        <f t="shared" si="3"/>
        <v>91.555555555555557</v>
      </c>
      <c r="BW4">
        <f t="shared" si="3"/>
        <v>92.192636423405659</v>
      </c>
      <c r="BX4">
        <f t="shared" si="3"/>
        <v>92.804733727810657</v>
      </c>
      <c r="BY4">
        <f t="shared" si="3"/>
        <v>93.39184746877055</v>
      </c>
      <c r="BZ4">
        <f t="shared" si="3"/>
        <v>93.953977646285338</v>
      </c>
      <c r="CA4">
        <f t="shared" si="3"/>
        <v>94.491124260355036</v>
      </c>
      <c r="CB4">
        <f t="shared" si="3"/>
        <v>95.003287310979616</v>
      </c>
      <c r="CC4">
        <f t="shared" si="3"/>
        <v>95.490466798159105</v>
      </c>
      <c r="CD4">
        <f t="shared" si="3"/>
        <v>95.952662721893489</v>
      </c>
      <c r="CE4">
        <f t="shared" si="3"/>
        <v>96.389875082182769</v>
      </c>
      <c r="CF4">
        <f t="shared" si="3"/>
        <v>96.802103879026959</v>
      </c>
      <c r="CG4">
        <f t="shared" si="3"/>
        <v>97.189349112426029</v>
      </c>
      <c r="CH4">
        <f t="shared" si="3"/>
        <v>97.55161078238001</v>
      </c>
      <c r="CI4">
        <f t="shared" si="3"/>
        <v>97.888888888888886</v>
      </c>
      <c r="CJ4">
        <f t="shared" si="3"/>
        <v>98.201183431952657</v>
      </c>
      <c r="CK4">
        <f t="shared" si="3"/>
        <v>98.488494411571338</v>
      </c>
      <c r="CL4">
        <f t="shared" si="3"/>
        <v>98.7508218277449</v>
      </c>
      <c r="CM4">
        <f t="shared" si="3"/>
        <v>98.988165680473372</v>
      </c>
      <c r="CN4">
        <f t="shared" si="3"/>
        <v>99.20052596975674</v>
      </c>
      <c r="CO4">
        <f t="shared" si="3"/>
        <v>99.387902695595002</v>
      </c>
      <c r="CP4">
        <f t="shared" si="3"/>
        <v>99.550295857988161</v>
      </c>
      <c r="CQ4">
        <f t="shared" si="3"/>
        <v>99.687705456936229</v>
      </c>
      <c r="CR4">
        <f t="shared" si="3"/>
        <v>99.800131492439178</v>
      </c>
      <c r="CS4">
        <f t="shared" si="3"/>
        <v>99.887573964497037</v>
      </c>
      <c r="CT4">
        <f t="shared" si="3"/>
        <v>99.950032873109791</v>
      </c>
      <c r="CU4">
        <f>100+(81-100)/19^2*((99-CU1)*19/39)^2</f>
        <v>99.987508218277455</v>
      </c>
      <c r="CV4">
        <v>100</v>
      </c>
    </row>
    <row r="5" spans="1:892" x14ac:dyDescent="0.2">
      <c r="A5">
        <v>3</v>
      </c>
      <c r="B5">
        <v>0</v>
      </c>
      <c r="C5">
        <v>1.5789473679999999</v>
      </c>
      <c r="D5">
        <v>3.1578947369999999</v>
      </c>
      <c r="E5">
        <v>4.736842105</v>
      </c>
      <c r="F5">
        <v>6.3157894739999998</v>
      </c>
      <c r="G5">
        <v>7.8947368420000004</v>
      </c>
      <c r="H5">
        <v>9.4736842110000001</v>
      </c>
      <c r="I5">
        <v>11.05263158</v>
      </c>
      <c r="J5">
        <v>12.63157895</v>
      </c>
      <c r="K5">
        <v>14.21052632</v>
      </c>
      <c r="L5">
        <v>15.78947368</v>
      </c>
      <c r="M5">
        <v>17.368421049999998</v>
      </c>
      <c r="N5">
        <v>18.94736842</v>
      </c>
      <c r="O5">
        <v>20.526315790000002</v>
      </c>
      <c r="P5">
        <v>22.10526316</v>
      </c>
      <c r="Q5">
        <v>23.684210530000001</v>
      </c>
      <c r="R5">
        <v>25.263157889999999</v>
      </c>
      <c r="S5">
        <v>26.84210526</v>
      </c>
      <c r="T5">
        <v>28.421052629999998</v>
      </c>
      <c r="U5">
        <v>30</v>
      </c>
      <c r="V5">
        <v>33.200000000000003</v>
      </c>
      <c r="W5">
        <v>36.4</v>
      </c>
      <c r="X5">
        <v>39.6</v>
      </c>
      <c r="Y5">
        <v>42.8</v>
      </c>
      <c r="Z5">
        <v>46</v>
      </c>
      <c r="AA5">
        <v>49.2</v>
      </c>
      <c r="AB5">
        <v>52.4</v>
      </c>
      <c r="AC5">
        <v>55.6</v>
      </c>
      <c r="AD5">
        <v>58.8</v>
      </c>
      <c r="AE5">
        <v>62</v>
      </c>
      <c r="AF5">
        <v>63</v>
      </c>
      <c r="AG5">
        <v>64</v>
      </c>
      <c r="AH5">
        <v>65</v>
      </c>
      <c r="AI5">
        <v>66</v>
      </c>
      <c r="AJ5">
        <v>67</v>
      </c>
      <c r="AK5">
        <v>68</v>
      </c>
      <c r="AL5">
        <v>69</v>
      </c>
      <c r="AM5">
        <v>70</v>
      </c>
      <c r="AN5">
        <v>71</v>
      </c>
      <c r="AO5">
        <v>72</v>
      </c>
      <c r="AP5">
        <v>73</v>
      </c>
      <c r="AQ5">
        <v>74</v>
      </c>
      <c r="AR5">
        <v>75</v>
      </c>
      <c r="AS5">
        <v>76</v>
      </c>
      <c r="AT5">
        <v>77</v>
      </c>
      <c r="AU5">
        <v>78</v>
      </c>
      <c r="AV5">
        <v>79</v>
      </c>
      <c r="AW5">
        <v>80</v>
      </c>
      <c r="AX5">
        <v>81</v>
      </c>
      <c r="AY5">
        <v>82</v>
      </c>
      <c r="AZ5">
        <v>82.367346940000004</v>
      </c>
      <c r="BA5">
        <v>82.734693879999995</v>
      </c>
      <c r="BB5">
        <v>83.102040819999999</v>
      </c>
      <c r="BC5">
        <v>83.469387760000004</v>
      </c>
      <c r="BD5">
        <v>83.83673469</v>
      </c>
      <c r="BE5">
        <v>84.204081630000005</v>
      </c>
      <c r="BF5">
        <v>84.571428569999995</v>
      </c>
      <c r="BG5">
        <v>84.938775509999999</v>
      </c>
      <c r="BH5">
        <v>85.306122450000004</v>
      </c>
      <c r="BI5">
        <v>85.673469389999994</v>
      </c>
      <c r="BJ5">
        <v>86.040816329999998</v>
      </c>
      <c r="BK5">
        <v>86.408163270000003</v>
      </c>
      <c r="BL5">
        <v>86.775510199999999</v>
      </c>
      <c r="BM5">
        <v>87.142857140000004</v>
      </c>
      <c r="BN5">
        <v>87.510204079999994</v>
      </c>
      <c r="BO5">
        <v>87.877551019999999</v>
      </c>
      <c r="BP5">
        <v>88.244897960000003</v>
      </c>
      <c r="BQ5">
        <v>88.612244899999993</v>
      </c>
      <c r="BR5">
        <v>88.979591839999998</v>
      </c>
      <c r="BS5">
        <v>89.346938780000002</v>
      </c>
      <c r="BT5">
        <v>89.714285709999999</v>
      </c>
      <c r="BU5">
        <v>90.081632650000003</v>
      </c>
      <c r="BV5">
        <v>90.448979589999993</v>
      </c>
      <c r="BW5">
        <v>90.816326529999998</v>
      </c>
      <c r="BX5">
        <v>91.183673470000002</v>
      </c>
      <c r="BY5">
        <v>91.551020410000007</v>
      </c>
      <c r="BZ5">
        <v>91.918367349999997</v>
      </c>
      <c r="CA5">
        <v>92.285714290000001</v>
      </c>
      <c r="CB5">
        <v>92.653061219999998</v>
      </c>
      <c r="CC5">
        <v>93.020408160000002</v>
      </c>
      <c r="CD5">
        <v>93.387755100000007</v>
      </c>
      <c r="CE5">
        <v>93.755102039999997</v>
      </c>
      <c r="CF5">
        <v>94.122448980000001</v>
      </c>
      <c r="CG5">
        <v>94.489795920000006</v>
      </c>
      <c r="CH5">
        <v>94.857142859999996</v>
      </c>
      <c r="CI5">
        <v>95.224489800000001</v>
      </c>
      <c r="CJ5">
        <v>95.591836729999997</v>
      </c>
      <c r="CK5">
        <v>95.959183670000002</v>
      </c>
      <c r="CL5">
        <v>96.326530610000006</v>
      </c>
      <c r="CM5">
        <v>96.693877549999996</v>
      </c>
      <c r="CN5">
        <v>97.061224490000001</v>
      </c>
      <c r="CO5">
        <v>97.428571430000005</v>
      </c>
      <c r="CP5">
        <v>97.795918369999995</v>
      </c>
      <c r="CQ5">
        <v>98.16326531</v>
      </c>
      <c r="CR5">
        <v>98.530612239999996</v>
      </c>
      <c r="CS5">
        <v>98.897959180000001</v>
      </c>
      <c r="CT5">
        <v>99.265306120000005</v>
      </c>
      <c r="CU5">
        <v>99.632653059999996</v>
      </c>
      <c r="CV5">
        <v>100</v>
      </c>
    </row>
    <row r="6" spans="1:892" x14ac:dyDescent="0.2">
      <c r="A6">
        <v>4</v>
      </c>
      <c r="B6">
        <v>0</v>
      </c>
      <c r="C6">
        <v>2.3684210530000001</v>
      </c>
      <c r="D6">
        <v>4.736842105</v>
      </c>
      <c r="E6">
        <v>7.1052631579999996</v>
      </c>
      <c r="F6">
        <v>9.4736842110000001</v>
      </c>
      <c r="G6">
        <v>11.84210526</v>
      </c>
      <c r="H6">
        <v>14.21052632</v>
      </c>
      <c r="I6">
        <v>16.578947370000002</v>
      </c>
      <c r="J6">
        <v>18.94736842</v>
      </c>
      <c r="K6">
        <v>21.315789469999999</v>
      </c>
      <c r="L6">
        <v>23.684210530000001</v>
      </c>
      <c r="M6">
        <v>26.05263158</v>
      </c>
      <c r="N6">
        <v>28.421052629999998</v>
      </c>
      <c r="O6">
        <v>30.78947368</v>
      </c>
      <c r="P6">
        <v>33.157894740000003</v>
      </c>
      <c r="Q6">
        <v>35.526315789999998</v>
      </c>
      <c r="R6">
        <v>37.89473684</v>
      </c>
      <c r="S6">
        <v>40.263157890000002</v>
      </c>
      <c r="T6">
        <v>42.631578949999998</v>
      </c>
      <c r="U6">
        <v>45</v>
      </c>
      <c r="V6">
        <v>48.5</v>
      </c>
      <c r="W6">
        <v>52</v>
      </c>
      <c r="X6">
        <v>55.5</v>
      </c>
      <c r="Y6">
        <v>59</v>
      </c>
      <c r="Z6">
        <v>62.5</v>
      </c>
      <c r="AA6">
        <v>66</v>
      </c>
      <c r="AB6">
        <v>69.5</v>
      </c>
      <c r="AC6">
        <v>73</v>
      </c>
      <c r="AD6">
        <v>76.5</v>
      </c>
      <c r="AE6">
        <v>80</v>
      </c>
      <c r="AF6">
        <v>80.5</v>
      </c>
      <c r="AG6">
        <v>81</v>
      </c>
      <c r="AH6">
        <v>81.5</v>
      </c>
      <c r="AI6">
        <v>82</v>
      </c>
      <c r="AJ6">
        <v>82.5</v>
      </c>
      <c r="AK6">
        <v>83</v>
      </c>
      <c r="AL6">
        <v>83.5</v>
      </c>
      <c r="AM6">
        <v>84</v>
      </c>
      <c r="AN6">
        <v>84.5</v>
      </c>
      <c r="AO6">
        <v>85</v>
      </c>
      <c r="AP6">
        <v>85.5</v>
      </c>
      <c r="AQ6">
        <v>86</v>
      </c>
      <c r="AR6">
        <v>86.5</v>
      </c>
      <c r="AS6">
        <v>87</v>
      </c>
      <c r="AT6">
        <v>87.5</v>
      </c>
      <c r="AU6">
        <v>88</v>
      </c>
      <c r="AV6">
        <v>88.5</v>
      </c>
      <c r="AW6">
        <v>89</v>
      </c>
      <c r="AX6">
        <v>89.5</v>
      </c>
      <c r="AY6">
        <v>90</v>
      </c>
      <c r="AZ6">
        <v>90.204081630000005</v>
      </c>
      <c r="BA6">
        <v>90.408163270000003</v>
      </c>
      <c r="BB6">
        <v>90.612244899999993</v>
      </c>
      <c r="BC6">
        <v>90.816326529999998</v>
      </c>
      <c r="BD6">
        <v>91.020408160000002</v>
      </c>
      <c r="BE6">
        <v>91.224489800000001</v>
      </c>
      <c r="BF6">
        <v>91.428571430000005</v>
      </c>
      <c r="BG6">
        <v>91.632653059999996</v>
      </c>
      <c r="BH6">
        <v>91.83673469</v>
      </c>
      <c r="BI6">
        <v>92.040816329999998</v>
      </c>
      <c r="BJ6">
        <v>92.244897960000003</v>
      </c>
      <c r="BK6">
        <v>92.448979589999993</v>
      </c>
      <c r="BL6">
        <v>92.653061219999998</v>
      </c>
      <c r="BM6">
        <v>92.857142859999996</v>
      </c>
      <c r="BN6">
        <v>93.061224490000001</v>
      </c>
      <c r="BO6">
        <v>93.265306120000005</v>
      </c>
      <c r="BP6">
        <v>93.469387760000004</v>
      </c>
      <c r="BQ6">
        <v>93.673469389999994</v>
      </c>
      <c r="BR6">
        <v>93.877551019999999</v>
      </c>
      <c r="BS6">
        <v>94.081632650000003</v>
      </c>
      <c r="BT6">
        <v>94.285714290000001</v>
      </c>
      <c r="BU6">
        <v>94.489795920000006</v>
      </c>
      <c r="BV6">
        <v>94.693877549999996</v>
      </c>
      <c r="BW6">
        <v>94.897959180000001</v>
      </c>
      <c r="BX6">
        <v>95.102040819999999</v>
      </c>
      <c r="BY6">
        <v>95.306122450000004</v>
      </c>
      <c r="BZ6">
        <v>95.510204079999994</v>
      </c>
      <c r="CA6">
        <v>95.714285709999999</v>
      </c>
      <c r="CB6">
        <v>95.918367349999997</v>
      </c>
      <c r="CC6">
        <v>96.122448980000001</v>
      </c>
      <c r="CD6">
        <v>96.326530610000006</v>
      </c>
      <c r="CE6">
        <v>96.530612239999996</v>
      </c>
      <c r="CF6">
        <v>96.734693879999995</v>
      </c>
      <c r="CG6">
        <v>96.938775509999999</v>
      </c>
      <c r="CH6">
        <v>97.142857140000004</v>
      </c>
      <c r="CI6">
        <v>97.346938780000002</v>
      </c>
      <c r="CJ6">
        <v>97.551020410000007</v>
      </c>
      <c r="CK6">
        <v>97.755102039999997</v>
      </c>
      <c r="CL6">
        <v>97.959183670000002</v>
      </c>
      <c r="CM6">
        <v>98.16326531</v>
      </c>
      <c r="CN6">
        <v>98.367346940000004</v>
      </c>
      <c r="CO6">
        <v>98.571428569999995</v>
      </c>
      <c r="CP6">
        <v>98.775510199999999</v>
      </c>
      <c r="CQ6">
        <v>98.979591839999998</v>
      </c>
      <c r="CR6">
        <v>99.183673470000002</v>
      </c>
      <c r="CS6">
        <v>99.387755100000007</v>
      </c>
      <c r="CT6">
        <v>99.591836729999997</v>
      </c>
      <c r="CU6">
        <v>99.795918369999995</v>
      </c>
      <c r="CV6">
        <v>100</v>
      </c>
    </row>
    <row r="7" spans="1:892" x14ac:dyDescent="0.2">
      <c r="A7">
        <v>5</v>
      </c>
      <c r="B7">
        <v>0</v>
      </c>
      <c r="C7">
        <v>0.96551724139999995</v>
      </c>
      <c r="D7">
        <v>1.9310344829999999</v>
      </c>
      <c r="E7">
        <v>2.896551724</v>
      </c>
      <c r="F7">
        <v>3.8620689659999998</v>
      </c>
      <c r="G7">
        <v>4.8275862070000004</v>
      </c>
      <c r="H7">
        <v>5.7931034480000001</v>
      </c>
      <c r="I7">
        <v>6.7586206899999999</v>
      </c>
      <c r="J7">
        <v>7.7241379309999996</v>
      </c>
      <c r="K7">
        <v>8.6896551720000001</v>
      </c>
      <c r="L7">
        <v>9.6551724140000008</v>
      </c>
      <c r="M7">
        <v>10.62068966</v>
      </c>
      <c r="N7">
        <v>11.586206900000001</v>
      </c>
      <c r="O7">
        <v>12.551724139999999</v>
      </c>
      <c r="P7">
        <v>13.51724138</v>
      </c>
      <c r="Q7">
        <v>14.48275862</v>
      </c>
      <c r="R7">
        <v>15.448275860000001</v>
      </c>
      <c r="S7">
        <v>16.413793099999999</v>
      </c>
      <c r="T7">
        <v>17.37931034</v>
      </c>
      <c r="U7">
        <v>18.344827590000001</v>
      </c>
      <c r="V7">
        <v>19.310344829999998</v>
      </c>
      <c r="W7">
        <v>20.275862069999999</v>
      </c>
      <c r="X7">
        <v>21.241379309999999</v>
      </c>
      <c r="Y7">
        <v>22.20689655</v>
      </c>
      <c r="Z7">
        <v>23.17241379</v>
      </c>
      <c r="AA7">
        <v>24.137931030000001</v>
      </c>
      <c r="AB7">
        <v>25.103448279999999</v>
      </c>
      <c r="AC7">
        <v>26.068965519999999</v>
      </c>
      <c r="AD7">
        <v>27.03448276</v>
      </c>
      <c r="AE7">
        <v>28</v>
      </c>
      <c r="AF7">
        <v>31.2</v>
      </c>
      <c r="AG7">
        <v>34.4</v>
      </c>
      <c r="AH7">
        <v>37.6</v>
      </c>
      <c r="AI7">
        <v>40.799999999999997</v>
      </c>
      <c r="AJ7">
        <v>44</v>
      </c>
      <c r="AK7">
        <v>47.2</v>
      </c>
      <c r="AL7">
        <v>50.4</v>
      </c>
      <c r="AM7">
        <v>53.6</v>
      </c>
      <c r="AN7">
        <v>56.8</v>
      </c>
      <c r="AO7">
        <v>60</v>
      </c>
      <c r="AP7">
        <v>61.5</v>
      </c>
      <c r="AQ7">
        <v>63</v>
      </c>
      <c r="AR7">
        <v>64.5</v>
      </c>
      <c r="AS7">
        <v>66</v>
      </c>
      <c r="AT7">
        <v>67.5</v>
      </c>
      <c r="AU7">
        <v>69</v>
      </c>
      <c r="AV7">
        <v>70.5</v>
      </c>
      <c r="AW7">
        <v>72</v>
      </c>
      <c r="AX7">
        <v>73.5</v>
      </c>
      <c r="AY7">
        <v>75</v>
      </c>
      <c r="AZ7">
        <v>76.5</v>
      </c>
      <c r="BA7">
        <v>78</v>
      </c>
      <c r="BB7">
        <v>79.5</v>
      </c>
      <c r="BC7">
        <v>81</v>
      </c>
      <c r="BD7">
        <v>82.5</v>
      </c>
      <c r="BE7">
        <v>84</v>
      </c>
      <c r="BF7">
        <v>85.5</v>
      </c>
      <c r="BG7">
        <v>87</v>
      </c>
      <c r="BH7">
        <v>88.5</v>
      </c>
      <c r="BI7">
        <v>90</v>
      </c>
      <c r="BJ7">
        <v>90.256410259999996</v>
      </c>
      <c r="BK7">
        <v>90.512820509999997</v>
      </c>
      <c r="BL7">
        <v>90.769230769999993</v>
      </c>
      <c r="BM7">
        <v>91.025641030000003</v>
      </c>
      <c r="BN7">
        <v>91.282051280000005</v>
      </c>
      <c r="BO7">
        <v>91.53846154</v>
      </c>
      <c r="BP7">
        <v>91.794871790000002</v>
      </c>
      <c r="BQ7">
        <v>92.051282049999998</v>
      </c>
      <c r="BR7">
        <v>92.307692309999993</v>
      </c>
      <c r="BS7">
        <v>92.564102559999995</v>
      </c>
      <c r="BT7">
        <v>92.820512820000005</v>
      </c>
      <c r="BU7">
        <v>93.07692308</v>
      </c>
      <c r="BV7">
        <v>93.333333330000002</v>
      </c>
      <c r="BW7">
        <v>93.589743589999998</v>
      </c>
      <c r="BX7">
        <v>93.846153849999993</v>
      </c>
      <c r="BY7">
        <v>94.102564099999995</v>
      </c>
      <c r="BZ7">
        <v>94.358974360000005</v>
      </c>
      <c r="CA7">
        <v>94.61538462</v>
      </c>
      <c r="CB7">
        <v>94.871794870000002</v>
      </c>
      <c r="CC7">
        <v>95.128205129999998</v>
      </c>
      <c r="CD7">
        <v>95.38461538</v>
      </c>
      <c r="CE7">
        <v>95.641025639999995</v>
      </c>
      <c r="CF7">
        <v>95.897435900000005</v>
      </c>
      <c r="CG7">
        <v>96.153846150000007</v>
      </c>
      <c r="CH7">
        <v>96.410256410000002</v>
      </c>
      <c r="CI7">
        <v>96.666666669999998</v>
      </c>
      <c r="CJ7">
        <v>96.92307692</v>
      </c>
      <c r="CK7">
        <v>97.179487179999995</v>
      </c>
      <c r="CL7">
        <v>97.435897440000005</v>
      </c>
      <c r="CM7">
        <v>97.692307690000007</v>
      </c>
      <c r="CN7">
        <v>97.948717950000002</v>
      </c>
      <c r="CO7">
        <v>98.205128209999998</v>
      </c>
      <c r="CP7">
        <v>98.46153846</v>
      </c>
      <c r="CQ7">
        <v>98.717948719999995</v>
      </c>
      <c r="CR7">
        <v>98.974358969999997</v>
      </c>
      <c r="CS7">
        <v>99.230769230000007</v>
      </c>
      <c r="CT7">
        <v>99.487179490000003</v>
      </c>
      <c r="CU7">
        <v>99.743589740000004</v>
      </c>
      <c r="CV7">
        <v>100</v>
      </c>
    </row>
    <row r="8" spans="1:892" x14ac:dyDescent="0.2">
      <c r="A8">
        <v>6</v>
      </c>
      <c r="B8">
        <v>0</v>
      </c>
      <c r="C8">
        <v>0.41666666670000002</v>
      </c>
      <c r="D8">
        <v>0.83333333330000003</v>
      </c>
      <c r="E8">
        <v>1.25</v>
      </c>
      <c r="F8">
        <v>1.6666666670000001</v>
      </c>
      <c r="G8">
        <v>2.0833333330000001</v>
      </c>
      <c r="H8">
        <v>2.5</v>
      </c>
      <c r="I8">
        <v>2.9166666669999999</v>
      </c>
      <c r="J8">
        <v>3.3333333330000001</v>
      </c>
      <c r="K8">
        <v>3.75</v>
      </c>
      <c r="L8">
        <v>4.1666666670000003</v>
      </c>
      <c r="M8">
        <v>4.5833333329999997</v>
      </c>
      <c r="N8">
        <v>5</v>
      </c>
      <c r="O8">
        <v>5.4166666670000003</v>
      </c>
      <c r="P8">
        <v>5.8333333329999997</v>
      </c>
      <c r="Q8">
        <v>6.25</v>
      </c>
      <c r="R8">
        <v>6.6666666670000003</v>
      </c>
      <c r="S8">
        <v>7.0833333329999997</v>
      </c>
      <c r="T8">
        <v>7.5</v>
      </c>
      <c r="U8">
        <v>7.9166666670000003</v>
      </c>
      <c r="V8">
        <v>8.3333333330000006</v>
      </c>
      <c r="W8">
        <v>8.75</v>
      </c>
      <c r="X8">
        <v>9.1666666669999994</v>
      </c>
      <c r="Y8">
        <v>9.5833333330000006</v>
      </c>
      <c r="Z8">
        <v>10</v>
      </c>
      <c r="AA8">
        <v>12.25</v>
      </c>
      <c r="AB8">
        <v>14.5</v>
      </c>
      <c r="AC8">
        <v>16.75</v>
      </c>
      <c r="AD8">
        <v>19</v>
      </c>
      <c r="AE8">
        <v>21.25</v>
      </c>
      <c r="AF8">
        <v>23.5</v>
      </c>
      <c r="AG8">
        <v>25.75</v>
      </c>
      <c r="AH8">
        <v>28</v>
      </c>
      <c r="AI8">
        <v>30.25</v>
      </c>
      <c r="AJ8">
        <v>32.5</v>
      </c>
      <c r="AK8">
        <v>34.75</v>
      </c>
      <c r="AL8">
        <v>37</v>
      </c>
      <c r="AM8">
        <v>39.25</v>
      </c>
      <c r="AN8">
        <v>41.5</v>
      </c>
      <c r="AO8">
        <v>43.75</v>
      </c>
      <c r="AP8">
        <v>46</v>
      </c>
      <c r="AQ8">
        <v>48.25</v>
      </c>
      <c r="AR8">
        <v>50.5</v>
      </c>
      <c r="AS8">
        <v>52.75</v>
      </c>
      <c r="AT8">
        <v>55</v>
      </c>
      <c r="AU8">
        <v>57.333333330000002</v>
      </c>
      <c r="AV8">
        <v>59.666666669999998</v>
      </c>
      <c r="AW8">
        <v>62</v>
      </c>
      <c r="AX8">
        <v>64.333333330000002</v>
      </c>
      <c r="AY8">
        <v>66.666666669999998</v>
      </c>
      <c r="AZ8">
        <v>69</v>
      </c>
      <c r="BA8">
        <v>71.333333330000002</v>
      </c>
      <c r="BB8">
        <v>73.666666669999998</v>
      </c>
      <c r="BC8">
        <v>76</v>
      </c>
      <c r="BD8">
        <v>78.333333330000002</v>
      </c>
      <c r="BE8">
        <v>80.666666669999998</v>
      </c>
      <c r="BF8">
        <v>83</v>
      </c>
      <c r="BG8">
        <v>85.333333330000002</v>
      </c>
      <c r="BH8">
        <v>87.666666669999998</v>
      </c>
      <c r="BI8">
        <v>90</v>
      </c>
      <c r="BJ8">
        <v>90.256410259999996</v>
      </c>
      <c r="BK8">
        <v>90.512820509999997</v>
      </c>
      <c r="BL8">
        <v>90.769230769999993</v>
      </c>
      <c r="BM8">
        <v>91.025641030000003</v>
      </c>
      <c r="BN8">
        <v>91.282051280000005</v>
      </c>
      <c r="BO8">
        <v>91.53846154</v>
      </c>
      <c r="BP8">
        <v>91.794871790000002</v>
      </c>
      <c r="BQ8">
        <v>92.051282049999998</v>
      </c>
      <c r="BR8">
        <v>92.307692309999993</v>
      </c>
      <c r="BS8">
        <v>92.564102559999995</v>
      </c>
      <c r="BT8">
        <v>92.820512820000005</v>
      </c>
      <c r="BU8">
        <v>93.07692308</v>
      </c>
      <c r="BV8">
        <v>93.333333330000002</v>
      </c>
      <c r="BW8">
        <v>93.589743589999998</v>
      </c>
      <c r="BX8">
        <v>93.846153849999993</v>
      </c>
      <c r="BY8">
        <v>94.102564099999995</v>
      </c>
      <c r="BZ8">
        <v>94.358974360000005</v>
      </c>
      <c r="CA8">
        <v>94.61538462</v>
      </c>
      <c r="CB8">
        <v>94.871794870000002</v>
      </c>
      <c r="CC8">
        <v>95.128205129999998</v>
      </c>
      <c r="CD8">
        <v>95.38461538</v>
      </c>
      <c r="CE8">
        <v>95.641025639999995</v>
      </c>
      <c r="CF8">
        <v>95.897435900000005</v>
      </c>
      <c r="CG8">
        <v>96.153846150000007</v>
      </c>
      <c r="CH8">
        <v>96.410256410000002</v>
      </c>
      <c r="CI8">
        <v>96.666666669999998</v>
      </c>
      <c r="CJ8">
        <v>96.92307692</v>
      </c>
      <c r="CK8">
        <v>97.179487179999995</v>
      </c>
      <c r="CL8">
        <v>97.435897440000005</v>
      </c>
      <c r="CM8">
        <v>97.692307690000007</v>
      </c>
      <c r="CN8">
        <v>97.948717950000002</v>
      </c>
      <c r="CO8">
        <v>98.205128209999998</v>
      </c>
      <c r="CP8">
        <v>98.46153846</v>
      </c>
      <c r="CQ8">
        <v>98.717948719999995</v>
      </c>
      <c r="CR8">
        <v>98.974358969999997</v>
      </c>
      <c r="CS8">
        <v>99.230769230000007</v>
      </c>
      <c r="CT8">
        <v>99.487179490000003</v>
      </c>
      <c r="CU8">
        <v>99.743589740000004</v>
      </c>
      <c r="CV8">
        <v>100</v>
      </c>
    </row>
    <row r="9" spans="1:892" x14ac:dyDescent="0.2">
      <c r="A9">
        <v>7</v>
      </c>
      <c r="B9">
        <v>0</v>
      </c>
      <c r="C9">
        <v>0.78947368421052633</v>
      </c>
      <c r="D9">
        <v>1.57894736842105</v>
      </c>
      <c r="E9">
        <v>2.3684210526315801</v>
      </c>
      <c r="F9">
        <v>3.1578947368421102</v>
      </c>
      <c r="G9">
        <v>3.9473684210526301</v>
      </c>
      <c r="H9">
        <v>4.7368421052631602</v>
      </c>
      <c r="I9">
        <v>5.5263157894736796</v>
      </c>
      <c r="J9">
        <v>6.3157894736842097</v>
      </c>
      <c r="K9">
        <v>7.1052631578947398</v>
      </c>
      <c r="L9">
        <v>7.8947368421052602</v>
      </c>
      <c r="M9">
        <v>8.6842105263157894</v>
      </c>
      <c r="N9">
        <v>9.4736842105263204</v>
      </c>
      <c r="O9">
        <v>10.2631578947368</v>
      </c>
      <c r="P9">
        <v>11.0526315789474</v>
      </c>
      <c r="Q9">
        <v>11.842105263157899</v>
      </c>
      <c r="R9">
        <v>12.6315789473684</v>
      </c>
      <c r="S9">
        <v>13.421052631578901</v>
      </c>
      <c r="T9">
        <v>14.210526315789499</v>
      </c>
      <c r="U9">
        <v>15</v>
      </c>
      <c r="V9">
        <v>17.75</v>
      </c>
      <c r="W9">
        <v>20.5</v>
      </c>
      <c r="X9">
        <v>23.25</v>
      </c>
      <c r="Y9">
        <v>26</v>
      </c>
      <c r="Z9">
        <v>28.75</v>
      </c>
      <c r="AA9">
        <v>31.5</v>
      </c>
      <c r="AB9">
        <v>34.25</v>
      </c>
      <c r="AC9">
        <v>37</v>
      </c>
      <c r="AD9">
        <v>39.75</v>
      </c>
      <c r="AE9">
        <v>42.5</v>
      </c>
      <c r="AF9">
        <v>45.25</v>
      </c>
      <c r="AG9">
        <v>48</v>
      </c>
      <c r="AH9">
        <v>50.75</v>
      </c>
      <c r="AI9">
        <v>53.5</v>
      </c>
      <c r="AJ9">
        <v>56.25</v>
      </c>
      <c r="AK9">
        <v>59</v>
      </c>
      <c r="AL9">
        <v>61.75</v>
      </c>
      <c r="AM9">
        <v>64.5</v>
      </c>
      <c r="AN9">
        <v>67.25</v>
      </c>
      <c r="AO9">
        <v>70</v>
      </c>
      <c r="AP9">
        <v>72</v>
      </c>
      <c r="AQ9">
        <v>74</v>
      </c>
      <c r="AR9">
        <v>76</v>
      </c>
      <c r="AS9">
        <v>78</v>
      </c>
      <c r="AT9">
        <v>80</v>
      </c>
      <c r="AU9">
        <v>82</v>
      </c>
      <c r="AV9">
        <v>84</v>
      </c>
      <c r="AW9">
        <v>86</v>
      </c>
      <c r="AX9">
        <v>88</v>
      </c>
      <c r="AY9">
        <v>90</v>
      </c>
      <c r="AZ9">
        <v>90.204081630000005</v>
      </c>
      <c r="BA9">
        <v>90.408163270000003</v>
      </c>
      <c r="BB9">
        <v>90.612244899999993</v>
      </c>
      <c r="BC9">
        <v>90.816326529999998</v>
      </c>
      <c r="BD9">
        <v>91.020408160000002</v>
      </c>
      <c r="BE9">
        <v>91.224489800000001</v>
      </c>
      <c r="BF9">
        <v>91.428571430000005</v>
      </c>
      <c r="BG9">
        <v>91.632653059999996</v>
      </c>
      <c r="BH9">
        <v>91.83673469</v>
      </c>
      <c r="BI9">
        <v>92.040816329999998</v>
      </c>
      <c r="BJ9">
        <v>92.244897960000003</v>
      </c>
      <c r="BK9">
        <v>92.448979589999993</v>
      </c>
      <c r="BL9">
        <v>92.653061219999998</v>
      </c>
      <c r="BM9">
        <v>92.857142859999996</v>
      </c>
      <c r="BN9">
        <v>93.061224490000001</v>
      </c>
      <c r="BO9">
        <v>93.265306120000005</v>
      </c>
      <c r="BP9">
        <v>93.469387760000004</v>
      </c>
      <c r="BQ9">
        <v>93.673469389999994</v>
      </c>
      <c r="BR9">
        <v>93.877551019999999</v>
      </c>
      <c r="BS9">
        <v>94.081632650000003</v>
      </c>
      <c r="BT9">
        <v>94.285714290000001</v>
      </c>
      <c r="BU9">
        <v>94.489795920000006</v>
      </c>
      <c r="BV9">
        <v>94.693877549999996</v>
      </c>
      <c r="BW9">
        <v>94.897959180000001</v>
      </c>
      <c r="BX9">
        <v>95.102040819999999</v>
      </c>
      <c r="BY9">
        <v>95.306122450000004</v>
      </c>
      <c r="BZ9">
        <v>95.510204079999994</v>
      </c>
      <c r="CA9">
        <v>95.714285709999999</v>
      </c>
      <c r="CB9">
        <v>95.918367349999997</v>
      </c>
      <c r="CC9">
        <v>96.122448980000001</v>
      </c>
      <c r="CD9">
        <v>96.326530610000006</v>
      </c>
      <c r="CE9">
        <v>96.530612239999996</v>
      </c>
      <c r="CF9">
        <v>96.734693879999995</v>
      </c>
      <c r="CG9">
        <v>96.938775509999999</v>
      </c>
      <c r="CH9">
        <v>97.142857140000004</v>
      </c>
      <c r="CI9">
        <v>97.346938780000002</v>
      </c>
      <c r="CJ9">
        <v>97.551020410000007</v>
      </c>
      <c r="CK9">
        <v>97.755102039999997</v>
      </c>
      <c r="CL9">
        <v>97.959183670000002</v>
      </c>
      <c r="CM9">
        <v>98.16326531</v>
      </c>
      <c r="CN9">
        <v>98.367346940000004</v>
      </c>
      <c r="CO9">
        <v>98.571428569999995</v>
      </c>
      <c r="CP9">
        <v>98.775510199999999</v>
      </c>
      <c r="CQ9">
        <v>98.979591839999998</v>
      </c>
      <c r="CR9">
        <v>99.183673470000002</v>
      </c>
      <c r="CS9">
        <v>99.387755100000007</v>
      </c>
      <c r="CT9">
        <v>99.591836729999997</v>
      </c>
      <c r="CU9">
        <v>99.795918369999995</v>
      </c>
      <c r="CV9">
        <v>100</v>
      </c>
    </row>
    <row r="10" spans="1:892" x14ac:dyDescent="0.2">
      <c r="A10">
        <v>8</v>
      </c>
      <c r="B10">
        <v>0</v>
      </c>
      <c r="C10">
        <v>0.9696845986</v>
      </c>
      <c r="D10">
        <v>2.2277502070000001</v>
      </c>
      <c r="E10">
        <v>3.6238983180000002</v>
      </c>
      <c r="F10">
        <v>5.118025995</v>
      </c>
      <c r="G10">
        <v>6.6895130150000002</v>
      </c>
      <c r="H10">
        <v>8.3255320739999998</v>
      </c>
      <c r="I10">
        <v>10.017241540000001</v>
      </c>
      <c r="J10">
        <v>11.75813608</v>
      </c>
      <c r="K10">
        <v>13.543206769999999</v>
      </c>
      <c r="L10">
        <v>15.36846519</v>
      </c>
      <c r="M10">
        <v>17.23065235</v>
      </c>
      <c r="N10">
        <v>19.127050000000001</v>
      </c>
      <c r="O10">
        <v>21.055352689999999</v>
      </c>
      <c r="P10">
        <v>23.01357776</v>
      </c>
      <c r="Q10">
        <v>25</v>
      </c>
      <c r="R10">
        <v>27.240518829999999</v>
      </c>
      <c r="S10">
        <v>29.461633880000001</v>
      </c>
      <c r="T10">
        <v>31.662642259999998</v>
      </c>
      <c r="U10">
        <v>33.842781100000003</v>
      </c>
      <c r="V10">
        <v>36.001219089999999</v>
      </c>
      <c r="W10">
        <v>38.137046490000003</v>
      </c>
      <c r="X10">
        <v>40.249262960000003</v>
      </c>
      <c r="Y10">
        <v>42.336762659999998</v>
      </c>
      <c r="Z10">
        <v>44.398315889999999</v>
      </c>
      <c r="AA10">
        <v>46.432546080000002</v>
      </c>
      <c r="AB10">
        <v>48.437900470000002</v>
      </c>
      <c r="AC10">
        <v>50.412612330000002</v>
      </c>
      <c r="AD10">
        <v>52.354651269999998</v>
      </c>
      <c r="AE10">
        <v>54.261656360000003</v>
      </c>
      <c r="AF10">
        <v>56.130843939999998</v>
      </c>
      <c r="AG10">
        <v>57.958876570000001</v>
      </c>
      <c r="AH10">
        <v>59.741669860000002</v>
      </c>
      <c r="AI10">
        <v>61.474094309999998</v>
      </c>
      <c r="AJ10">
        <v>63.149488040000001</v>
      </c>
      <c r="AK10">
        <v>64.758796610000005</v>
      </c>
      <c r="AL10">
        <v>66.288883999999996</v>
      </c>
      <c r="AM10">
        <v>67.71863372</v>
      </c>
      <c r="AN10">
        <v>69.006977649999996</v>
      </c>
      <c r="AO10">
        <v>70</v>
      </c>
      <c r="AP10">
        <v>70.75</v>
      </c>
      <c r="AQ10">
        <v>71.5</v>
      </c>
      <c r="AR10">
        <v>72.25</v>
      </c>
      <c r="AS10">
        <v>73</v>
      </c>
      <c r="AT10">
        <v>73.75</v>
      </c>
      <c r="AU10">
        <v>74.5</v>
      </c>
      <c r="AV10">
        <v>75.25</v>
      </c>
      <c r="AW10">
        <v>76</v>
      </c>
      <c r="AX10">
        <v>76.75</v>
      </c>
      <c r="AY10">
        <v>77.5</v>
      </c>
      <c r="AZ10">
        <v>78.25</v>
      </c>
      <c r="BA10">
        <v>79</v>
      </c>
      <c r="BB10">
        <v>79.75</v>
      </c>
      <c r="BC10">
        <v>80.5</v>
      </c>
      <c r="BD10">
        <v>81.25</v>
      </c>
      <c r="BE10">
        <v>82</v>
      </c>
      <c r="BF10">
        <v>82.75</v>
      </c>
      <c r="BG10">
        <v>83.5</v>
      </c>
      <c r="BH10">
        <v>84.25</v>
      </c>
      <c r="BI10">
        <v>85</v>
      </c>
      <c r="BJ10">
        <v>85.061587750000001</v>
      </c>
      <c r="BK10">
        <v>85.174196469999998</v>
      </c>
      <c r="BL10">
        <v>85.320019340000002</v>
      </c>
      <c r="BM10">
        <v>85.492702010000002</v>
      </c>
      <c r="BN10">
        <v>85.68857199</v>
      </c>
      <c r="BO10">
        <v>85.90515139</v>
      </c>
      <c r="BP10">
        <v>86.140621120000006</v>
      </c>
      <c r="BQ10">
        <v>86.393571730000005</v>
      </c>
      <c r="BR10">
        <v>86.662869290000003</v>
      </c>
      <c r="BS10">
        <v>86.947575709999995</v>
      </c>
      <c r="BT10">
        <v>87.246898099999996</v>
      </c>
      <c r="BU10">
        <v>87.560154749999995</v>
      </c>
      <c r="BV10">
        <v>87.886751349999997</v>
      </c>
      <c r="BW10">
        <v>88.226163709999994</v>
      </c>
      <c r="BX10">
        <v>88.577925039999997</v>
      </c>
      <c r="BY10">
        <v>88.941616089999997</v>
      </c>
      <c r="BZ10">
        <v>89.316857679999998</v>
      </c>
      <c r="CA10">
        <v>89.703304599999996</v>
      </c>
      <c r="CB10">
        <v>90.100640909999996</v>
      </c>
      <c r="CC10">
        <v>90.508575949999994</v>
      </c>
      <c r="CD10">
        <v>90.926841190000005</v>
      </c>
      <c r="CE10">
        <v>91.355187520000001</v>
      </c>
      <c r="CF10">
        <v>91.793383039999995</v>
      </c>
      <c r="CG10">
        <v>92.241211140000004</v>
      </c>
      <c r="CH10">
        <v>92.698468930000004</v>
      </c>
      <c r="CI10">
        <v>93.164965809999998</v>
      </c>
      <c r="CJ10">
        <v>93.640522290000007</v>
      </c>
      <c r="CK10">
        <v>94.124968949999996</v>
      </c>
      <c r="CL10">
        <v>94.618145560000002</v>
      </c>
      <c r="CM10">
        <v>95.119900220000005</v>
      </c>
      <c r="CN10">
        <v>95.630088720000003</v>
      </c>
      <c r="CO10">
        <v>96.148573870000007</v>
      </c>
      <c r="CP10">
        <v>96.675224990000004</v>
      </c>
      <c r="CQ10">
        <v>97.209917349999998</v>
      </c>
      <c r="CR10">
        <v>97.7525318</v>
      </c>
      <c r="CS10">
        <v>98.302954319999998</v>
      </c>
      <c r="CT10">
        <v>98.861075679999999</v>
      </c>
      <c r="CU10">
        <v>99.426791109999996</v>
      </c>
      <c r="CV10">
        <v>100</v>
      </c>
    </row>
    <row r="11" spans="1:892" x14ac:dyDescent="0.2">
      <c r="A11">
        <v>9</v>
      </c>
      <c r="B11">
        <v>25</v>
      </c>
      <c r="C11">
        <v>26.4319867</v>
      </c>
      <c r="D11">
        <v>28.28984153</v>
      </c>
      <c r="E11">
        <v>30.351610409999999</v>
      </c>
      <c r="F11">
        <v>32.55807111</v>
      </c>
      <c r="G11">
        <v>34.878772619999999</v>
      </c>
      <c r="H11">
        <v>37.29477215</v>
      </c>
      <c r="I11">
        <v>39.793012779999998</v>
      </c>
      <c r="J11">
        <v>42.36388771</v>
      </c>
      <c r="K11">
        <v>45</v>
      </c>
      <c r="L11">
        <v>46.195963900000002</v>
      </c>
      <c r="M11">
        <v>47.383706689999997</v>
      </c>
      <c r="N11">
        <v>48.56299422</v>
      </c>
      <c r="O11">
        <v>49.733576769999999</v>
      </c>
      <c r="P11">
        <v>50.895187399999998</v>
      </c>
      <c r="Q11">
        <v>52.047540009999999</v>
      </c>
      <c r="R11">
        <v>53.190327089999997</v>
      </c>
      <c r="S11">
        <v>54.32321718</v>
      </c>
      <c r="T11">
        <v>55.445851779999998</v>
      </c>
      <c r="U11">
        <v>56.557841770000003</v>
      </c>
      <c r="V11">
        <v>57.658763139999998</v>
      </c>
      <c r="W11">
        <v>58.748151870000001</v>
      </c>
      <c r="X11">
        <v>59.825497740000003</v>
      </c>
      <c r="Y11">
        <v>60.890236700000003</v>
      </c>
      <c r="Z11">
        <v>61.941741550000003</v>
      </c>
      <c r="AA11">
        <v>62.979310150000003</v>
      </c>
      <c r="AB11">
        <v>64.002150510000007</v>
      </c>
      <c r="AC11">
        <v>65.009361510000005</v>
      </c>
      <c r="AD11">
        <v>65.999907539999995</v>
      </c>
      <c r="AE11">
        <v>66.972584380000001</v>
      </c>
      <c r="AF11">
        <v>67.925972229999999</v>
      </c>
      <c r="AG11">
        <v>68.858368810000002</v>
      </c>
      <c r="AH11">
        <v>69.76769084</v>
      </c>
      <c r="AI11">
        <v>70.651322019999995</v>
      </c>
      <c r="AJ11">
        <v>71.505864410000001</v>
      </c>
      <c r="AK11">
        <v>72.326699750000003</v>
      </c>
      <c r="AL11">
        <v>73.107127969999993</v>
      </c>
      <c r="AM11">
        <v>73.836378479999993</v>
      </c>
      <c r="AN11">
        <v>74.49350432</v>
      </c>
      <c r="AO11">
        <v>75</v>
      </c>
      <c r="AP11">
        <v>75.5</v>
      </c>
      <c r="AQ11">
        <v>76</v>
      </c>
      <c r="AR11">
        <v>76.5</v>
      </c>
      <c r="AS11">
        <v>77</v>
      </c>
      <c r="AT11">
        <v>77.5</v>
      </c>
      <c r="AU11">
        <v>78</v>
      </c>
      <c r="AV11">
        <v>78.5</v>
      </c>
      <c r="AW11">
        <v>79</v>
      </c>
      <c r="AX11">
        <v>79.5</v>
      </c>
      <c r="AY11">
        <v>80</v>
      </c>
      <c r="AZ11">
        <v>80.5</v>
      </c>
      <c r="BA11">
        <v>81</v>
      </c>
      <c r="BB11">
        <v>81.5</v>
      </c>
      <c r="BC11">
        <v>82</v>
      </c>
      <c r="BD11">
        <v>82.5</v>
      </c>
      <c r="BE11">
        <v>83</v>
      </c>
      <c r="BF11">
        <v>83.5</v>
      </c>
      <c r="BG11">
        <v>84</v>
      </c>
      <c r="BH11">
        <v>84.5</v>
      </c>
      <c r="BI11">
        <v>85</v>
      </c>
      <c r="BJ11">
        <f t="shared" ref="BJ11:CT11" si="4">100+(85-100)/15^2*((99-BJ1)*15/39)^2</f>
        <v>85.759368836291912</v>
      </c>
      <c r="BK11">
        <f t="shared" si="4"/>
        <v>86.499013806706117</v>
      </c>
      <c r="BL11">
        <f t="shared" si="4"/>
        <v>87.218934911242599</v>
      </c>
      <c r="BM11">
        <f t="shared" si="4"/>
        <v>87.919132149901372</v>
      </c>
      <c r="BN11">
        <f t="shared" si="4"/>
        <v>88.599605522682452</v>
      </c>
      <c r="BO11">
        <f t="shared" si="4"/>
        <v>89.260355029585796</v>
      </c>
      <c r="BP11">
        <f t="shared" si="4"/>
        <v>89.901380670611445</v>
      </c>
      <c r="BQ11">
        <f t="shared" si="4"/>
        <v>90.522682445759372</v>
      </c>
      <c r="BR11">
        <f t="shared" si="4"/>
        <v>91.124260355029591</v>
      </c>
      <c r="BS11">
        <f t="shared" si="4"/>
        <v>91.706114398422088</v>
      </c>
      <c r="BT11">
        <f t="shared" si="4"/>
        <v>92.268244575936876</v>
      </c>
      <c r="BU11">
        <f t="shared" si="4"/>
        <v>92.810650887573971</v>
      </c>
      <c r="BV11">
        <f t="shared" si="4"/>
        <v>93.333333333333329</v>
      </c>
      <c r="BW11">
        <f t="shared" si="4"/>
        <v>93.836291913214993</v>
      </c>
      <c r="BX11">
        <f t="shared" si="4"/>
        <v>94.319526627218934</v>
      </c>
      <c r="BY11">
        <f t="shared" si="4"/>
        <v>94.783037475345168</v>
      </c>
      <c r="BZ11">
        <f t="shared" si="4"/>
        <v>95.226824457593693</v>
      </c>
      <c r="CA11">
        <f t="shared" si="4"/>
        <v>95.650887573964496</v>
      </c>
      <c r="CB11">
        <f t="shared" si="4"/>
        <v>96.055226824457591</v>
      </c>
      <c r="CC11">
        <f t="shared" si="4"/>
        <v>96.439842209072978</v>
      </c>
      <c r="CD11">
        <f t="shared" si="4"/>
        <v>96.804733727810657</v>
      </c>
      <c r="CE11">
        <f t="shared" si="4"/>
        <v>97.149901380670613</v>
      </c>
      <c r="CF11">
        <f t="shared" si="4"/>
        <v>97.475345167652861</v>
      </c>
      <c r="CG11">
        <f t="shared" si="4"/>
        <v>97.781065088757401</v>
      </c>
      <c r="CH11">
        <f t="shared" si="4"/>
        <v>98.067061143984219</v>
      </c>
      <c r="CI11">
        <f t="shared" si="4"/>
        <v>98.333333333333329</v>
      </c>
      <c r="CJ11">
        <f t="shared" si="4"/>
        <v>98.57988165680473</v>
      </c>
      <c r="CK11">
        <f t="shared" si="4"/>
        <v>98.806706114398423</v>
      </c>
      <c r="CL11">
        <f t="shared" si="4"/>
        <v>99.013806706114394</v>
      </c>
      <c r="CM11">
        <f t="shared" si="4"/>
        <v>99.201183431952657</v>
      </c>
      <c r="CN11">
        <f t="shared" si="4"/>
        <v>99.368836291913212</v>
      </c>
      <c r="CO11">
        <f t="shared" si="4"/>
        <v>99.516765285996058</v>
      </c>
      <c r="CP11">
        <f t="shared" si="4"/>
        <v>99.644970414201183</v>
      </c>
      <c r="CQ11">
        <f t="shared" si="4"/>
        <v>99.753451676528599</v>
      </c>
      <c r="CR11">
        <f t="shared" si="4"/>
        <v>99.842209072978306</v>
      </c>
      <c r="CS11">
        <f t="shared" si="4"/>
        <v>99.911242603550292</v>
      </c>
      <c r="CT11">
        <f t="shared" si="4"/>
        <v>99.96055226824457</v>
      </c>
      <c r="CU11">
        <f>100+(85-100)/15^2*((99-CU1)*15/39)^2</f>
        <v>99.990138067061139</v>
      </c>
      <c r="CV11">
        <f>100</f>
        <v>100</v>
      </c>
    </row>
    <row r="12" spans="1:892" x14ac:dyDescent="0.2">
      <c r="A12">
        <v>10</v>
      </c>
      <c r="B12">
        <v>0</v>
      </c>
      <c r="C12">
        <v>0.71428571429999999</v>
      </c>
      <c r="D12">
        <v>1.428571429</v>
      </c>
      <c r="E12">
        <v>2.1428571430000001</v>
      </c>
      <c r="F12">
        <v>2.8571428569999999</v>
      </c>
      <c r="G12">
        <v>3.5714285710000002</v>
      </c>
      <c r="H12">
        <v>4.2857142860000002</v>
      </c>
      <c r="I12">
        <v>5</v>
      </c>
      <c r="J12">
        <v>5.7142857139999998</v>
      </c>
      <c r="K12">
        <v>6.4285714289999998</v>
      </c>
      <c r="L12">
        <v>7.1428571429999996</v>
      </c>
      <c r="M12">
        <v>7.8571428570000004</v>
      </c>
      <c r="N12">
        <v>8.5714285710000002</v>
      </c>
      <c r="O12">
        <v>9.2857142859999993</v>
      </c>
      <c r="P12">
        <v>10</v>
      </c>
      <c r="Q12">
        <v>12.66666667</v>
      </c>
      <c r="R12">
        <v>15.33333333</v>
      </c>
      <c r="S12">
        <v>18</v>
      </c>
      <c r="T12">
        <v>20.666666670000001</v>
      </c>
      <c r="U12">
        <v>23.333333329999999</v>
      </c>
      <c r="V12">
        <v>26</v>
      </c>
      <c r="W12">
        <v>28.666666670000001</v>
      </c>
      <c r="X12">
        <v>31.333333329999999</v>
      </c>
      <c r="Y12">
        <v>34</v>
      </c>
      <c r="Z12">
        <v>36.666666669999998</v>
      </c>
      <c r="AA12">
        <v>39.333333330000002</v>
      </c>
      <c r="AB12">
        <v>42</v>
      </c>
      <c r="AC12">
        <v>44.666666669999998</v>
      </c>
      <c r="AD12">
        <v>47.333333330000002</v>
      </c>
      <c r="AE12">
        <v>50</v>
      </c>
      <c r="AF12">
        <v>50.5</v>
      </c>
      <c r="AG12">
        <v>51</v>
      </c>
      <c r="AH12">
        <v>51.5</v>
      </c>
      <c r="AI12">
        <v>52</v>
      </c>
      <c r="AJ12">
        <v>52.5</v>
      </c>
      <c r="AK12">
        <v>53</v>
      </c>
      <c r="AL12">
        <v>53.5</v>
      </c>
      <c r="AM12">
        <v>54</v>
      </c>
      <c r="AN12">
        <v>54.5</v>
      </c>
      <c r="AO12">
        <v>55</v>
      </c>
      <c r="AP12">
        <v>55.5</v>
      </c>
      <c r="AQ12">
        <v>56</v>
      </c>
      <c r="AR12">
        <v>56.5</v>
      </c>
      <c r="AS12">
        <v>57</v>
      </c>
      <c r="AT12">
        <v>57.5</v>
      </c>
      <c r="AU12">
        <v>58</v>
      </c>
      <c r="AV12">
        <v>58.5</v>
      </c>
      <c r="AW12">
        <v>59</v>
      </c>
      <c r="AX12">
        <v>59.5</v>
      </c>
      <c r="AY12">
        <v>60</v>
      </c>
      <c r="AZ12">
        <v>60.204081629999997</v>
      </c>
      <c r="BA12">
        <v>60.408163270000003</v>
      </c>
      <c r="BB12">
        <v>60.6122449</v>
      </c>
      <c r="BC12">
        <v>60.816326529999998</v>
      </c>
      <c r="BD12">
        <v>61.020408160000002</v>
      </c>
      <c r="BE12">
        <v>61.224489800000001</v>
      </c>
      <c r="BF12">
        <v>61.428571429999998</v>
      </c>
      <c r="BG12">
        <v>61.632653060000003</v>
      </c>
      <c r="BH12">
        <v>61.83673469</v>
      </c>
      <c r="BI12">
        <v>62.040816329999998</v>
      </c>
      <c r="BJ12">
        <v>62.244897960000003</v>
      </c>
      <c r="BK12">
        <v>62.44897959</v>
      </c>
      <c r="BL12">
        <v>62.653061219999998</v>
      </c>
      <c r="BM12">
        <v>62.857142860000003</v>
      </c>
      <c r="BN12">
        <v>63.061224490000001</v>
      </c>
      <c r="BO12">
        <v>63.265306119999998</v>
      </c>
      <c r="BP12">
        <v>63.469387759999996</v>
      </c>
      <c r="BQ12">
        <v>63.673469390000001</v>
      </c>
      <c r="BR12">
        <v>63.877551019999999</v>
      </c>
      <c r="BS12">
        <v>64.081632650000003</v>
      </c>
      <c r="BT12">
        <v>64.285714290000001</v>
      </c>
      <c r="BU12">
        <v>64.489795920000006</v>
      </c>
      <c r="BV12">
        <v>64.693877549999996</v>
      </c>
      <c r="BW12">
        <v>64.897959180000001</v>
      </c>
      <c r="BX12">
        <v>65.102040819999999</v>
      </c>
      <c r="BY12">
        <v>65.306122450000004</v>
      </c>
      <c r="BZ12">
        <v>65.510204079999994</v>
      </c>
      <c r="CA12">
        <v>65.714285709999999</v>
      </c>
      <c r="CB12">
        <v>65.918367349999997</v>
      </c>
      <c r="CC12">
        <v>66.122448980000001</v>
      </c>
      <c r="CD12">
        <v>66.326530610000006</v>
      </c>
      <c r="CE12">
        <v>66.530612239999996</v>
      </c>
      <c r="CF12">
        <v>66.734693879999995</v>
      </c>
      <c r="CG12">
        <v>66.938775509999999</v>
      </c>
      <c r="CH12">
        <v>67.142857140000004</v>
      </c>
      <c r="CI12">
        <v>67.346938780000002</v>
      </c>
      <c r="CJ12">
        <v>67.551020410000007</v>
      </c>
      <c r="CK12">
        <v>67.755102039999997</v>
      </c>
      <c r="CL12">
        <v>67.959183670000002</v>
      </c>
      <c r="CM12">
        <v>68.16326531</v>
      </c>
      <c r="CN12">
        <v>68.367346940000004</v>
      </c>
      <c r="CO12">
        <v>68.571428569999995</v>
      </c>
      <c r="CP12">
        <v>68.775510199999999</v>
      </c>
      <c r="CQ12">
        <v>68.979591839999998</v>
      </c>
      <c r="CR12">
        <v>69.183673470000002</v>
      </c>
      <c r="CS12">
        <v>69.387755100000007</v>
      </c>
      <c r="CT12">
        <v>69.591836729999997</v>
      </c>
      <c r="CU12">
        <v>69.795918369999995</v>
      </c>
      <c r="CV12">
        <v>70</v>
      </c>
    </row>
    <row r="13" spans="1:892" x14ac:dyDescent="0.2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8</v>
      </c>
      <c r="AB13">
        <v>16</v>
      </c>
      <c r="AC13">
        <v>24</v>
      </c>
      <c r="AD13">
        <v>32</v>
      </c>
      <c r="AE13">
        <v>40</v>
      </c>
      <c r="AF13">
        <v>43.333333330000002</v>
      </c>
      <c r="AG13">
        <v>46.666666669999998</v>
      </c>
      <c r="AH13">
        <v>50</v>
      </c>
      <c r="AI13">
        <v>53.333333330000002</v>
      </c>
      <c r="AJ13">
        <v>56.666666669999998</v>
      </c>
      <c r="AK13">
        <v>60</v>
      </c>
      <c r="AL13">
        <v>63.333333330000002</v>
      </c>
      <c r="AM13">
        <v>66.666666669999998</v>
      </c>
      <c r="AN13">
        <v>70</v>
      </c>
      <c r="AO13">
        <v>73.333333330000002</v>
      </c>
      <c r="AP13">
        <v>76.666666669999998</v>
      </c>
      <c r="AQ13">
        <v>80</v>
      </c>
      <c r="AR13">
        <v>83.333333330000002</v>
      </c>
      <c r="AS13">
        <v>86.666666669999998</v>
      </c>
      <c r="AT13">
        <v>90</v>
      </c>
      <c r="AU13">
        <v>90.185185189999999</v>
      </c>
      <c r="AV13">
        <v>90.370370370000003</v>
      </c>
      <c r="AW13">
        <v>90.555555560000002</v>
      </c>
      <c r="AX13">
        <v>90.740740740000007</v>
      </c>
      <c r="AY13">
        <v>90.925925930000005</v>
      </c>
      <c r="AZ13">
        <v>91.111111109999996</v>
      </c>
      <c r="BA13">
        <v>91.296296299999995</v>
      </c>
      <c r="BB13">
        <v>91.481481479999999</v>
      </c>
      <c r="BC13">
        <v>91.666666669999998</v>
      </c>
      <c r="BD13">
        <v>91.851851850000003</v>
      </c>
      <c r="BE13">
        <v>92.037037040000001</v>
      </c>
      <c r="BF13">
        <v>92.222222220000006</v>
      </c>
      <c r="BG13">
        <v>92.407407410000005</v>
      </c>
      <c r="BH13">
        <v>92.592592589999995</v>
      </c>
      <c r="BI13">
        <v>92.777777779999994</v>
      </c>
      <c r="BJ13">
        <v>92.962962959999999</v>
      </c>
      <c r="BK13">
        <v>93.148148149999997</v>
      </c>
      <c r="BL13">
        <v>93.333333330000002</v>
      </c>
      <c r="BM13">
        <v>93.518518520000001</v>
      </c>
      <c r="BN13">
        <v>93.703703700000005</v>
      </c>
      <c r="BO13">
        <v>93.888888890000004</v>
      </c>
      <c r="BP13">
        <v>94.074074069999995</v>
      </c>
      <c r="BQ13">
        <v>94.259259259999993</v>
      </c>
      <c r="BR13">
        <v>94.444444439999998</v>
      </c>
      <c r="BS13">
        <v>94.629629629999997</v>
      </c>
      <c r="BT13">
        <v>94.814814810000001</v>
      </c>
      <c r="BU13">
        <v>95</v>
      </c>
      <c r="BV13">
        <v>95.185185189999999</v>
      </c>
      <c r="BW13">
        <v>95.370370370000003</v>
      </c>
      <c r="BX13">
        <v>95.555555560000002</v>
      </c>
      <c r="BY13">
        <v>95.740740740000007</v>
      </c>
      <c r="BZ13">
        <v>95.925925930000005</v>
      </c>
      <c r="CA13">
        <v>96.111111109999996</v>
      </c>
      <c r="CB13">
        <v>96.296296299999995</v>
      </c>
      <c r="CC13">
        <v>96.481481479999999</v>
      </c>
      <c r="CD13">
        <v>96.666666669999998</v>
      </c>
      <c r="CE13">
        <v>96.851851850000003</v>
      </c>
      <c r="CF13">
        <v>97.037037040000001</v>
      </c>
      <c r="CG13">
        <v>97.222222220000006</v>
      </c>
      <c r="CH13">
        <v>97.407407410000005</v>
      </c>
      <c r="CI13">
        <v>97.592592589999995</v>
      </c>
      <c r="CJ13">
        <v>97.777777779999994</v>
      </c>
      <c r="CK13">
        <v>97.962962959999999</v>
      </c>
      <c r="CL13">
        <v>98.148148149999997</v>
      </c>
      <c r="CM13">
        <v>98.333333330000002</v>
      </c>
      <c r="CN13">
        <v>98.518518520000001</v>
      </c>
      <c r="CO13">
        <v>98.703703700000005</v>
      </c>
      <c r="CP13">
        <v>98.888888890000004</v>
      </c>
      <c r="CQ13">
        <v>99.074074069999995</v>
      </c>
      <c r="CR13">
        <v>99.259259259999993</v>
      </c>
      <c r="CS13">
        <v>99.444444439999998</v>
      </c>
      <c r="CT13">
        <v>99.629629629999997</v>
      </c>
      <c r="CU13">
        <v>99.814814810000001</v>
      </c>
      <c r="CV13">
        <v>100</v>
      </c>
    </row>
    <row r="14" spans="1:892" x14ac:dyDescent="0.2">
      <c r="A14">
        <v>12</v>
      </c>
      <c r="B14">
        <v>0</v>
      </c>
      <c r="C14">
        <v>0.71428571429999999</v>
      </c>
      <c r="D14">
        <v>1.428571429</v>
      </c>
      <c r="E14">
        <v>2.1428571430000001</v>
      </c>
      <c r="F14">
        <v>2.8571428569999999</v>
      </c>
      <c r="G14">
        <v>3.5714285710000002</v>
      </c>
      <c r="H14">
        <v>4.2857142860000002</v>
      </c>
      <c r="I14">
        <v>5</v>
      </c>
      <c r="J14">
        <v>5.7142857139999998</v>
      </c>
      <c r="K14">
        <v>6.4285714289999998</v>
      </c>
      <c r="L14">
        <v>7.1428571429999996</v>
      </c>
      <c r="M14">
        <v>7.8571428570000004</v>
      </c>
      <c r="N14">
        <v>8.5714285710000002</v>
      </c>
      <c r="O14">
        <v>9.2857142859999993</v>
      </c>
      <c r="P14">
        <v>10</v>
      </c>
      <c r="Q14">
        <v>13</v>
      </c>
      <c r="R14">
        <v>16</v>
      </c>
      <c r="S14">
        <v>19</v>
      </c>
      <c r="T14">
        <v>22</v>
      </c>
      <c r="U14">
        <v>25</v>
      </c>
      <c r="V14">
        <v>28</v>
      </c>
      <c r="W14">
        <v>31</v>
      </c>
      <c r="X14">
        <v>34</v>
      </c>
      <c r="Y14">
        <v>37</v>
      </c>
      <c r="Z14">
        <v>40</v>
      </c>
      <c r="AA14">
        <v>43</v>
      </c>
      <c r="AB14">
        <v>46</v>
      </c>
      <c r="AC14">
        <v>49</v>
      </c>
      <c r="AD14">
        <v>52</v>
      </c>
      <c r="AE14">
        <v>55</v>
      </c>
      <c r="AF14">
        <v>56.333333330000002</v>
      </c>
      <c r="AG14">
        <v>57.666666669999998</v>
      </c>
      <c r="AH14">
        <v>59</v>
      </c>
      <c r="AI14">
        <v>60.333333330000002</v>
      </c>
      <c r="AJ14">
        <v>61.666666669999998</v>
      </c>
      <c r="AK14">
        <v>63</v>
      </c>
      <c r="AL14">
        <v>64.333333330000002</v>
      </c>
      <c r="AM14">
        <v>65.666666669999998</v>
      </c>
      <c r="AN14">
        <v>67</v>
      </c>
      <c r="AO14">
        <v>68.333333330000002</v>
      </c>
      <c r="AP14">
        <v>69.666666669999998</v>
      </c>
      <c r="AQ14">
        <v>71</v>
      </c>
      <c r="AR14">
        <v>72.333333330000002</v>
      </c>
      <c r="AS14">
        <v>73.666666669999998</v>
      </c>
      <c r="AT14">
        <v>75</v>
      </c>
      <c r="AU14">
        <v>75.462962959999999</v>
      </c>
      <c r="AV14">
        <v>75.925925930000005</v>
      </c>
      <c r="AW14">
        <v>76.388888890000004</v>
      </c>
      <c r="AX14">
        <v>76.851851850000003</v>
      </c>
      <c r="AY14">
        <v>77.314814810000001</v>
      </c>
      <c r="AZ14">
        <v>77.777777779999994</v>
      </c>
      <c r="BA14">
        <v>78.240740740000007</v>
      </c>
      <c r="BB14">
        <v>78.703703700000005</v>
      </c>
      <c r="BC14">
        <v>79.166666669999998</v>
      </c>
      <c r="BD14">
        <v>79.629629629999997</v>
      </c>
      <c r="BE14">
        <v>80.092592589999995</v>
      </c>
      <c r="BF14">
        <v>80.555555560000002</v>
      </c>
      <c r="BG14">
        <v>81.018518520000001</v>
      </c>
      <c r="BH14">
        <v>81.481481479999999</v>
      </c>
      <c r="BI14">
        <v>81.944444439999998</v>
      </c>
      <c r="BJ14">
        <v>82.407407410000005</v>
      </c>
      <c r="BK14">
        <v>82.870370370000003</v>
      </c>
      <c r="BL14">
        <v>83.333333330000002</v>
      </c>
      <c r="BM14">
        <v>83.796296299999995</v>
      </c>
      <c r="BN14">
        <v>84.259259259999993</v>
      </c>
      <c r="BO14">
        <v>84.722222220000006</v>
      </c>
      <c r="BP14">
        <v>85.185185189999999</v>
      </c>
      <c r="BQ14">
        <v>85.648148149999997</v>
      </c>
      <c r="BR14">
        <v>86.111111109999996</v>
      </c>
      <c r="BS14">
        <v>86.574074069999995</v>
      </c>
      <c r="BT14">
        <v>87.037037040000001</v>
      </c>
      <c r="BU14">
        <v>87.5</v>
      </c>
      <c r="BV14">
        <v>87.962962959999999</v>
      </c>
      <c r="BW14">
        <v>88.425925930000005</v>
      </c>
      <c r="BX14">
        <v>88.888888890000004</v>
      </c>
      <c r="BY14">
        <v>89.351851850000003</v>
      </c>
      <c r="BZ14">
        <v>89.814814810000001</v>
      </c>
      <c r="CA14">
        <v>90.277777779999994</v>
      </c>
      <c r="CB14">
        <v>90.740740740000007</v>
      </c>
      <c r="CC14">
        <v>91.203703700000005</v>
      </c>
      <c r="CD14">
        <v>91.666666669999998</v>
      </c>
      <c r="CE14">
        <v>92.129629629999997</v>
      </c>
      <c r="CF14">
        <v>92.592592589999995</v>
      </c>
      <c r="CG14">
        <v>93.055555560000002</v>
      </c>
      <c r="CH14">
        <v>93.518518520000001</v>
      </c>
      <c r="CI14">
        <v>93.981481479999999</v>
      </c>
      <c r="CJ14">
        <v>94.444444439999998</v>
      </c>
      <c r="CK14">
        <v>94.907407410000005</v>
      </c>
      <c r="CL14">
        <v>95.370370370000003</v>
      </c>
      <c r="CM14">
        <v>95.833333330000002</v>
      </c>
      <c r="CN14">
        <v>96.296296299999995</v>
      </c>
      <c r="CO14">
        <v>96.759259259999993</v>
      </c>
      <c r="CP14">
        <v>97.222222220000006</v>
      </c>
      <c r="CQ14">
        <v>97.685185189999999</v>
      </c>
      <c r="CR14">
        <v>98.148148149999997</v>
      </c>
      <c r="CS14">
        <v>98.611111109999996</v>
      </c>
      <c r="CT14">
        <v>99.074074069999995</v>
      </c>
      <c r="CU14">
        <v>99.537037040000001</v>
      </c>
      <c r="CV14">
        <v>100</v>
      </c>
    </row>
    <row r="15" spans="1:892" x14ac:dyDescent="0.2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8</v>
      </c>
      <c r="AB15">
        <v>16</v>
      </c>
      <c r="AC15">
        <v>24</v>
      </c>
      <c r="AD15">
        <v>32</v>
      </c>
      <c r="AE15">
        <v>40</v>
      </c>
      <c r="AF15">
        <v>42.5</v>
      </c>
      <c r="AG15">
        <v>45</v>
      </c>
      <c r="AH15">
        <v>47.5</v>
      </c>
      <c r="AI15">
        <v>50</v>
      </c>
      <c r="AJ15">
        <v>52.5</v>
      </c>
      <c r="AK15">
        <v>55</v>
      </c>
      <c r="AL15">
        <v>57.5</v>
      </c>
      <c r="AM15">
        <v>60</v>
      </c>
      <c r="AN15">
        <v>62.5</v>
      </c>
      <c r="AO15">
        <v>65</v>
      </c>
      <c r="AP15">
        <v>67.5</v>
      </c>
      <c r="AQ15">
        <v>70</v>
      </c>
      <c r="AR15">
        <v>72.5</v>
      </c>
      <c r="AS15">
        <v>75</v>
      </c>
      <c r="AT15">
        <v>77.5</v>
      </c>
      <c r="AU15">
        <v>80</v>
      </c>
      <c r="AV15">
        <v>82.5</v>
      </c>
      <c r="AW15">
        <v>85</v>
      </c>
      <c r="AX15">
        <v>87.5</v>
      </c>
      <c r="AY15">
        <v>90</v>
      </c>
      <c r="AZ15">
        <v>90.204081630000005</v>
      </c>
      <c r="BA15">
        <v>90.408163270000003</v>
      </c>
      <c r="BB15">
        <v>90.612244899999993</v>
      </c>
      <c r="BC15">
        <v>90.816326529999998</v>
      </c>
      <c r="BD15">
        <v>91.020408160000002</v>
      </c>
      <c r="BE15">
        <v>91.224489800000001</v>
      </c>
      <c r="BF15">
        <v>91.428571430000005</v>
      </c>
      <c r="BG15">
        <v>91.632653059999996</v>
      </c>
      <c r="BH15">
        <v>91.83673469</v>
      </c>
      <c r="BI15">
        <v>92.040816329999998</v>
      </c>
      <c r="BJ15">
        <v>92.244897960000003</v>
      </c>
      <c r="BK15">
        <v>92.448979589999993</v>
      </c>
      <c r="BL15">
        <v>92.653061219999998</v>
      </c>
      <c r="BM15">
        <v>92.857142859999996</v>
      </c>
      <c r="BN15">
        <v>93.061224490000001</v>
      </c>
      <c r="BO15">
        <v>93.265306120000005</v>
      </c>
      <c r="BP15">
        <v>93.469387760000004</v>
      </c>
      <c r="BQ15">
        <v>93.673469389999994</v>
      </c>
      <c r="BR15">
        <v>93.877551019999999</v>
      </c>
      <c r="BS15">
        <v>94.081632650000003</v>
      </c>
      <c r="BT15">
        <v>94.285714290000001</v>
      </c>
      <c r="BU15">
        <v>94.489795920000006</v>
      </c>
      <c r="BV15">
        <v>94.693877549999996</v>
      </c>
      <c r="BW15">
        <v>94.897959180000001</v>
      </c>
      <c r="BX15">
        <v>95.102040819999999</v>
      </c>
      <c r="BY15">
        <v>95.306122450000004</v>
      </c>
      <c r="BZ15">
        <v>95.510204079999994</v>
      </c>
      <c r="CA15">
        <v>95.714285709999999</v>
      </c>
      <c r="CB15">
        <v>95.918367349999997</v>
      </c>
      <c r="CC15">
        <v>96.122448980000001</v>
      </c>
      <c r="CD15">
        <v>96.326530610000006</v>
      </c>
      <c r="CE15">
        <v>96.530612239999996</v>
      </c>
      <c r="CF15">
        <v>96.734693879999995</v>
      </c>
      <c r="CG15">
        <v>96.938775509999999</v>
      </c>
      <c r="CH15">
        <v>97.142857140000004</v>
      </c>
      <c r="CI15">
        <v>97.346938780000002</v>
      </c>
      <c r="CJ15">
        <v>97.551020410000007</v>
      </c>
      <c r="CK15">
        <v>97.755102039999997</v>
      </c>
      <c r="CL15">
        <v>97.959183670000002</v>
      </c>
      <c r="CM15">
        <v>98.16326531</v>
      </c>
      <c r="CN15">
        <v>98.367346940000004</v>
      </c>
      <c r="CO15">
        <v>98.571428569999995</v>
      </c>
      <c r="CP15">
        <v>98.775510199999999</v>
      </c>
      <c r="CQ15">
        <v>98.979591839999998</v>
      </c>
      <c r="CR15">
        <v>99.183673470000002</v>
      </c>
      <c r="CS15">
        <v>99.387755100000007</v>
      </c>
      <c r="CT15">
        <v>99.591836729999997</v>
      </c>
      <c r="CU15">
        <v>99.795918369999995</v>
      </c>
      <c r="CV15">
        <v>100</v>
      </c>
    </row>
    <row r="16" spans="1:892" x14ac:dyDescent="0.2">
      <c r="A16">
        <v>14</v>
      </c>
      <c r="B16">
        <v>0</v>
      </c>
      <c r="C16">
        <v>0.71428571429999999</v>
      </c>
      <c r="D16">
        <v>1.428571429</v>
      </c>
      <c r="E16">
        <v>2.1428571430000001</v>
      </c>
      <c r="F16">
        <v>2.8571428569999999</v>
      </c>
      <c r="G16">
        <v>3.5714285710000002</v>
      </c>
      <c r="H16">
        <v>4.2857142860000002</v>
      </c>
      <c r="I16">
        <v>5</v>
      </c>
      <c r="J16">
        <v>5.7142857139999998</v>
      </c>
      <c r="K16">
        <v>6.4285714289999998</v>
      </c>
      <c r="L16">
        <v>7.1428571429999996</v>
      </c>
      <c r="M16">
        <v>7.8571428570000004</v>
      </c>
      <c r="N16">
        <v>8.5714285710000002</v>
      </c>
      <c r="O16">
        <v>9.2857142859999993</v>
      </c>
      <c r="P16">
        <v>10</v>
      </c>
      <c r="Q16">
        <v>13</v>
      </c>
      <c r="R16">
        <v>16</v>
      </c>
      <c r="S16">
        <v>19</v>
      </c>
      <c r="T16">
        <v>22</v>
      </c>
      <c r="U16">
        <v>25</v>
      </c>
      <c r="V16">
        <v>28</v>
      </c>
      <c r="W16">
        <v>31</v>
      </c>
      <c r="X16">
        <v>34</v>
      </c>
      <c r="Y16">
        <v>37</v>
      </c>
      <c r="Z16">
        <v>40</v>
      </c>
      <c r="AA16">
        <v>43</v>
      </c>
      <c r="AB16">
        <v>46</v>
      </c>
      <c r="AC16">
        <v>49</v>
      </c>
      <c r="AD16">
        <v>52</v>
      </c>
      <c r="AE16">
        <v>55</v>
      </c>
      <c r="AF16">
        <v>56.333333330000002</v>
      </c>
      <c r="AG16">
        <v>57.666666669999998</v>
      </c>
      <c r="AH16">
        <v>59</v>
      </c>
      <c r="AI16">
        <v>60.333333330000002</v>
      </c>
      <c r="AJ16">
        <v>61.666666669999998</v>
      </c>
      <c r="AK16">
        <v>63</v>
      </c>
      <c r="AL16">
        <v>64.333333330000002</v>
      </c>
      <c r="AM16">
        <v>65.666666669999998</v>
      </c>
      <c r="AN16">
        <v>67</v>
      </c>
      <c r="AO16">
        <v>68.333333330000002</v>
      </c>
      <c r="AP16">
        <v>69.666666669999998</v>
      </c>
      <c r="AQ16">
        <v>71</v>
      </c>
      <c r="AR16">
        <v>72.333333330000002</v>
      </c>
      <c r="AS16">
        <v>73.666666669999998</v>
      </c>
      <c r="AT16">
        <v>75</v>
      </c>
      <c r="AU16">
        <v>75.462962959999999</v>
      </c>
      <c r="AV16">
        <v>75.925925930000005</v>
      </c>
      <c r="AW16">
        <v>76.388888890000004</v>
      </c>
      <c r="AX16">
        <v>76.851851850000003</v>
      </c>
      <c r="AY16">
        <v>77.314814810000001</v>
      </c>
      <c r="AZ16">
        <v>77.777777779999994</v>
      </c>
      <c r="BA16">
        <v>78.240740740000007</v>
      </c>
      <c r="BB16">
        <v>78.703703700000005</v>
      </c>
      <c r="BC16">
        <v>79.166666669999998</v>
      </c>
      <c r="BD16">
        <v>79.629629629999997</v>
      </c>
      <c r="BE16">
        <v>80.092592589999995</v>
      </c>
      <c r="BF16">
        <v>80.555555560000002</v>
      </c>
      <c r="BG16">
        <v>81.018518520000001</v>
      </c>
      <c r="BH16">
        <v>81.481481479999999</v>
      </c>
      <c r="BI16">
        <v>81.944444439999998</v>
      </c>
      <c r="BJ16">
        <v>82.407407410000005</v>
      </c>
      <c r="BK16">
        <v>82.870370370000003</v>
      </c>
      <c r="BL16">
        <v>83.333333330000002</v>
      </c>
      <c r="BM16">
        <v>83.796296299999995</v>
      </c>
      <c r="BN16">
        <v>84.259259259999993</v>
      </c>
      <c r="BO16">
        <v>84.722222220000006</v>
      </c>
      <c r="BP16">
        <v>85.185185189999999</v>
      </c>
      <c r="BQ16">
        <v>85.648148149999997</v>
      </c>
      <c r="BR16">
        <v>86.111111109999996</v>
      </c>
      <c r="BS16">
        <v>86.574074069999995</v>
      </c>
      <c r="BT16">
        <v>87.037037040000001</v>
      </c>
      <c r="BU16">
        <v>87.5</v>
      </c>
      <c r="BV16">
        <v>87.962962959999999</v>
      </c>
      <c r="BW16">
        <v>88.425925930000005</v>
      </c>
      <c r="BX16">
        <v>88.888888890000004</v>
      </c>
      <c r="BY16">
        <v>89.351851850000003</v>
      </c>
      <c r="BZ16">
        <v>89.814814810000001</v>
      </c>
      <c r="CA16">
        <v>90.277777779999994</v>
      </c>
      <c r="CB16">
        <v>90.740740740000007</v>
      </c>
      <c r="CC16">
        <v>91.203703700000005</v>
      </c>
      <c r="CD16">
        <v>91.666666669999998</v>
      </c>
      <c r="CE16">
        <v>92.129629629999997</v>
      </c>
      <c r="CF16">
        <v>92.592592589999995</v>
      </c>
      <c r="CG16">
        <v>93.055555560000002</v>
      </c>
      <c r="CH16">
        <v>93.518518520000001</v>
      </c>
      <c r="CI16">
        <v>93.981481479999999</v>
      </c>
      <c r="CJ16">
        <v>94.444444439999998</v>
      </c>
      <c r="CK16">
        <v>94.907407410000005</v>
      </c>
      <c r="CL16">
        <v>95.370370370000003</v>
      </c>
      <c r="CM16">
        <v>95.833333330000002</v>
      </c>
      <c r="CN16">
        <v>96.296296299999995</v>
      </c>
      <c r="CO16">
        <v>96.759259259999993</v>
      </c>
      <c r="CP16">
        <v>97.222222220000006</v>
      </c>
      <c r="CQ16">
        <v>97.685185189999999</v>
      </c>
      <c r="CR16">
        <v>98.148148149999997</v>
      </c>
      <c r="CS16">
        <v>98.611111109999996</v>
      </c>
      <c r="CT16">
        <v>99.074074069999995</v>
      </c>
      <c r="CU16">
        <v>99.537037040000001</v>
      </c>
      <c r="CV16">
        <v>100</v>
      </c>
    </row>
    <row r="17" spans="1:892" x14ac:dyDescent="0.2">
      <c r="A17">
        <v>15</v>
      </c>
      <c r="B17">
        <v>0</v>
      </c>
      <c r="C17">
        <v>1.7857142859999999</v>
      </c>
      <c r="D17">
        <v>3.5714285710000002</v>
      </c>
      <c r="E17">
        <v>5.3571428570000004</v>
      </c>
      <c r="F17">
        <v>7.1428571429999996</v>
      </c>
      <c r="G17">
        <v>8.9285714289999998</v>
      </c>
      <c r="H17">
        <v>10.71428571</v>
      </c>
      <c r="I17">
        <v>12.5</v>
      </c>
      <c r="J17">
        <v>14.28571429</v>
      </c>
      <c r="K17">
        <v>16.071428569999998</v>
      </c>
      <c r="L17">
        <v>17.85714286</v>
      </c>
      <c r="M17">
        <v>19.64285714</v>
      </c>
      <c r="N17">
        <v>21.428571430000002</v>
      </c>
      <c r="O17">
        <v>23.214285709999999</v>
      </c>
      <c r="P17">
        <v>25</v>
      </c>
      <c r="Q17">
        <v>28.333333329999999</v>
      </c>
      <c r="R17">
        <v>31.666666670000001</v>
      </c>
      <c r="S17">
        <v>35</v>
      </c>
      <c r="T17">
        <v>38.333333330000002</v>
      </c>
      <c r="U17">
        <v>41.666666669999998</v>
      </c>
      <c r="V17">
        <v>45</v>
      </c>
      <c r="W17">
        <v>48.333333330000002</v>
      </c>
      <c r="X17">
        <v>51.666666669999998</v>
      </c>
      <c r="Y17">
        <v>55</v>
      </c>
      <c r="Z17">
        <v>58.333333330000002</v>
      </c>
      <c r="AA17">
        <v>61.666666669999998</v>
      </c>
      <c r="AB17">
        <v>65</v>
      </c>
      <c r="AC17">
        <v>68.333333330000002</v>
      </c>
      <c r="AD17">
        <v>71.666666669999998</v>
      </c>
      <c r="AE17">
        <v>75</v>
      </c>
      <c r="AF17">
        <v>76</v>
      </c>
      <c r="AG17">
        <v>77</v>
      </c>
      <c r="AH17">
        <v>78</v>
      </c>
      <c r="AI17">
        <v>79</v>
      </c>
      <c r="AJ17">
        <v>80</v>
      </c>
      <c r="AK17">
        <v>81</v>
      </c>
      <c r="AL17">
        <v>82</v>
      </c>
      <c r="AM17">
        <v>83</v>
      </c>
      <c r="AN17">
        <v>84</v>
      </c>
      <c r="AO17">
        <v>85</v>
      </c>
      <c r="AP17">
        <v>86</v>
      </c>
      <c r="AQ17">
        <v>87</v>
      </c>
      <c r="AR17">
        <v>88</v>
      </c>
      <c r="AS17">
        <v>89</v>
      </c>
      <c r="AT17">
        <v>90</v>
      </c>
      <c r="AU17">
        <v>90.185185189999999</v>
      </c>
      <c r="AV17">
        <v>90.370370370000003</v>
      </c>
      <c r="AW17">
        <v>90.555555560000002</v>
      </c>
      <c r="AX17">
        <v>90.740740740000007</v>
      </c>
      <c r="AY17">
        <v>90.925925930000005</v>
      </c>
      <c r="AZ17">
        <v>91.111111109999996</v>
      </c>
      <c r="BA17">
        <v>91.296296299999995</v>
      </c>
      <c r="BB17">
        <v>91.481481479999999</v>
      </c>
      <c r="BC17">
        <v>91.666666669999998</v>
      </c>
      <c r="BD17">
        <v>91.851851850000003</v>
      </c>
      <c r="BE17">
        <v>92.037037040000001</v>
      </c>
      <c r="BF17">
        <v>92.222222220000006</v>
      </c>
      <c r="BG17">
        <v>92.407407410000005</v>
      </c>
      <c r="BH17">
        <v>92.592592589999995</v>
      </c>
      <c r="BI17">
        <v>92.777777779999994</v>
      </c>
      <c r="BJ17">
        <v>92.962962959999999</v>
      </c>
      <c r="BK17">
        <v>93.148148149999997</v>
      </c>
      <c r="BL17">
        <v>93.333333330000002</v>
      </c>
      <c r="BM17">
        <v>93.518518520000001</v>
      </c>
      <c r="BN17">
        <v>93.703703700000005</v>
      </c>
      <c r="BO17">
        <v>93.888888890000004</v>
      </c>
      <c r="BP17">
        <v>94.074074069999995</v>
      </c>
      <c r="BQ17">
        <v>94.259259259999993</v>
      </c>
      <c r="BR17">
        <v>94.444444439999998</v>
      </c>
      <c r="BS17">
        <v>94.629629629999997</v>
      </c>
      <c r="BT17">
        <v>94.814814810000001</v>
      </c>
      <c r="BU17">
        <v>95</v>
      </c>
      <c r="BV17">
        <v>95.185185189999999</v>
      </c>
      <c r="BW17">
        <v>95.370370370000003</v>
      </c>
      <c r="BX17">
        <v>95.555555560000002</v>
      </c>
      <c r="BY17">
        <v>95.740740740000007</v>
      </c>
      <c r="BZ17">
        <v>95.925925930000005</v>
      </c>
      <c r="CA17">
        <v>96.111111109999996</v>
      </c>
      <c r="CB17">
        <v>96.296296299999995</v>
      </c>
      <c r="CC17">
        <v>96.481481479999999</v>
      </c>
      <c r="CD17">
        <v>96.666666669999998</v>
      </c>
      <c r="CE17">
        <v>96.851851850000003</v>
      </c>
      <c r="CF17">
        <v>97.037037040000001</v>
      </c>
      <c r="CG17">
        <v>97.222222220000006</v>
      </c>
      <c r="CH17">
        <v>97.407407410000005</v>
      </c>
      <c r="CI17">
        <v>97.592592589999995</v>
      </c>
      <c r="CJ17">
        <v>97.777777779999994</v>
      </c>
      <c r="CK17">
        <v>97.962962959999999</v>
      </c>
      <c r="CL17">
        <v>98.148148149999997</v>
      </c>
      <c r="CM17">
        <v>98.333333330000002</v>
      </c>
      <c r="CN17">
        <v>98.518518520000001</v>
      </c>
      <c r="CO17">
        <v>98.703703700000005</v>
      </c>
      <c r="CP17">
        <v>98.888888890000004</v>
      </c>
      <c r="CQ17">
        <v>99.074074069999995</v>
      </c>
      <c r="CR17">
        <v>99.259259259999993</v>
      </c>
      <c r="CS17">
        <v>99.444444439999998</v>
      </c>
      <c r="CT17">
        <v>99.629629629999997</v>
      </c>
      <c r="CU17">
        <v>99.814814810000001</v>
      </c>
      <c r="CV17">
        <v>100</v>
      </c>
    </row>
    <row r="18" spans="1:892" x14ac:dyDescent="0.2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2.407407407</v>
      </c>
      <c r="U18">
        <v>4.8148148150000001</v>
      </c>
      <c r="V18">
        <v>7.2222222220000001</v>
      </c>
      <c r="W18">
        <v>9.6296296300000002</v>
      </c>
      <c r="X18">
        <v>12.03703704</v>
      </c>
      <c r="Y18">
        <v>14.44444444</v>
      </c>
      <c r="Z18">
        <v>16.851851849999999</v>
      </c>
      <c r="AA18">
        <v>19.25925926</v>
      </c>
      <c r="AB18">
        <v>21.666666670000001</v>
      </c>
      <c r="AC18">
        <v>24.074074070000002</v>
      </c>
      <c r="AD18">
        <v>26.481481479999999</v>
      </c>
      <c r="AE18">
        <v>28.88888889</v>
      </c>
      <c r="AF18">
        <v>31.296296300000002</v>
      </c>
      <c r="AG18">
        <v>33.703703699999998</v>
      </c>
      <c r="AH18">
        <v>36.111111110000003</v>
      </c>
      <c r="AI18">
        <v>38.518518520000001</v>
      </c>
      <c r="AJ18">
        <v>40.925925929999998</v>
      </c>
      <c r="AK18">
        <v>43.333333330000002</v>
      </c>
      <c r="AL18">
        <v>45.74074074</v>
      </c>
      <c r="AM18">
        <v>48.148148149999997</v>
      </c>
      <c r="AN18">
        <v>50.555555560000002</v>
      </c>
      <c r="AO18">
        <v>52.962962959999999</v>
      </c>
      <c r="AP18">
        <v>55.370370370000003</v>
      </c>
      <c r="AQ18">
        <v>57.777777780000001</v>
      </c>
      <c r="AR18">
        <v>60.185185189999999</v>
      </c>
      <c r="AS18">
        <v>62.592592590000002</v>
      </c>
      <c r="AT18">
        <v>65</v>
      </c>
      <c r="AU18">
        <v>66.666666669999998</v>
      </c>
      <c r="AV18">
        <v>68.333333330000002</v>
      </c>
      <c r="AW18">
        <v>70</v>
      </c>
      <c r="AX18">
        <v>71.666666669999998</v>
      </c>
      <c r="AY18">
        <v>73.333333330000002</v>
      </c>
      <c r="AZ18">
        <v>75</v>
      </c>
      <c r="BA18">
        <v>76.666666669999998</v>
      </c>
      <c r="BB18">
        <v>78.333333330000002</v>
      </c>
      <c r="BC18">
        <v>80</v>
      </c>
      <c r="BD18">
        <v>81.666666669999998</v>
      </c>
      <c r="BE18">
        <v>83.333333330000002</v>
      </c>
      <c r="BF18">
        <v>85</v>
      </c>
      <c r="BG18">
        <v>86.666666669999998</v>
      </c>
      <c r="BH18">
        <v>88.333333330000002</v>
      </c>
      <c r="BI18">
        <v>90</v>
      </c>
      <c r="BJ18">
        <v>90.256410259999996</v>
      </c>
      <c r="BK18">
        <v>90.512820509999997</v>
      </c>
      <c r="BL18">
        <v>90.769230769999993</v>
      </c>
      <c r="BM18">
        <v>91.025641030000003</v>
      </c>
      <c r="BN18">
        <v>91.282051280000005</v>
      </c>
      <c r="BO18">
        <v>91.53846154</v>
      </c>
      <c r="BP18">
        <v>91.794871790000002</v>
      </c>
      <c r="BQ18">
        <v>92.051282049999998</v>
      </c>
      <c r="BR18">
        <v>92.307692309999993</v>
      </c>
      <c r="BS18">
        <v>92.564102559999995</v>
      </c>
      <c r="BT18">
        <v>92.820512820000005</v>
      </c>
      <c r="BU18">
        <v>93.07692308</v>
      </c>
      <c r="BV18">
        <v>93.333333330000002</v>
      </c>
      <c r="BW18">
        <v>93.589743589999998</v>
      </c>
      <c r="BX18">
        <v>93.846153849999993</v>
      </c>
      <c r="BY18">
        <v>94.102564099999995</v>
      </c>
      <c r="BZ18">
        <v>94.358974360000005</v>
      </c>
      <c r="CA18">
        <v>94.61538462</v>
      </c>
      <c r="CB18">
        <v>94.871794870000002</v>
      </c>
      <c r="CC18">
        <v>95.128205129999998</v>
      </c>
      <c r="CD18">
        <v>95.38461538</v>
      </c>
      <c r="CE18">
        <v>95.641025639999995</v>
      </c>
      <c r="CF18">
        <v>95.897435900000005</v>
      </c>
      <c r="CG18">
        <v>96.153846150000007</v>
      </c>
      <c r="CH18">
        <v>96.410256410000002</v>
      </c>
      <c r="CI18">
        <v>96.666666669999998</v>
      </c>
      <c r="CJ18">
        <v>96.92307692</v>
      </c>
      <c r="CK18">
        <v>97.179487179999995</v>
      </c>
      <c r="CL18">
        <v>97.435897440000005</v>
      </c>
      <c r="CM18">
        <v>97.692307690000007</v>
      </c>
      <c r="CN18">
        <v>97.948717950000002</v>
      </c>
      <c r="CO18">
        <v>98.205128209999998</v>
      </c>
      <c r="CP18">
        <v>98.46153846</v>
      </c>
      <c r="CQ18">
        <v>98.717948719999995</v>
      </c>
      <c r="CR18">
        <v>98.974358969999997</v>
      </c>
      <c r="CS18">
        <v>99.230769230000007</v>
      </c>
      <c r="CT18">
        <v>99.487179490000003</v>
      </c>
      <c r="CU18">
        <v>99.743589740000004</v>
      </c>
      <c r="CV18">
        <v>100</v>
      </c>
    </row>
    <row r="19" spans="1:892" x14ac:dyDescent="0.2">
      <c r="A19">
        <v>50</v>
      </c>
      <c r="B19">
        <v>-1.75</v>
      </c>
      <c r="C19">
        <v>-4.25</v>
      </c>
      <c r="D19">
        <v>-6.75</v>
      </c>
      <c r="E19">
        <v>-9.25</v>
      </c>
      <c r="F19">
        <v>-11.75</v>
      </c>
      <c r="G19">
        <v>-14.25</v>
      </c>
      <c r="H19">
        <v>-16.75</v>
      </c>
      <c r="I19">
        <v>-19.25</v>
      </c>
      <c r="J19">
        <v>-21.75</v>
      </c>
      <c r="K19">
        <v>-24.25</v>
      </c>
      <c r="L19">
        <v>-26.75</v>
      </c>
      <c r="M19">
        <v>-29.25</v>
      </c>
      <c r="N19">
        <v>-31.75</v>
      </c>
      <c r="O19">
        <v>-34.25</v>
      </c>
      <c r="P19">
        <v>-36.75</v>
      </c>
      <c r="Q19">
        <v>-39.25</v>
      </c>
      <c r="R19">
        <v>-41.75</v>
      </c>
      <c r="S19">
        <v>-44.25</v>
      </c>
      <c r="T19">
        <v>-46.75</v>
      </c>
      <c r="U19">
        <v>-49.25</v>
      </c>
      <c r="V19">
        <v>-51.75</v>
      </c>
      <c r="W19">
        <v>-54.25</v>
      </c>
      <c r="X19">
        <v>-56.75</v>
      </c>
      <c r="Y19">
        <v>-59.25</v>
      </c>
      <c r="Z19">
        <v>-61.75</v>
      </c>
      <c r="AA19">
        <v>-64.25</v>
      </c>
      <c r="AB19">
        <v>-66.75</v>
      </c>
      <c r="AC19">
        <v>-69.25</v>
      </c>
      <c r="AD19">
        <v>-71.75</v>
      </c>
      <c r="AE19">
        <v>-74.25</v>
      </c>
      <c r="AF19">
        <v>-76.75</v>
      </c>
      <c r="AG19">
        <v>-79.25</v>
      </c>
      <c r="AH19">
        <v>-81.75</v>
      </c>
      <c r="AI19">
        <v>-84.25</v>
      </c>
      <c r="AJ19">
        <v>-86.75</v>
      </c>
      <c r="AK19">
        <v>-89.25</v>
      </c>
      <c r="AL19">
        <v>-91.75</v>
      </c>
      <c r="AM19">
        <v>-94.25</v>
      </c>
      <c r="AN19">
        <v>-96.75</v>
      </c>
      <c r="AO19">
        <v>-99.25</v>
      </c>
      <c r="AP19">
        <v>-101.75</v>
      </c>
      <c r="AQ19">
        <v>-104.25</v>
      </c>
      <c r="AR19">
        <v>-106.75</v>
      </c>
      <c r="AS19">
        <v>-109.25</v>
      </c>
      <c r="AT19">
        <v>-111.75</v>
      </c>
      <c r="AU19">
        <v>-114.25</v>
      </c>
      <c r="AV19">
        <v>-116.75</v>
      </c>
      <c r="AW19">
        <v>-119.25</v>
      </c>
      <c r="AX19">
        <v>-121.75</v>
      </c>
      <c r="AY19">
        <v>-124.25</v>
      </c>
      <c r="AZ19">
        <v>-126.75</v>
      </c>
      <c r="BA19">
        <v>-129.25</v>
      </c>
      <c r="BB19">
        <v>-131.75</v>
      </c>
      <c r="BC19">
        <v>-134.25</v>
      </c>
      <c r="BD19">
        <v>-136.75</v>
      </c>
      <c r="BE19">
        <v>-139.25</v>
      </c>
      <c r="BF19">
        <v>-141.75</v>
      </c>
      <c r="BG19">
        <v>-144.25</v>
      </c>
      <c r="BH19">
        <v>-146.75</v>
      </c>
      <c r="BI19">
        <v>-149.25</v>
      </c>
      <c r="BJ19">
        <v>-151.75</v>
      </c>
      <c r="BK19">
        <v>-154.25</v>
      </c>
      <c r="BL19">
        <v>-156.75</v>
      </c>
      <c r="BM19">
        <v>-159.25</v>
      </c>
      <c r="BN19">
        <v>-161.75</v>
      </c>
      <c r="BO19">
        <v>-164.25</v>
      </c>
      <c r="BP19">
        <v>-166.75</v>
      </c>
      <c r="BQ19">
        <v>-169.25</v>
      </c>
      <c r="BR19">
        <v>-171.75</v>
      </c>
      <c r="BS19">
        <v>-174.25</v>
      </c>
      <c r="BT19">
        <v>-176.75</v>
      </c>
      <c r="BU19">
        <v>-179.25</v>
      </c>
      <c r="BV19">
        <v>-181.75</v>
      </c>
      <c r="BW19">
        <v>-184.25</v>
      </c>
      <c r="BX19">
        <v>-186.75</v>
      </c>
      <c r="BY19">
        <v>-189.25</v>
      </c>
      <c r="BZ19">
        <v>-191.75</v>
      </c>
      <c r="CA19">
        <v>-194.25</v>
      </c>
      <c r="CB19">
        <v>-196.75</v>
      </c>
      <c r="CC19">
        <v>-199.25</v>
      </c>
      <c r="CD19">
        <v>-201.75</v>
      </c>
      <c r="CE19">
        <v>-204.25</v>
      </c>
      <c r="CF19">
        <v>-206.75</v>
      </c>
      <c r="CG19">
        <v>-209.25</v>
      </c>
      <c r="CH19">
        <v>-211.75</v>
      </c>
      <c r="CI19">
        <v>-214.25</v>
      </c>
      <c r="CJ19">
        <v>-216.75</v>
      </c>
      <c r="CK19">
        <v>-219.25</v>
      </c>
      <c r="CL19">
        <v>-221.75</v>
      </c>
      <c r="CM19">
        <v>-224.25</v>
      </c>
      <c r="CN19">
        <v>-226.75</v>
      </c>
      <c r="CO19">
        <v>-229.25</v>
      </c>
      <c r="CP19">
        <v>-231.75</v>
      </c>
      <c r="CQ19">
        <v>-234.25</v>
      </c>
      <c r="CR19">
        <v>-236.75</v>
      </c>
      <c r="CS19">
        <v>-239.25</v>
      </c>
      <c r="CT19">
        <v>-241.75</v>
      </c>
      <c r="CU19">
        <v>-244.25</v>
      </c>
      <c r="CV19">
        <v>-246.75</v>
      </c>
    </row>
    <row r="20" spans="1:892" x14ac:dyDescent="0.2">
      <c r="A20">
        <v>51</v>
      </c>
      <c r="B20">
        <v>1</v>
      </c>
      <c r="C20">
        <v>1.8</v>
      </c>
      <c r="D20">
        <v>2.6</v>
      </c>
      <c r="E20">
        <v>3.4</v>
      </c>
      <c r="F20">
        <v>4.2</v>
      </c>
      <c r="G20">
        <v>5</v>
      </c>
      <c r="H20">
        <v>5.8</v>
      </c>
      <c r="I20">
        <v>6.6</v>
      </c>
      <c r="J20">
        <v>7.4</v>
      </c>
      <c r="K20">
        <v>8.1999999999999993</v>
      </c>
      <c r="L20">
        <v>9</v>
      </c>
      <c r="M20">
        <v>9.8000000000000007</v>
      </c>
      <c r="N20">
        <v>10.6</v>
      </c>
      <c r="O20">
        <v>11.4</v>
      </c>
      <c r="P20">
        <v>12.2</v>
      </c>
      <c r="Q20">
        <v>13</v>
      </c>
      <c r="R20">
        <v>13.8</v>
      </c>
      <c r="S20">
        <v>14.6</v>
      </c>
      <c r="T20">
        <v>15.4</v>
      </c>
      <c r="U20">
        <v>16.2</v>
      </c>
      <c r="V20">
        <v>17</v>
      </c>
      <c r="W20">
        <v>17.8</v>
      </c>
      <c r="X20">
        <v>18.600000000000001</v>
      </c>
      <c r="Y20">
        <v>19.399999999999999</v>
      </c>
      <c r="Z20">
        <v>20.2</v>
      </c>
      <c r="AA20">
        <v>21</v>
      </c>
      <c r="AB20">
        <v>21.8</v>
      </c>
      <c r="AC20">
        <v>22.6</v>
      </c>
      <c r="AD20">
        <v>23.4</v>
      </c>
      <c r="AE20">
        <v>24.2</v>
      </c>
      <c r="AF20">
        <v>25</v>
      </c>
      <c r="AG20">
        <v>25.8</v>
      </c>
      <c r="AH20">
        <v>26.6</v>
      </c>
      <c r="AI20">
        <v>27.4</v>
      </c>
      <c r="AJ20">
        <v>28.2</v>
      </c>
      <c r="AK20">
        <v>29</v>
      </c>
      <c r="AL20">
        <v>29.8</v>
      </c>
      <c r="AM20">
        <v>30.6</v>
      </c>
      <c r="AN20">
        <v>31.4</v>
      </c>
      <c r="AO20">
        <v>32.200000000000003</v>
      </c>
      <c r="AP20">
        <v>33</v>
      </c>
      <c r="AQ20">
        <v>33.799999999999997</v>
      </c>
      <c r="AR20">
        <v>34.6</v>
      </c>
      <c r="AS20">
        <v>35.4</v>
      </c>
      <c r="AT20">
        <v>36.200000000000003</v>
      </c>
      <c r="AU20">
        <v>37</v>
      </c>
      <c r="AV20">
        <v>37.799999999999997</v>
      </c>
      <c r="AW20">
        <v>38.6</v>
      </c>
      <c r="AX20">
        <v>39.4</v>
      </c>
      <c r="AY20">
        <v>40.200000000000003</v>
      </c>
      <c r="AZ20">
        <v>41</v>
      </c>
      <c r="BA20">
        <v>41.8</v>
      </c>
      <c r="BB20">
        <v>42.6</v>
      </c>
      <c r="BC20">
        <v>43.4</v>
      </c>
      <c r="BD20">
        <v>44.2</v>
      </c>
      <c r="BE20">
        <v>45</v>
      </c>
      <c r="BF20">
        <v>45.8</v>
      </c>
      <c r="BG20">
        <v>46.6</v>
      </c>
      <c r="BH20">
        <v>47.4</v>
      </c>
      <c r="BI20">
        <v>48.2</v>
      </c>
      <c r="BJ20">
        <v>49</v>
      </c>
      <c r="BK20">
        <v>49.8</v>
      </c>
      <c r="BL20">
        <v>50.6</v>
      </c>
      <c r="BM20">
        <v>51.4</v>
      </c>
      <c r="BN20">
        <v>52.2</v>
      </c>
      <c r="BO20">
        <v>53</v>
      </c>
      <c r="BP20">
        <v>53.8</v>
      </c>
      <c r="BQ20">
        <v>54.6</v>
      </c>
      <c r="BR20">
        <v>55.4</v>
      </c>
      <c r="BS20">
        <v>56.2</v>
      </c>
      <c r="BT20">
        <v>57</v>
      </c>
      <c r="BU20">
        <v>57.8</v>
      </c>
      <c r="BV20">
        <v>58.6</v>
      </c>
      <c r="BW20">
        <v>59.4</v>
      </c>
      <c r="BX20">
        <v>60.2</v>
      </c>
      <c r="BY20">
        <v>61</v>
      </c>
      <c r="BZ20">
        <v>61.8</v>
      </c>
      <c r="CA20">
        <v>62.6</v>
      </c>
      <c r="CB20">
        <v>63.4</v>
      </c>
      <c r="CC20">
        <v>64.2</v>
      </c>
      <c r="CD20">
        <v>65</v>
      </c>
      <c r="CE20">
        <v>65.8</v>
      </c>
      <c r="CF20">
        <v>66.599999999999994</v>
      </c>
      <c r="CG20">
        <v>67.400000000000006</v>
      </c>
      <c r="CH20">
        <v>68.2</v>
      </c>
      <c r="CI20">
        <v>69</v>
      </c>
      <c r="CJ20">
        <v>69.8</v>
      </c>
      <c r="CK20">
        <v>70.599999999999994</v>
      </c>
      <c r="CL20">
        <v>71.400000000000006</v>
      </c>
      <c r="CM20">
        <v>72.2</v>
      </c>
      <c r="CN20">
        <v>73</v>
      </c>
      <c r="CO20">
        <v>73.8</v>
      </c>
      <c r="CP20">
        <v>74.599999999999994</v>
      </c>
      <c r="CQ20">
        <v>75.400000000000006</v>
      </c>
      <c r="CR20">
        <v>76.2</v>
      </c>
      <c r="CS20">
        <v>77</v>
      </c>
      <c r="CT20">
        <v>77.8</v>
      </c>
      <c r="CU20">
        <v>78.599999999999994</v>
      </c>
      <c r="CV20">
        <v>79.400000000000006</v>
      </c>
    </row>
    <row r="21" spans="1:892" x14ac:dyDescent="0.2">
      <c r="A21">
        <v>100</v>
      </c>
      <c r="B21">
        <v>300</v>
      </c>
      <c r="C21">
        <v>301.27551019999999</v>
      </c>
      <c r="D21">
        <v>305.1020408</v>
      </c>
      <c r="E21">
        <v>311.47959179999998</v>
      </c>
      <c r="F21">
        <v>320.40816330000001</v>
      </c>
      <c r="G21">
        <v>331.88775509999999</v>
      </c>
      <c r="H21">
        <v>345.9183673</v>
      </c>
      <c r="I21">
        <v>362.5</v>
      </c>
      <c r="J21">
        <v>381.63265310000003</v>
      </c>
      <c r="K21">
        <v>403.3163265</v>
      </c>
      <c r="L21">
        <v>427.55102040000003</v>
      </c>
      <c r="M21">
        <v>454.33673470000002</v>
      </c>
      <c r="N21">
        <v>483.67346939999999</v>
      </c>
      <c r="O21">
        <v>515.56122449999998</v>
      </c>
      <c r="P21">
        <v>550</v>
      </c>
      <c r="Q21">
        <v>594.61633879999999</v>
      </c>
      <c r="R21">
        <v>638.42781100000002</v>
      </c>
      <c r="S21">
        <v>681.3704649</v>
      </c>
      <c r="T21">
        <v>723.36762659999999</v>
      </c>
      <c r="U21">
        <v>764.32546079999997</v>
      </c>
      <c r="V21">
        <v>804.12612330000002</v>
      </c>
      <c r="W21">
        <v>842.61656359999995</v>
      </c>
      <c r="X21">
        <v>879.58876569999995</v>
      </c>
      <c r="Y21">
        <v>914.74094309999998</v>
      </c>
      <c r="Z21">
        <v>947.58796610000002</v>
      </c>
      <c r="AA21">
        <v>977.18633720000003</v>
      </c>
      <c r="AB21">
        <v>1000</v>
      </c>
      <c r="AC21">
        <v>1019.350985</v>
      </c>
      <c r="AD21">
        <v>1038.267024</v>
      </c>
      <c r="AE21">
        <v>1056.7378759999999</v>
      </c>
      <c r="AF21">
        <v>1074.75254</v>
      </c>
      <c r="AG21">
        <v>1092.2991569999999</v>
      </c>
      <c r="AH21">
        <v>1109.3648929999999</v>
      </c>
      <c r="AI21">
        <v>1125.9357930000001</v>
      </c>
      <c r="AJ21">
        <v>1141.9966159999999</v>
      </c>
      <c r="AK21">
        <v>1157.5306129999999</v>
      </c>
      <c r="AL21">
        <v>1172.519274</v>
      </c>
      <c r="AM21">
        <v>1186.9419809999999</v>
      </c>
      <c r="AN21">
        <v>1200.7755890000001</v>
      </c>
      <c r="AO21">
        <v>1213.9938509999999</v>
      </c>
      <c r="AP21">
        <v>1226.5666630000001</v>
      </c>
      <c r="AQ21">
        <v>1238.45901</v>
      </c>
      <c r="AR21">
        <v>1249.629465</v>
      </c>
      <c r="AS21">
        <v>1260.0279539999999</v>
      </c>
      <c r="AT21">
        <v>1269.5922350000001</v>
      </c>
      <c r="AU21">
        <v>1278.241974</v>
      </c>
      <c r="AV21">
        <v>1285.8677479999999</v>
      </c>
      <c r="AW21">
        <v>1292.307376</v>
      </c>
      <c r="AX21">
        <v>1297.2802469999999</v>
      </c>
      <c r="AY21">
        <v>1300</v>
      </c>
      <c r="AZ21">
        <v>1302.4439540000001</v>
      </c>
      <c r="BA21">
        <v>1304.8777459999999</v>
      </c>
      <c r="BB21">
        <v>1307.3012020000001</v>
      </c>
      <c r="BC21">
        <v>1309.714144</v>
      </c>
      <c r="BD21">
        <v>1312.1163839999999</v>
      </c>
      <c r="BE21">
        <v>1314.50773</v>
      </c>
      <c r="BF21">
        <v>1316.8879770000001</v>
      </c>
      <c r="BG21">
        <v>1319.256916</v>
      </c>
      <c r="BH21">
        <v>1321.614327</v>
      </c>
      <c r="BI21">
        <v>1323.9599780000001</v>
      </c>
      <c r="BJ21">
        <v>1326.293631</v>
      </c>
      <c r="BK21">
        <v>1328.615031</v>
      </c>
      <c r="BL21">
        <v>1330.9239170000001</v>
      </c>
      <c r="BM21">
        <v>1333.2200089999999</v>
      </c>
      <c r="BN21">
        <v>1335.5030159999999</v>
      </c>
      <c r="BO21">
        <v>1337.7726319999999</v>
      </c>
      <c r="BP21">
        <v>1340.028532</v>
      </c>
      <c r="BQ21">
        <v>1342.2703750000001</v>
      </c>
      <c r="BR21">
        <v>1344.497799</v>
      </c>
      <c r="BS21">
        <v>1346.7104200000001</v>
      </c>
      <c r="BT21">
        <v>1348.907831</v>
      </c>
      <c r="BU21">
        <v>1351.0895989999999</v>
      </c>
      <c r="BV21">
        <v>1353.255263</v>
      </c>
      <c r="BW21">
        <v>1355.4043280000001</v>
      </c>
      <c r="BX21">
        <v>1357.536265</v>
      </c>
      <c r="BY21">
        <v>1359.6505050000001</v>
      </c>
      <c r="BZ21">
        <v>1361.7464339999999</v>
      </c>
      <c r="CA21">
        <v>1363.8233909999999</v>
      </c>
      <c r="CB21">
        <v>1365.880654</v>
      </c>
      <c r="CC21">
        <v>1367.9174390000001</v>
      </c>
      <c r="CD21">
        <v>1369.932888</v>
      </c>
      <c r="CE21">
        <v>1371.9260569999999</v>
      </c>
      <c r="CF21">
        <v>1373.895902</v>
      </c>
      <c r="CG21">
        <v>1375.8412639999999</v>
      </c>
      <c r="CH21">
        <v>1377.7608419999999</v>
      </c>
      <c r="CI21">
        <v>1379.6531709999999</v>
      </c>
      <c r="CJ21">
        <v>1381.516586</v>
      </c>
      <c r="CK21">
        <v>1383.349168</v>
      </c>
      <c r="CL21">
        <v>1385.148692</v>
      </c>
      <c r="CM21">
        <v>1386.9125300000001</v>
      </c>
      <c r="CN21">
        <v>1388.637532</v>
      </c>
      <c r="CO21">
        <v>1390.3198440000001</v>
      </c>
      <c r="CP21">
        <v>1391.9546270000001</v>
      </c>
      <c r="CQ21">
        <v>1393.5355930000001</v>
      </c>
      <c r="CR21">
        <v>1395.054198</v>
      </c>
      <c r="CS21">
        <v>1396.4980479999999</v>
      </c>
      <c r="CT21">
        <v>1397.847215</v>
      </c>
      <c r="CU21">
        <v>1399.062946</v>
      </c>
      <c r="CV21">
        <v>1400</v>
      </c>
    </row>
    <row r="22" spans="1:892" x14ac:dyDescent="0.2">
      <c r="A22">
        <v>101</v>
      </c>
      <c r="B22">
        <v>50</v>
      </c>
      <c r="C22">
        <v>53.840229690000001</v>
      </c>
      <c r="D22">
        <v>58.231712539999997</v>
      </c>
      <c r="E22">
        <v>62.858508049999998</v>
      </c>
      <c r="F22">
        <v>67.645062100000004</v>
      </c>
      <c r="G22">
        <v>72.55403269</v>
      </c>
      <c r="H22">
        <v>77.562815380000004</v>
      </c>
      <c r="I22">
        <v>82.656154700000002</v>
      </c>
      <c r="J22">
        <v>87.823018610000005</v>
      </c>
      <c r="K22">
        <v>93.055036439999995</v>
      </c>
      <c r="L22">
        <v>98.34562742</v>
      </c>
      <c r="M22">
        <v>103.68947470000001</v>
      </c>
      <c r="N22">
        <v>109.0821882</v>
      </c>
      <c r="O22">
        <v>114.5200787</v>
      </c>
      <c r="P22">
        <v>120</v>
      </c>
      <c r="Q22">
        <v>124.39424219999999</v>
      </c>
      <c r="R22">
        <v>130.09531749999999</v>
      </c>
      <c r="S22">
        <v>136.42213029999999</v>
      </c>
      <c r="T22">
        <v>143.19294919999999</v>
      </c>
      <c r="U22">
        <v>150.31433129999999</v>
      </c>
      <c r="V22">
        <v>157.7281481</v>
      </c>
      <c r="W22">
        <v>165.39433270000001</v>
      </c>
      <c r="X22">
        <v>173.2834053</v>
      </c>
      <c r="Y22">
        <v>181.37266740000001</v>
      </c>
      <c r="Z22">
        <v>189.6440451</v>
      </c>
      <c r="AA22">
        <v>198.0827697</v>
      </c>
      <c r="AB22">
        <v>206.67652330000001</v>
      </c>
      <c r="AC22">
        <v>215.41485850000001</v>
      </c>
      <c r="AD22">
        <v>224.2887905</v>
      </c>
      <c r="AE22">
        <v>233.29050140000001</v>
      </c>
      <c r="AF22">
        <v>242.41311999999999</v>
      </c>
      <c r="AG22">
        <v>251.65055480000001</v>
      </c>
      <c r="AH22">
        <v>260.99736419999999</v>
      </c>
      <c r="AI22">
        <v>270.44865479999999</v>
      </c>
      <c r="AJ22">
        <v>280</v>
      </c>
      <c r="AK22">
        <v>283.34641399999998</v>
      </c>
      <c r="AL22">
        <v>286.66504989999999</v>
      </c>
      <c r="AM22">
        <v>289.95494509999997</v>
      </c>
      <c r="AN22">
        <v>293.21505839999998</v>
      </c>
      <c r="AO22">
        <v>296.44425999999999</v>
      </c>
      <c r="AP22">
        <v>299.64131850000001</v>
      </c>
      <c r="AQ22">
        <v>302.80488639999999</v>
      </c>
      <c r="AR22">
        <v>305.93348200000003</v>
      </c>
      <c r="AS22">
        <v>309.0254673</v>
      </c>
      <c r="AT22">
        <v>312.07902100000001</v>
      </c>
      <c r="AU22">
        <v>315.09210409999997</v>
      </c>
      <c r="AV22">
        <v>318.06241649999998</v>
      </c>
      <c r="AW22">
        <v>320.98734159999998</v>
      </c>
      <c r="AX22">
        <v>323.86387180000003</v>
      </c>
      <c r="AY22">
        <v>326.6885102</v>
      </c>
      <c r="AZ22">
        <v>329.45713360000002</v>
      </c>
      <c r="BA22">
        <v>332.16479880000003</v>
      </c>
      <c r="BB22">
        <v>334.8054558</v>
      </c>
      <c r="BC22">
        <v>337.37150689999999</v>
      </c>
      <c r="BD22">
        <v>339.85308470000001</v>
      </c>
      <c r="BE22">
        <v>342.23677780000003</v>
      </c>
      <c r="BF22">
        <v>344.50312910000002</v>
      </c>
      <c r="BG22">
        <v>346.6208613</v>
      </c>
      <c r="BH22">
        <v>348.52914440000001</v>
      </c>
      <c r="BI22">
        <v>350</v>
      </c>
      <c r="BJ22">
        <v>352.81686860000002</v>
      </c>
      <c r="BK22">
        <v>355.62633340000002</v>
      </c>
      <c r="BL22">
        <v>358.42821429999998</v>
      </c>
      <c r="BM22">
        <v>361.22232209999999</v>
      </c>
      <c r="BN22">
        <v>364.00845720000001</v>
      </c>
      <c r="BO22">
        <v>366.78640860000002</v>
      </c>
      <c r="BP22">
        <v>369.55595349999999</v>
      </c>
      <c r="BQ22">
        <v>372.31685570000002</v>
      </c>
      <c r="BR22">
        <v>375.06886470000001</v>
      </c>
      <c r="BS22">
        <v>377.81171410000002</v>
      </c>
      <c r="BT22">
        <v>380.54511980000001</v>
      </c>
      <c r="BU22">
        <v>383.26877880000001</v>
      </c>
      <c r="BV22">
        <v>385.98236659999998</v>
      </c>
      <c r="BW22">
        <v>388.6855352</v>
      </c>
      <c r="BX22">
        <v>391.37790999999999</v>
      </c>
      <c r="BY22">
        <v>394.05908679999999</v>
      </c>
      <c r="BZ22">
        <v>396.72862809999998</v>
      </c>
      <c r="CA22">
        <v>399.3860588</v>
      </c>
      <c r="CB22">
        <v>402.03086050000002</v>
      </c>
      <c r="CC22">
        <v>404.66246610000002</v>
      </c>
      <c r="CD22">
        <v>407.2802514</v>
      </c>
      <c r="CE22">
        <v>409.88352680000003</v>
      </c>
      <c r="CF22">
        <v>412.4715253</v>
      </c>
      <c r="CG22">
        <v>415.04338940000002</v>
      </c>
      <c r="CH22">
        <v>417.59815270000001</v>
      </c>
      <c r="CI22">
        <v>420.13471800000002</v>
      </c>
      <c r="CJ22">
        <v>422.65182800000002</v>
      </c>
      <c r="CK22">
        <v>425.14802630000003</v>
      </c>
      <c r="CL22">
        <v>427.62160519999998</v>
      </c>
      <c r="CM22">
        <v>430.07053259999998</v>
      </c>
      <c r="CN22">
        <v>432.49234749999999</v>
      </c>
      <c r="CO22">
        <v>434.88400369999999</v>
      </c>
      <c r="CP22">
        <v>437.24162660000002</v>
      </c>
      <c r="CQ22">
        <v>439.5601097</v>
      </c>
      <c r="CR22">
        <v>441.83239129999998</v>
      </c>
      <c r="CS22">
        <v>444.04800840000001</v>
      </c>
      <c r="CT22">
        <v>446.18967579999997</v>
      </c>
      <c r="CU22">
        <v>448.22242089999997</v>
      </c>
      <c r="CV22">
        <v>450</v>
      </c>
    </row>
    <row r="23" spans="1:892" x14ac:dyDescent="0.2">
      <c r="A23">
        <v>102</v>
      </c>
      <c r="B23">
        <v>40</v>
      </c>
      <c r="C23">
        <f t="shared" ref="C23:BN23" si="5">40+60/149*(COLUMN()-2)</f>
        <v>40.402684563758392</v>
      </c>
      <c r="D23">
        <f t="shared" si="5"/>
        <v>40.805369127516776</v>
      </c>
      <c r="E23">
        <f t="shared" si="5"/>
        <v>41.208053691275168</v>
      </c>
      <c r="F23">
        <f t="shared" si="5"/>
        <v>41.61073825503356</v>
      </c>
      <c r="G23">
        <f t="shared" si="5"/>
        <v>42.013422818791945</v>
      </c>
      <c r="H23">
        <f t="shared" si="5"/>
        <v>42.416107382550337</v>
      </c>
      <c r="I23">
        <f t="shared" si="5"/>
        <v>42.818791946308721</v>
      </c>
      <c r="J23">
        <f t="shared" si="5"/>
        <v>43.221476510067113</v>
      </c>
      <c r="K23">
        <f t="shared" si="5"/>
        <v>43.624161073825505</v>
      </c>
      <c r="L23">
        <f t="shared" si="5"/>
        <v>44.026845637583889</v>
      </c>
      <c r="M23">
        <f t="shared" si="5"/>
        <v>44.429530201342281</v>
      </c>
      <c r="N23">
        <f t="shared" si="5"/>
        <v>44.832214765100673</v>
      </c>
      <c r="O23">
        <f t="shared" si="5"/>
        <v>45.234899328859058</v>
      </c>
      <c r="P23">
        <f t="shared" si="5"/>
        <v>45.63758389261745</v>
      </c>
      <c r="Q23">
        <f t="shared" si="5"/>
        <v>46.040268456375841</v>
      </c>
      <c r="R23">
        <f t="shared" si="5"/>
        <v>46.442953020134226</v>
      </c>
      <c r="S23">
        <f t="shared" si="5"/>
        <v>46.845637583892618</v>
      </c>
      <c r="T23">
        <f t="shared" si="5"/>
        <v>47.24832214765101</v>
      </c>
      <c r="U23">
        <f t="shared" si="5"/>
        <v>47.651006711409394</v>
      </c>
      <c r="V23">
        <f t="shared" si="5"/>
        <v>48.053691275167786</v>
      </c>
      <c r="W23">
        <f t="shared" si="5"/>
        <v>48.456375838926178</v>
      </c>
      <c r="X23">
        <f t="shared" si="5"/>
        <v>48.859060402684563</v>
      </c>
      <c r="Y23">
        <f t="shared" si="5"/>
        <v>49.261744966442954</v>
      </c>
      <c r="Z23">
        <f t="shared" si="5"/>
        <v>49.664429530201346</v>
      </c>
      <c r="AA23">
        <f t="shared" si="5"/>
        <v>50.067114093959731</v>
      </c>
      <c r="AB23">
        <f t="shared" si="5"/>
        <v>50.469798657718123</v>
      </c>
      <c r="AC23">
        <f t="shared" si="5"/>
        <v>50.872483221476507</v>
      </c>
      <c r="AD23">
        <f t="shared" si="5"/>
        <v>51.275167785234899</v>
      </c>
      <c r="AE23">
        <f t="shared" si="5"/>
        <v>51.677852348993284</v>
      </c>
      <c r="AF23">
        <f t="shared" si="5"/>
        <v>52.080536912751676</v>
      </c>
      <c r="AG23">
        <f t="shared" si="5"/>
        <v>52.483221476510067</v>
      </c>
      <c r="AH23">
        <f t="shared" si="5"/>
        <v>52.885906040268452</v>
      </c>
      <c r="AI23">
        <f t="shared" si="5"/>
        <v>53.288590604026844</v>
      </c>
      <c r="AJ23">
        <f t="shared" si="5"/>
        <v>53.691275167785236</v>
      </c>
      <c r="AK23">
        <f t="shared" si="5"/>
        <v>54.09395973154362</v>
      </c>
      <c r="AL23">
        <f t="shared" si="5"/>
        <v>54.496644295302012</v>
      </c>
      <c r="AM23">
        <f t="shared" si="5"/>
        <v>54.899328859060404</v>
      </c>
      <c r="AN23">
        <f t="shared" si="5"/>
        <v>55.302013422818789</v>
      </c>
      <c r="AO23">
        <f t="shared" si="5"/>
        <v>55.70469798657718</v>
      </c>
      <c r="AP23">
        <f t="shared" si="5"/>
        <v>56.107382550335572</v>
      </c>
      <c r="AQ23">
        <f t="shared" si="5"/>
        <v>56.510067114093957</v>
      </c>
      <c r="AR23">
        <f t="shared" si="5"/>
        <v>56.912751677852349</v>
      </c>
      <c r="AS23">
        <f t="shared" si="5"/>
        <v>57.31543624161074</v>
      </c>
      <c r="AT23">
        <f t="shared" si="5"/>
        <v>57.718120805369125</v>
      </c>
      <c r="AU23">
        <f t="shared" si="5"/>
        <v>58.120805369127517</v>
      </c>
      <c r="AV23">
        <f t="shared" si="5"/>
        <v>58.523489932885909</v>
      </c>
      <c r="AW23">
        <f t="shared" si="5"/>
        <v>58.926174496644293</v>
      </c>
      <c r="AX23">
        <f t="shared" si="5"/>
        <v>59.328859060402685</v>
      </c>
      <c r="AY23">
        <f t="shared" si="5"/>
        <v>59.731543624161077</v>
      </c>
      <c r="AZ23">
        <f t="shared" si="5"/>
        <v>60.134228187919462</v>
      </c>
      <c r="BA23">
        <f t="shared" si="5"/>
        <v>60.536912751677846</v>
      </c>
      <c r="BB23">
        <f t="shared" si="5"/>
        <v>60.939597315436245</v>
      </c>
      <c r="BC23">
        <f t="shared" si="5"/>
        <v>61.34228187919463</v>
      </c>
      <c r="BD23">
        <f t="shared" si="5"/>
        <v>61.744966442953015</v>
      </c>
      <c r="BE23">
        <f t="shared" si="5"/>
        <v>62.147651006711406</v>
      </c>
      <c r="BF23">
        <f t="shared" si="5"/>
        <v>62.550335570469798</v>
      </c>
      <c r="BG23">
        <f t="shared" si="5"/>
        <v>62.953020134228183</v>
      </c>
      <c r="BH23">
        <f t="shared" si="5"/>
        <v>63.355704697986575</v>
      </c>
      <c r="BI23">
        <f t="shared" si="5"/>
        <v>63.758389261744966</v>
      </c>
      <c r="BJ23">
        <f t="shared" si="5"/>
        <v>64.161073825503351</v>
      </c>
      <c r="BK23">
        <f t="shared" si="5"/>
        <v>64.56375838926175</v>
      </c>
      <c r="BL23">
        <f t="shared" si="5"/>
        <v>64.966442953020135</v>
      </c>
      <c r="BM23">
        <f t="shared" si="5"/>
        <v>65.369127516778519</v>
      </c>
      <c r="BN23">
        <f t="shared" si="5"/>
        <v>65.771812080536904</v>
      </c>
      <c r="BO23">
        <f t="shared" ref="BO23:DZ23" si="6">40+60/149*(COLUMN()-2)</f>
        <v>66.174496644295303</v>
      </c>
      <c r="BP23">
        <f t="shared" si="6"/>
        <v>66.577181208053688</v>
      </c>
      <c r="BQ23">
        <f t="shared" si="6"/>
        <v>66.979865771812086</v>
      </c>
      <c r="BR23">
        <f t="shared" si="6"/>
        <v>67.382550335570471</v>
      </c>
      <c r="BS23">
        <f t="shared" si="6"/>
        <v>67.785234899328856</v>
      </c>
      <c r="BT23">
        <f t="shared" si="6"/>
        <v>68.187919463087241</v>
      </c>
      <c r="BU23">
        <f t="shared" si="6"/>
        <v>68.590604026845639</v>
      </c>
      <c r="BV23">
        <f t="shared" si="6"/>
        <v>68.993288590604024</v>
      </c>
      <c r="BW23">
        <f t="shared" si="6"/>
        <v>69.395973154362423</v>
      </c>
      <c r="BX23">
        <f t="shared" si="6"/>
        <v>69.798657718120808</v>
      </c>
      <c r="BY23">
        <f t="shared" si="6"/>
        <v>70.201342281879192</v>
      </c>
      <c r="BZ23">
        <f t="shared" si="6"/>
        <v>70.604026845637577</v>
      </c>
      <c r="CA23">
        <f t="shared" si="6"/>
        <v>71.006711409395976</v>
      </c>
      <c r="CB23">
        <f t="shared" si="6"/>
        <v>71.409395973154361</v>
      </c>
      <c r="CC23">
        <f t="shared" si="6"/>
        <v>71.812080536912745</v>
      </c>
      <c r="CD23">
        <f t="shared" si="6"/>
        <v>72.214765100671144</v>
      </c>
      <c r="CE23">
        <f t="shared" si="6"/>
        <v>72.617449664429529</v>
      </c>
      <c r="CF23">
        <f t="shared" si="6"/>
        <v>73.020134228187914</v>
      </c>
      <c r="CG23">
        <f t="shared" si="6"/>
        <v>73.422818791946298</v>
      </c>
      <c r="CH23">
        <f t="shared" si="6"/>
        <v>73.825503355704697</v>
      </c>
      <c r="CI23">
        <f t="shared" si="6"/>
        <v>74.228187919463082</v>
      </c>
      <c r="CJ23">
        <f t="shared" si="6"/>
        <v>74.630872483221481</v>
      </c>
      <c r="CK23">
        <f t="shared" si="6"/>
        <v>75.033557046979865</v>
      </c>
      <c r="CL23">
        <f t="shared" si="6"/>
        <v>75.43624161073825</v>
      </c>
      <c r="CM23">
        <f t="shared" si="6"/>
        <v>75.838926174496635</v>
      </c>
      <c r="CN23">
        <f t="shared" si="6"/>
        <v>76.241610738255034</v>
      </c>
      <c r="CO23">
        <f t="shared" si="6"/>
        <v>76.644295302013418</v>
      </c>
      <c r="CP23">
        <f t="shared" si="6"/>
        <v>77.046979865771817</v>
      </c>
      <c r="CQ23">
        <f t="shared" si="6"/>
        <v>77.449664429530202</v>
      </c>
      <c r="CR23">
        <f t="shared" si="6"/>
        <v>77.852348993288587</v>
      </c>
      <c r="CS23">
        <f t="shared" si="6"/>
        <v>78.255033557046971</v>
      </c>
      <c r="CT23">
        <f t="shared" si="6"/>
        <v>78.65771812080537</v>
      </c>
      <c r="CU23">
        <f t="shared" si="6"/>
        <v>79.060402684563755</v>
      </c>
      <c r="CV23">
        <f t="shared" si="6"/>
        <v>79.463087248322154</v>
      </c>
      <c r="CW23">
        <f t="shared" si="6"/>
        <v>79.865771812080538</v>
      </c>
      <c r="CX23">
        <f t="shared" si="6"/>
        <v>80.268456375838923</v>
      </c>
      <c r="CY23">
        <f t="shared" si="6"/>
        <v>80.671140939597308</v>
      </c>
      <c r="CZ23">
        <f t="shared" si="6"/>
        <v>81.073825503355692</v>
      </c>
      <c r="DA23">
        <f t="shared" si="6"/>
        <v>81.476510067114091</v>
      </c>
      <c r="DB23">
        <f t="shared" si="6"/>
        <v>81.87919463087249</v>
      </c>
      <c r="DC23">
        <f t="shared" si="6"/>
        <v>82.281879194630875</v>
      </c>
      <c r="DD23">
        <f t="shared" si="6"/>
        <v>82.68456375838926</v>
      </c>
      <c r="DE23">
        <f t="shared" si="6"/>
        <v>83.087248322147644</v>
      </c>
      <c r="DF23">
        <f t="shared" si="6"/>
        <v>83.489932885906029</v>
      </c>
      <c r="DG23">
        <f t="shared" si="6"/>
        <v>83.892617449664428</v>
      </c>
      <c r="DH23">
        <f t="shared" si="6"/>
        <v>84.295302013422813</v>
      </c>
      <c r="DI23">
        <f t="shared" si="6"/>
        <v>84.697986577181211</v>
      </c>
      <c r="DJ23">
        <f t="shared" si="6"/>
        <v>85.100671140939596</v>
      </c>
      <c r="DK23">
        <f t="shared" si="6"/>
        <v>85.503355704697981</v>
      </c>
      <c r="DL23">
        <f t="shared" si="6"/>
        <v>85.906040268456366</v>
      </c>
      <c r="DM23">
        <f t="shared" si="6"/>
        <v>86.308724832214764</v>
      </c>
      <c r="DN23">
        <f t="shared" si="6"/>
        <v>86.711409395973149</v>
      </c>
      <c r="DO23">
        <f t="shared" si="6"/>
        <v>87.114093959731548</v>
      </c>
      <c r="DP23">
        <f t="shared" si="6"/>
        <v>87.516778523489933</v>
      </c>
      <c r="DQ23">
        <f t="shared" si="6"/>
        <v>87.919463087248317</v>
      </c>
      <c r="DR23">
        <f t="shared" si="6"/>
        <v>88.322147651006702</v>
      </c>
      <c r="DS23">
        <f t="shared" si="6"/>
        <v>88.724832214765101</v>
      </c>
      <c r="DT23">
        <f t="shared" si="6"/>
        <v>89.127516778523486</v>
      </c>
      <c r="DU23">
        <f t="shared" si="6"/>
        <v>89.530201342281885</v>
      </c>
      <c r="DV23">
        <f t="shared" si="6"/>
        <v>89.932885906040269</v>
      </c>
      <c r="DW23">
        <f t="shared" si="6"/>
        <v>90.335570469798654</v>
      </c>
      <c r="DX23">
        <f t="shared" si="6"/>
        <v>90.738255033557039</v>
      </c>
      <c r="DY23">
        <f t="shared" si="6"/>
        <v>91.140939597315423</v>
      </c>
      <c r="DZ23">
        <f t="shared" si="6"/>
        <v>91.543624161073822</v>
      </c>
      <c r="EA23">
        <f t="shared" ref="EA23:ET23" si="7">40+60/149*(COLUMN()-2)</f>
        <v>91.946308724832221</v>
      </c>
      <c r="EB23">
        <f t="shared" si="7"/>
        <v>92.348993288590606</v>
      </c>
      <c r="EC23">
        <f t="shared" si="7"/>
        <v>92.75167785234899</v>
      </c>
      <c r="ED23">
        <f t="shared" si="7"/>
        <v>93.154362416107375</v>
      </c>
      <c r="EE23">
        <f t="shared" si="7"/>
        <v>93.55704697986576</v>
      </c>
      <c r="EF23">
        <f t="shared" si="7"/>
        <v>93.959731543624159</v>
      </c>
      <c r="EG23">
        <f t="shared" si="7"/>
        <v>94.362416107382543</v>
      </c>
      <c r="EH23">
        <f t="shared" si="7"/>
        <v>94.765100671140942</v>
      </c>
      <c r="EI23">
        <f t="shared" si="7"/>
        <v>95.167785234899327</v>
      </c>
      <c r="EJ23">
        <f t="shared" si="7"/>
        <v>95.570469798657712</v>
      </c>
      <c r="EK23">
        <f t="shared" si="7"/>
        <v>95.973154362416096</v>
      </c>
      <c r="EL23">
        <f t="shared" si="7"/>
        <v>96.375838926174495</v>
      </c>
      <c r="EM23">
        <f t="shared" si="7"/>
        <v>96.77852348993288</v>
      </c>
      <c r="EN23">
        <f t="shared" si="7"/>
        <v>97.181208053691279</v>
      </c>
      <c r="EO23">
        <f t="shared" si="7"/>
        <v>97.583892617449663</v>
      </c>
      <c r="EP23">
        <f t="shared" si="7"/>
        <v>97.986577181208048</v>
      </c>
      <c r="EQ23">
        <f t="shared" si="7"/>
        <v>98.389261744966433</v>
      </c>
      <c r="ER23">
        <f t="shared" si="7"/>
        <v>98.791946308724832</v>
      </c>
      <c r="ES23">
        <f t="shared" si="7"/>
        <v>99.194630872483216</v>
      </c>
      <c r="ET23">
        <f t="shared" si="7"/>
        <v>99.597315436241615</v>
      </c>
      <c r="EU23">
        <v>100</v>
      </c>
      <c r="EV23">
        <f t="shared" ref="EV23:FN23" si="8">100+10/20*(COLUMN()-151)</f>
        <v>100.5</v>
      </c>
      <c r="EW23">
        <f t="shared" si="8"/>
        <v>101</v>
      </c>
      <c r="EX23">
        <f t="shared" si="8"/>
        <v>101.5</v>
      </c>
      <c r="EY23">
        <f t="shared" si="8"/>
        <v>102</v>
      </c>
      <c r="EZ23">
        <f t="shared" si="8"/>
        <v>102.5</v>
      </c>
      <c r="FA23">
        <f t="shared" si="8"/>
        <v>103</v>
      </c>
      <c r="FB23">
        <f t="shared" si="8"/>
        <v>103.5</v>
      </c>
      <c r="FC23">
        <f t="shared" si="8"/>
        <v>104</v>
      </c>
      <c r="FD23">
        <f t="shared" si="8"/>
        <v>104.5</v>
      </c>
      <c r="FE23">
        <f t="shared" si="8"/>
        <v>105</v>
      </c>
      <c r="FF23">
        <f t="shared" si="8"/>
        <v>105.5</v>
      </c>
      <c r="FG23">
        <f t="shared" si="8"/>
        <v>106</v>
      </c>
      <c r="FH23">
        <f t="shared" si="8"/>
        <v>106.5</v>
      </c>
      <c r="FI23">
        <f t="shared" si="8"/>
        <v>107</v>
      </c>
      <c r="FJ23">
        <f t="shared" si="8"/>
        <v>107.5</v>
      </c>
      <c r="FK23">
        <f t="shared" si="8"/>
        <v>108</v>
      </c>
      <c r="FL23">
        <f t="shared" si="8"/>
        <v>108.5</v>
      </c>
      <c r="FM23">
        <f t="shared" si="8"/>
        <v>109</v>
      </c>
      <c r="FN23">
        <f t="shared" si="8"/>
        <v>109.5</v>
      </c>
      <c r="FO23">
        <v>110</v>
      </c>
      <c r="FP23">
        <f>110+10/70*(COLUMN()-171)</f>
        <v>110.14285714285714</v>
      </c>
      <c r="FQ23">
        <f t="shared" ref="FQ23:IB23" si="9">110+10/70*(COLUMN()-171)</f>
        <v>110.28571428571429</v>
      </c>
      <c r="FR23">
        <f t="shared" si="9"/>
        <v>110.42857142857143</v>
      </c>
      <c r="FS23">
        <f t="shared" si="9"/>
        <v>110.57142857142857</v>
      </c>
      <c r="FT23">
        <f t="shared" si="9"/>
        <v>110.71428571428571</v>
      </c>
      <c r="FU23">
        <f t="shared" si="9"/>
        <v>110.85714285714286</v>
      </c>
      <c r="FV23">
        <f t="shared" si="9"/>
        <v>111</v>
      </c>
      <c r="FW23">
        <f t="shared" si="9"/>
        <v>111.14285714285714</v>
      </c>
      <c r="FX23">
        <f t="shared" si="9"/>
        <v>111.28571428571429</v>
      </c>
      <c r="FY23">
        <f t="shared" si="9"/>
        <v>111.42857142857143</v>
      </c>
      <c r="FZ23">
        <f t="shared" si="9"/>
        <v>111.57142857142857</v>
      </c>
      <c r="GA23">
        <f t="shared" si="9"/>
        <v>111.71428571428571</v>
      </c>
      <c r="GB23">
        <f t="shared" si="9"/>
        <v>111.85714285714286</v>
      </c>
      <c r="GC23">
        <f t="shared" si="9"/>
        <v>112</v>
      </c>
      <c r="GD23">
        <f t="shared" si="9"/>
        <v>112.14285714285714</v>
      </c>
      <c r="GE23">
        <f t="shared" si="9"/>
        <v>112.28571428571429</v>
      </c>
      <c r="GF23">
        <f t="shared" si="9"/>
        <v>112.42857142857143</v>
      </c>
      <c r="GG23">
        <f t="shared" si="9"/>
        <v>112.57142857142857</v>
      </c>
      <c r="GH23">
        <f t="shared" si="9"/>
        <v>112.71428571428571</v>
      </c>
      <c r="GI23">
        <f t="shared" si="9"/>
        <v>112.85714285714286</v>
      </c>
      <c r="GJ23">
        <f t="shared" si="9"/>
        <v>113</v>
      </c>
      <c r="GK23">
        <f t="shared" si="9"/>
        <v>113.14285714285714</v>
      </c>
      <c r="GL23">
        <f t="shared" si="9"/>
        <v>113.28571428571429</v>
      </c>
      <c r="GM23">
        <f t="shared" si="9"/>
        <v>113.42857142857143</v>
      </c>
      <c r="GN23">
        <f t="shared" si="9"/>
        <v>113.57142857142857</v>
      </c>
      <c r="GO23">
        <f t="shared" si="9"/>
        <v>113.71428571428571</v>
      </c>
      <c r="GP23">
        <f t="shared" si="9"/>
        <v>113.85714285714286</v>
      </c>
      <c r="GQ23">
        <f t="shared" si="9"/>
        <v>114</v>
      </c>
      <c r="GR23">
        <f t="shared" si="9"/>
        <v>114.14285714285714</v>
      </c>
      <c r="GS23">
        <f t="shared" si="9"/>
        <v>114.28571428571429</v>
      </c>
      <c r="GT23">
        <f t="shared" si="9"/>
        <v>114.42857142857143</v>
      </c>
      <c r="GU23">
        <f t="shared" si="9"/>
        <v>114.57142857142857</v>
      </c>
      <c r="GV23">
        <f t="shared" si="9"/>
        <v>114.71428571428571</v>
      </c>
      <c r="GW23">
        <f t="shared" si="9"/>
        <v>114.85714285714286</v>
      </c>
      <c r="GX23">
        <f t="shared" si="9"/>
        <v>115</v>
      </c>
      <c r="GY23">
        <f t="shared" si="9"/>
        <v>115.14285714285714</v>
      </c>
      <c r="GZ23">
        <f t="shared" si="9"/>
        <v>115.28571428571429</v>
      </c>
      <c r="HA23">
        <f t="shared" si="9"/>
        <v>115.42857142857143</v>
      </c>
      <c r="HB23">
        <f t="shared" si="9"/>
        <v>115.57142857142857</v>
      </c>
      <c r="HC23">
        <f t="shared" si="9"/>
        <v>115.71428571428571</v>
      </c>
      <c r="HD23">
        <f t="shared" si="9"/>
        <v>115.85714285714286</v>
      </c>
      <c r="HE23">
        <f t="shared" si="9"/>
        <v>116</v>
      </c>
      <c r="HF23">
        <f t="shared" si="9"/>
        <v>116.14285714285714</v>
      </c>
      <c r="HG23">
        <f t="shared" si="9"/>
        <v>116.28571428571429</v>
      </c>
      <c r="HH23">
        <f t="shared" si="9"/>
        <v>116.42857142857143</v>
      </c>
      <c r="HI23">
        <f t="shared" si="9"/>
        <v>116.57142857142857</v>
      </c>
      <c r="HJ23">
        <f t="shared" si="9"/>
        <v>116.71428571428571</v>
      </c>
      <c r="HK23">
        <f t="shared" si="9"/>
        <v>116.85714285714286</v>
      </c>
      <c r="HL23">
        <f t="shared" si="9"/>
        <v>117</v>
      </c>
      <c r="HM23">
        <f t="shared" si="9"/>
        <v>117.14285714285714</v>
      </c>
      <c r="HN23">
        <f t="shared" si="9"/>
        <v>117.28571428571429</v>
      </c>
      <c r="HO23">
        <f t="shared" si="9"/>
        <v>117.42857142857143</v>
      </c>
      <c r="HP23">
        <f t="shared" si="9"/>
        <v>117.57142857142857</v>
      </c>
      <c r="HQ23">
        <f t="shared" si="9"/>
        <v>117.71428571428571</v>
      </c>
      <c r="HR23">
        <f t="shared" si="9"/>
        <v>117.85714285714286</v>
      </c>
      <c r="HS23">
        <f t="shared" si="9"/>
        <v>118</v>
      </c>
      <c r="HT23">
        <f t="shared" si="9"/>
        <v>118.14285714285714</v>
      </c>
      <c r="HU23">
        <f t="shared" si="9"/>
        <v>118.28571428571428</v>
      </c>
      <c r="HV23">
        <f t="shared" si="9"/>
        <v>118.42857142857143</v>
      </c>
      <c r="HW23">
        <f t="shared" si="9"/>
        <v>118.57142857142857</v>
      </c>
      <c r="HX23">
        <f t="shared" si="9"/>
        <v>118.71428571428571</v>
      </c>
      <c r="HY23">
        <f t="shared" si="9"/>
        <v>118.85714285714286</v>
      </c>
      <c r="HZ23">
        <f t="shared" si="9"/>
        <v>119</v>
      </c>
      <c r="IA23">
        <f t="shared" si="9"/>
        <v>119.14285714285714</v>
      </c>
      <c r="IB23">
        <f t="shared" si="9"/>
        <v>119.28571428571428</v>
      </c>
      <c r="IC23">
        <f t="shared" ref="IC23:IF23" si="10">110+10/70*(COLUMN()-171)</f>
        <v>119.42857142857143</v>
      </c>
      <c r="ID23">
        <f t="shared" si="10"/>
        <v>119.57142857142857</v>
      </c>
      <c r="IE23">
        <f t="shared" si="10"/>
        <v>119.71428571428571</v>
      </c>
      <c r="IF23">
        <f t="shared" si="10"/>
        <v>119.85714285714286</v>
      </c>
      <c r="IG23">
        <v>120</v>
      </c>
      <c r="IH23">
        <f>120+30/(891-240)*(COLUMN()-241)</f>
        <v>120.04608294930875</v>
      </c>
      <c r="II23">
        <f t="shared" ref="II23:KT23" si="11">120+30/(891-240)*(COLUMN()-241)</f>
        <v>120.09216589861751</v>
      </c>
      <c r="IJ23">
        <f t="shared" si="11"/>
        <v>120.13824884792626</v>
      </c>
      <c r="IK23">
        <f t="shared" si="11"/>
        <v>120.18433179723502</v>
      </c>
      <c r="IL23">
        <f t="shared" si="11"/>
        <v>120.23041474654377</v>
      </c>
      <c r="IM23">
        <f t="shared" si="11"/>
        <v>120.27649769585254</v>
      </c>
      <c r="IN23">
        <f t="shared" si="11"/>
        <v>120.3225806451613</v>
      </c>
      <c r="IO23">
        <f t="shared" si="11"/>
        <v>120.36866359447005</v>
      </c>
      <c r="IP23">
        <f t="shared" si="11"/>
        <v>120.4147465437788</v>
      </c>
      <c r="IQ23">
        <f t="shared" si="11"/>
        <v>120.46082949308756</v>
      </c>
      <c r="IR23">
        <f t="shared" si="11"/>
        <v>120.50691244239631</v>
      </c>
      <c r="IS23">
        <f t="shared" si="11"/>
        <v>120.55299539170507</v>
      </c>
      <c r="IT23">
        <f t="shared" si="11"/>
        <v>120.59907834101382</v>
      </c>
      <c r="IU23">
        <f t="shared" si="11"/>
        <v>120.64516129032258</v>
      </c>
      <c r="IV23">
        <f t="shared" si="11"/>
        <v>120.69124423963133</v>
      </c>
      <c r="IW23">
        <f t="shared" si="11"/>
        <v>120.73732718894009</v>
      </c>
      <c r="IX23">
        <f t="shared" si="11"/>
        <v>120.78341013824885</v>
      </c>
      <c r="IY23">
        <f t="shared" si="11"/>
        <v>120.82949308755761</v>
      </c>
      <c r="IZ23">
        <f t="shared" si="11"/>
        <v>120.87557603686636</v>
      </c>
      <c r="JA23">
        <f t="shared" si="11"/>
        <v>120.92165898617512</v>
      </c>
      <c r="JB23">
        <f t="shared" si="11"/>
        <v>120.96774193548387</v>
      </c>
      <c r="JC23">
        <f t="shared" si="11"/>
        <v>121.01382488479263</v>
      </c>
      <c r="JD23">
        <f t="shared" si="11"/>
        <v>121.05990783410138</v>
      </c>
      <c r="JE23">
        <f t="shared" si="11"/>
        <v>121.10599078341014</v>
      </c>
      <c r="JF23">
        <f t="shared" si="11"/>
        <v>121.15207373271889</v>
      </c>
      <c r="JG23">
        <f t="shared" si="11"/>
        <v>121.19815668202764</v>
      </c>
      <c r="JH23">
        <f t="shared" si="11"/>
        <v>121.2442396313364</v>
      </c>
      <c r="JI23">
        <f t="shared" si="11"/>
        <v>121.29032258064517</v>
      </c>
      <c r="JJ23">
        <f t="shared" si="11"/>
        <v>121.33640552995392</v>
      </c>
      <c r="JK23">
        <f t="shared" si="11"/>
        <v>121.38248847926268</v>
      </c>
      <c r="JL23">
        <f t="shared" si="11"/>
        <v>121.42857142857143</v>
      </c>
      <c r="JM23">
        <f t="shared" si="11"/>
        <v>121.47465437788019</v>
      </c>
      <c r="JN23">
        <f t="shared" si="11"/>
        <v>121.52073732718894</v>
      </c>
      <c r="JO23">
        <f t="shared" si="11"/>
        <v>121.56682027649769</v>
      </c>
      <c r="JP23">
        <f t="shared" si="11"/>
        <v>121.61290322580645</v>
      </c>
      <c r="JQ23">
        <f t="shared" si="11"/>
        <v>121.6589861751152</v>
      </c>
      <c r="JR23">
        <f t="shared" si="11"/>
        <v>121.70506912442396</v>
      </c>
      <c r="JS23">
        <f t="shared" si="11"/>
        <v>121.75115207373273</v>
      </c>
      <c r="JT23">
        <f t="shared" si="11"/>
        <v>121.79723502304148</v>
      </c>
      <c r="JU23">
        <f t="shared" si="11"/>
        <v>121.84331797235023</v>
      </c>
      <c r="JV23">
        <f t="shared" si="11"/>
        <v>121.88940092165899</v>
      </c>
      <c r="JW23">
        <f t="shared" si="11"/>
        <v>121.93548387096774</v>
      </c>
      <c r="JX23">
        <f t="shared" si="11"/>
        <v>121.9815668202765</v>
      </c>
      <c r="JY23">
        <f t="shared" si="11"/>
        <v>122.02764976958525</v>
      </c>
      <c r="JZ23">
        <f t="shared" si="11"/>
        <v>122.07373271889401</v>
      </c>
      <c r="KA23">
        <f t="shared" si="11"/>
        <v>122.11981566820276</v>
      </c>
      <c r="KB23">
        <f t="shared" si="11"/>
        <v>122.16589861751152</v>
      </c>
      <c r="KC23">
        <f t="shared" si="11"/>
        <v>122.21198156682027</v>
      </c>
      <c r="KD23">
        <f t="shared" si="11"/>
        <v>122.25806451612904</v>
      </c>
      <c r="KE23">
        <f t="shared" si="11"/>
        <v>122.30414746543779</v>
      </c>
      <c r="KF23">
        <f t="shared" si="11"/>
        <v>122.35023041474655</v>
      </c>
      <c r="KG23">
        <f t="shared" si="11"/>
        <v>122.3963133640553</v>
      </c>
      <c r="KH23">
        <f t="shared" si="11"/>
        <v>122.44239631336406</v>
      </c>
      <c r="KI23">
        <f t="shared" si="11"/>
        <v>122.48847926267281</v>
      </c>
      <c r="KJ23">
        <f t="shared" si="11"/>
        <v>122.53456221198157</v>
      </c>
      <c r="KK23">
        <f t="shared" si="11"/>
        <v>122.58064516129032</v>
      </c>
      <c r="KL23">
        <f t="shared" si="11"/>
        <v>122.62672811059907</v>
      </c>
      <c r="KM23">
        <f t="shared" si="11"/>
        <v>122.67281105990783</v>
      </c>
      <c r="KN23">
        <f t="shared" si="11"/>
        <v>122.71889400921658</v>
      </c>
      <c r="KO23">
        <f t="shared" si="11"/>
        <v>122.76497695852535</v>
      </c>
      <c r="KP23">
        <f t="shared" si="11"/>
        <v>122.81105990783411</v>
      </c>
      <c r="KQ23">
        <f t="shared" si="11"/>
        <v>122.85714285714286</v>
      </c>
      <c r="KR23">
        <f t="shared" si="11"/>
        <v>122.90322580645162</v>
      </c>
      <c r="KS23">
        <f t="shared" si="11"/>
        <v>122.94930875576037</v>
      </c>
      <c r="KT23">
        <f t="shared" si="11"/>
        <v>122.99539170506912</v>
      </c>
      <c r="KU23">
        <f t="shared" ref="KU23:NF23" si="12">120+30/(891-240)*(COLUMN()-241)</f>
        <v>123.04147465437788</v>
      </c>
      <c r="KV23">
        <f t="shared" si="12"/>
        <v>123.08755760368663</v>
      </c>
      <c r="KW23">
        <f t="shared" si="12"/>
        <v>123.13364055299539</v>
      </c>
      <c r="KX23">
        <f t="shared" si="12"/>
        <v>123.17972350230414</v>
      </c>
      <c r="KY23">
        <f t="shared" si="12"/>
        <v>123.2258064516129</v>
      </c>
      <c r="KZ23">
        <f t="shared" si="12"/>
        <v>123.27188940092167</v>
      </c>
      <c r="LA23">
        <f t="shared" si="12"/>
        <v>123.31797235023042</v>
      </c>
      <c r="LB23">
        <f t="shared" si="12"/>
        <v>123.36405529953917</v>
      </c>
      <c r="LC23">
        <f t="shared" si="12"/>
        <v>123.41013824884793</v>
      </c>
      <c r="LD23">
        <f t="shared" si="12"/>
        <v>123.45622119815668</v>
      </c>
      <c r="LE23">
        <f t="shared" si="12"/>
        <v>123.50230414746544</v>
      </c>
      <c r="LF23">
        <f t="shared" si="12"/>
        <v>123.54838709677419</v>
      </c>
      <c r="LG23">
        <f t="shared" si="12"/>
        <v>123.59447004608295</v>
      </c>
      <c r="LH23">
        <f t="shared" si="12"/>
        <v>123.6405529953917</v>
      </c>
      <c r="LI23">
        <f t="shared" si="12"/>
        <v>123.68663594470046</v>
      </c>
      <c r="LJ23">
        <f t="shared" si="12"/>
        <v>123.73271889400921</v>
      </c>
      <c r="LK23">
        <f t="shared" si="12"/>
        <v>123.77880184331798</v>
      </c>
      <c r="LL23">
        <f t="shared" si="12"/>
        <v>123.82488479262673</v>
      </c>
      <c r="LM23">
        <f t="shared" si="12"/>
        <v>123.87096774193549</v>
      </c>
      <c r="LN23">
        <f t="shared" si="12"/>
        <v>123.91705069124424</v>
      </c>
      <c r="LO23">
        <f t="shared" si="12"/>
        <v>123.963133640553</v>
      </c>
      <c r="LP23">
        <f t="shared" si="12"/>
        <v>124.00921658986175</v>
      </c>
      <c r="LQ23">
        <f t="shared" si="12"/>
        <v>124.05529953917051</v>
      </c>
      <c r="LR23">
        <f t="shared" si="12"/>
        <v>124.10138248847926</v>
      </c>
      <c r="LS23">
        <f t="shared" si="12"/>
        <v>124.14746543778801</v>
      </c>
      <c r="LT23">
        <f t="shared" si="12"/>
        <v>124.19354838709677</v>
      </c>
      <c r="LU23">
        <f t="shared" si="12"/>
        <v>124.23963133640552</v>
      </c>
      <c r="LV23">
        <f t="shared" si="12"/>
        <v>124.28571428571429</v>
      </c>
      <c r="LW23">
        <f t="shared" si="12"/>
        <v>124.33179723502305</v>
      </c>
      <c r="LX23">
        <f t="shared" si="12"/>
        <v>124.3778801843318</v>
      </c>
      <c r="LY23">
        <f t="shared" si="12"/>
        <v>124.42396313364056</v>
      </c>
      <c r="LZ23">
        <f t="shared" si="12"/>
        <v>124.47004608294931</v>
      </c>
      <c r="MA23">
        <f t="shared" si="12"/>
        <v>124.51612903225806</v>
      </c>
      <c r="MB23">
        <f t="shared" si="12"/>
        <v>124.56221198156682</v>
      </c>
      <c r="MC23">
        <f t="shared" si="12"/>
        <v>124.60829493087557</v>
      </c>
      <c r="MD23">
        <f t="shared" si="12"/>
        <v>124.65437788018433</v>
      </c>
      <c r="ME23">
        <f t="shared" si="12"/>
        <v>124.70046082949308</v>
      </c>
      <c r="MF23">
        <f t="shared" si="12"/>
        <v>124.74654377880185</v>
      </c>
      <c r="MG23">
        <f t="shared" si="12"/>
        <v>124.7926267281106</v>
      </c>
      <c r="MH23">
        <f t="shared" si="12"/>
        <v>124.83870967741936</v>
      </c>
      <c r="MI23">
        <f t="shared" si="12"/>
        <v>124.88479262672811</v>
      </c>
      <c r="MJ23">
        <f t="shared" si="12"/>
        <v>124.93087557603687</v>
      </c>
      <c r="MK23">
        <f t="shared" si="12"/>
        <v>124.97695852534562</v>
      </c>
      <c r="ML23">
        <f t="shared" si="12"/>
        <v>125.02304147465438</v>
      </c>
      <c r="MM23">
        <f t="shared" si="12"/>
        <v>125.06912442396313</v>
      </c>
      <c r="MN23">
        <f t="shared" si="12"/>
        <v>125.11520737327189</v>
      </c>
      <c r="MO23">
        <f t="shared" si="12"/>
        <v>125.16129032258064</v>
      </c>
      <c r="MP23">
        <f t="shared" si="12"/>
        <v>125.2073732718894</v>
      </c>
      <c r="MQ23">
        <f t="shared" si="12"/>
        <v>125.25345622119815</v>
      </c>
      <c r="MR23">
        <f t="shared" si="12"/>
        <v>125.29953917050692</v>
      </c>
      <c r="MS23">
        <f t="shared" si="12"/>
        <v>125.34562211981567</v>
      </c>
      <c r="MT23">
        <f t="shared" si="12"/>
        <v>125.39170506912443</v>
      </c>
      <c r="MU23">
        <f t="shared" si="12"/>
        <v>125.43778801843318</v>
      </c>
      <c r="MV23">
        <f t="shared" si="12"/>
        <v>125.48387096774194</v>
      </c>
      <c r="MW23">
        <f t="shared" si="12"/>
        <v>125.52995391705069</v>
      </c>
      <c r="MX23">
        <f t="shared" si="12"/>
        <v>125.57603686635944</v>
      </c>
      <c r="MY23">
        <f t="shared" si="12"/>
        <v>125.6221198156682</v>
      </c>
      <c r="MZ23">
        <f t="shared" si="12"/>
        <v>125.66820276497695</v>
      </c>
      <c r="NA23">
        <f t="shared" si="12"/>
        <v>125.71428571428571</v>
      </c>
      <c r="NB23">
        <f t="shared" si="12"/>
        <v>125.76036866359448</v>
      </c>
      <c r="NC23">
        <f t="shared" si="12"/>
        <v>125.80645161290323</v>
      </c>
      <c r="ND23">
        <f t="shared" si="12"/>
        <v>125.85253456221199</v>
      </c>
      <c r="NE23">
        <f t="shared" si="12"/>
        <v>125.89861751152074</v>
      </c>
      <c r="NF23">
        <f t="shared" si="12"/>
        <v>125.94470046082949</v>
      </c>
      <c r="NG23">
        <f t="shared" ref="NG23:PR23" si="13">120+30/(891-240)*(COLUMN()-241)</f>
        <v>125.99078341013825</v>
      </c>
      <c r="NH23">
        <f t="shared" si="13"/>
        <v>126.036866359447</v>
      </c>
      <c r="NI23">
        <f t="shared" si="13"/>
        <v>126.08294930875576</v>
      </c>
      <c r="NJ23">
        <f t="shared" si="13"/>
        <v>126.12903225806451</v>
      </c>
      <c r="NK23">
        <f t="shared" si="13"/>
        <v>126.17511520737327</v>
      </c>
      <c r="NL23">
        <f t="shared" si="13"/>
        <v>126.22119815668202</v>
      </c>
      <c r="NM23">
        <f t="shared" si="13"/>
        <v>126.26728110599079</v>
      </c>
      <c r="NN23">
        <f t="shared" si="13"/>
        <v>126.31336405529954</v>
      </c>
      <c r="NO23">
        <f t="shared" si="13"/>
        <v>126.3594470046083</v>
      </c>
      <c r="NP23">
        <f t="shared" si="13"/>
        <v>126.40552995391705</v>
      </c>
      <c r="NQ23">
        <f t="shared" si="13"/>
        <v>126.45161290322581</v>
      </c>
      <c r="NR23">
        <f t="shared" si="13"/>
        <v>126.49769585253456</v>
      </c>
      <c r="NS23">
        <f t="shared" si="13"/>
        <v>126.54377880184332</v>
      </c>
      <c r="NT23">
        <f t="shared" si="13"/>
        <v>126.58986175115207</v>
      </c>
      <c r="NU23">
        <f t="shared" si="13"/>
        <v>126.63594470046083</v>
      </c>
      <c r="NV23">
        <f t="shared" si="13"/>
        <v>126.68202764976958</v>
      </c>
      <c r="NW23">
        <f t="shared" si="13"/>
        <v>126.72811059907835</v>
      </c>
      <c r="NX23">
        <f t="shared" si="13"/>
        <v>126.7741935483871</v>
      </c>
      <c r="NY23">
        <f t="shared" si="13"/>
        <v>126.82027649769586</v>
      </c>
      <c r="NZ23">
        <f t="shared" si="13"/>
        <v>126.86635944700461</v>
      </c>
      <c r="OA23">
        <f t="shared" si="13"/>
        <v>126.91244239631337</v>
      </c>
      <c r="OB23">
        <f t="shared" si="13"/>
        <v>126.95852534562212</v>
      </c>
      <c r="OC23">
        <f t="shared" si="13"/>
        <v>127.00460829493088</v>
      </c>
      <c r="OD23">
        <f t="shared" si="13"/>
        <v>127.05069124423963</v>
      </c>
      <c r="OE23">
        <f t="shared" si="13"/>
        <v>127.09677419354838</v>
      </c>
      <c r="OF23">
        <f t="shared" si="13"/>
        <v>127.14285714285714</v>
      </c>
      <c r="OG23">
        <f t="shared" si="13"/>
        <v>127.18894009216589</v>
      </c>
      <c r="OH23">
        <f t="shared" si="13"/>
        <v>127.23502304147465</v>
      </c>
      <c r="OI23">
        <f t="shared" si="13"/>
        <v>127.28110599078342</v>
      </c>
      <c r="OJ23">
        <f t="shared" si="13"/>
        <v>127.32718894009217</v>
      </c>
      <c r="OK23">
        <f t="shared" si="13"/>
        <v>127.37327188940093</v>
      </c>
      <c r="OL23">
        <f t="shared" si="13"/>
        <v>127.41935483870968</v>
      </c>
      <c r="OM23">
        <f t="shared" si="13"/>
        <v>127.46543778801843</v>
      </c>
      <c r="ON23">
        <f t="shared" si="13"/>
        <v>127.51152073732719</v>
      </c>
      <c r="OO23">
        <f t="shared" si="13"/>
        <v>127.55760368663594</v>
      </c>
      <c r="OP23">
        <f t="shared" si="13"/>
        <v>127.6036866359447</v>
      </c>
      <c r="OQ23">
        <f t="shared" si="13"/>
        <v>127.64976958525345</v>
      </c>
      <c r="OR23">
        <f t="shared" si="13"/>
        <v>127.69585253456221</v>
      </c>
      <c r="OS23">
        <f t="shared" si="13"/>
        <v>127.74193548387098</v>
      </c>
      <c r="OT23">
        <f t="shared" si="13"/>
        <v>127.78801843317973</v>
      </c>
      <c r="OU23">
        <f t="shared" si="13"/>
        <v>127.83410138248848</v>
      </c>
      <c r="OV23">
        <f t="shared" si="13"/>
        <v>127.88018433179724</v>
      </c>
      <c r="OW23">
        <f t="shared" si="13"/>
        <v>127.92626728110599</v>
      </c>
      <c r="OX23">
        <f t="shared" si="13"/>
        <v>127.97235023041475</v>
      </c>
      <c r="OY23">
        <f t="shared" si="13"/>
        <v>128.0184331797235</v>
      </c>
      <c r="OZ23">
        <f t="shared" si="13"/>
        <v>128.06451612903226</v>
      </c>
      <c r="PA23">
        <f t="shared" si="13"/>
        <v>128.11059907834101</v>
      </c>
      <c r="PB23">
        <f t="shared" si="13"/>
        <v>128.15668202764977</v>
      </c>
      <c r="PC23">
        <f t="shared" si="13"/>
        <v>128.20276497695852</v>
      </c>
      <c r="PD23">
        <f t="shared" si="13"/>
        <v>128.24884792626727</v>
      </c>
      <c r="PE23">
        <f t="shared" si="13"/>
        <v>128.29493087557603</v>
      </c>
      <c r="PF23">
        <f t="shared" si="13"/>
        <v>128.34101382488478</v>
      </c>
      <c r="PG23">
        <f t="shared" si="13"/>
        <v>128.38709677419354</v>
      </c>
      <c r="PH23">
        <f t="shared" si="13"/>
        <v>128.43317972350229</v>
      </c>
      <c r="PI23">
        <f t="shared" si="13"/>
        <v>128.47926267281105</v>
      </c>
      <c r="PJ23">
        <f t="shared" si="13"/>
        <v>128.52534562211983</v>
      </c>
      <c r="PK23">
        <f t="shared" si="13"/>
        <v>128.57142857142858</v>
      </c>
      <c r="PL23">
        <f t="shared" si="13"/>
        <v>128.61751152073734</v>
      </c>
      <c r="PM23">
        <f t="shared" si="13"/>
        <v>128.66359447004609</v>
      </c>
      <c r="PN23">
        <f t="shared" si="13"/>
        <v>128.70967741935485</v>
      </c>
      <c r="PO23">
        <f t="shared" si="13"/>
        <v>128.7557603686636</v>
      </c>
      <c r="PP23">
        <f t="shared" si="13"/>
        <v>128.80184331797236</v>
      </c>
      <c r="PQ23">
        <f t="shared" si="13"/>
        <v>128.84792626728111</v>
      </c>
      <c r="PR23">
        <f t="shared" si="13"/>
        <v>128.89400921658986</v>
      </c>
      <c r="PS23">
        <f t="shared" ref="PS23:SD23" si="14">120+30/(891-240)*(COLUMN()-241)</f>
        <v>128.94009216589862</v>
      </c>
      <c r="PT23">
        <f t="shared" si="14"/>
        <v>128.98617511520737</v>
      </c>
      <c r="PU23">
        <f t="shared" si="14"/>
        <v>129.03225806451613</v>
      </c>
      <c r="PV23">
        <f t="shared" si="14"/>
        <v>129.07834101382488</v>
      </c>
      <c r="PW23">
        <f t="shared" si="14"/>
        <v>129.12442396313364</v>
      </c>
      <c r="PX23">
        <f t="shared" si="14"/>
        <v>129.17050691244239</v>
      </c>
      <c r="PY23">
        <f t="shared" si="14"/>
        <v>129.21658986175115</v>
      </c>
      <c r="PZ23">
        <f t="shared" si="14"/>
        <v>129.2626728110599</v>
      </c>
      <c r="QA23">
        <f t="shared" si="14"/>
        <v>129.30875576036865</v>
      </c>
      <c r="QB23">
        <f t="shared" si="14"/>
        <v>129.35483870967741</v>
      </c>
      <c r="QC23">
        <f t="shared" si="14"/>
        <v>129.40092165898616</v>
      </c>
      <c r="QD23">
        <f t="shared" si="14"/>
        <v>129.44700460829492</v>
      </c>
      <c r="QE23">
        <f t="shared" si="14"/>
        <v>129.4930875576037</v>
      </c>
      <c r="QF23">
        <f t="shared" si="14"/>
        <v>129.53917050691246</v>
      </c>
      <c r="QG23">
        <f t="shared" si="14"/>
        <v>129.58525345622121</v>
      </c>
      <c r="QH23">
        <f t="shared" si="14"/>
        <v>129.63133640552996</v>
      </c>
      <c r="QI23">
        <f t="shared" si="14"/>
        <v>129.67741935483872</v>
      </c>
      <c r="QJ23">
        <f t="shared" si="14"/>
        <v>129.72350230414747</v>
      </c>
      <c r="QK23">
        <f t="shared" si="14"/>
        <v>129.76958525345623</v>
      </c>
      <c r="QL23">
        <f t="shared" si="14"/>
        <v>129.81566820276498</v>
      </c>
      <c r="QM23">
        <f t="shared" si="14"/>
        <v>129.86175115207374</v>
      </c>
      <c r="QN23">
        <f t="shared" si="14"/>
        <v>129.90783410138249</v>
      </c>
      <c r="QO23">
        <f t="shared" si="14"/>
        <v>129.95391705069125</v>
      </c>
      <c r="QP23">
        <f t="shared" si="14"/>
        <v>130</v>
      </c>
      <c r="QQ23">
        <f t="shared" si="14"/>
        <v>130.04608294930875</v>
      </c>
      <c r="QR23">
        <f t="shared" si="14"/>
        <v>130.09216589861751</v>
      </c>
      <c r="QS23">
        <f t="shared" si="14"/>
        <v>130.13824884792626</v>
      </c>
      <c r="QT23">
        <f t="shared" si="14"/>
        <v>130.18433179723502</v>
      </c>
      <c r="QU23">
        <f t="shared" si="14"/>
        <v>130.23041474654377</v>
      </c>
      <c r="QV23">
        <f t="shared" si="14"/>
        <v>130.27649769585253</v>
      </c>
      <c r="QW23">
        <f t="shared" si="14"/>
        <v>130.32258064516128</v>
      </c>
      <c r="QX23">
        <f t="shared" si="14"/>
        <v>130.36866359447004</v>
      </c>
      <c r="QY23">
        <f t="shared" si="14"/>
        <v>130.41474654377879</v>
      </c>
      <c r="QZ23">
        <f t="shared" si="14"/>
        <v>130.46082949308754</v>
      </c>
      <c r="RA23">
        <f t="shared" si="14"/>
        <v>130.5069124423963</v>
      </c>
      <c r="RB23">
        <f t="shared" si="14"/>
        <v>130.55299539170508</v>
      </c>
      <c r="RC23">
        <f t="shared" si="14"/>
        <v>130.59907834101384</v>
      </c>
      <c r="RD23">
        <f t="shared" si="14"/>
        <v>130.64516129032259</v>
      </c>
      <c r="RE23">
        <f t="shared" si="14"/>
        <v>130.69124423963135</v>
      </c>
      <c r="RF23">
        <f t="shared" si="14"/>
        <v>130.7373271889401</v>
      </c>
      <c r="RG23">
        <f t="shared" si="14"/>
        <v>130.78341013824885</v>
      </c>
      <c r="RH23">
        <f t="shared" si="14"/>
        <v>130.82949308755761</v>
      </c>
      <c r="RI23">
        <f t="shared" si="14"/>
        <v>130.87557603686636</v>
      </c>
      <c r="RJ23">
        <f t="shared" si="14"/>
        <v>130.92165898617512</v>
      </c>
      <c r="RK23">
        <f t="shared" si="14"/>
        <v>130.96774193548387</v>
      </c>
      <c r="RL23">
        <f t="shared" si="14"/>
        <v>131.01382488479263</v>
      </c>
      <c r="RM23">
        <f t="shared" si="14"/>
        <v>131.05990783410138</v>
      </c>
      <c r="RN23">
        <f t="shared" si="14"/>
        <v>131.10599078341014</v>
      </c>
      <c r="RO23">
        <f t="shared" si="14"/>
        <v>131.15207373271889</v>
      </c>
      <c r="RP23">
        <f t="shared" si="14"/>
        <v>131.19815668202764</v>
      </c>
      <c r="RQ23">
        <f t="shared" si="14"/>
        <v>131.2442396313364</v>
      </c>
      <c r="RR23">
        <f t="shared" si="14"/>
        <v>131.29032258064515</v>
      </c>
      <c r="RS23">
        <f t="shared" si="14"/>
        <v>131.33640552995391</v>
      </c>
      <c r="RT23">
        <f t="shared" si="14"/>
        <v>131.38248847926266</v>
      </c>
      <c r="RU23">
        <f t="shared" si="14"/>
        <v>131.42857142857142</v>
      </c>
      <c r="RV23">
        <f t="shared" si="14"/>
        <v>131.4746543778802</v>
      </c>
      <c r="RW23">
        <f t="shared" si="14"/>
        <v>131.52073732718895</v>
      </c>
      <c r="RX23">
        <f t="shared" si="14"/>
        <v>131.56682027649771</v>
      </c>
      <c r="RY23">
        <f t="shared" si="14"/>
        <v>131.61290322580646</v>
      </c>
      <c r="RZ23">
        <f t="shared" si="14"/>
        <v>131.65898617511522</v>
      </c>
      <c r="SA23">
        <f t="shared" si="14"/>
        <v>131.70506912442397</v>
      </c>
      <c r="SB23">
        <f t="shared" si="14"/>
        <v>131.75115207373273</v>
      </c>
      <c r="SC23">
        <f t="shared" si="14"/>
        <v>131.79723502304148</v>
      </c>
      <c r="SD23">
        <f t="shared" si="14"/>
        <v>131.84331797235023</v>
      </c>
      <c r="SE23">
        <f t="shared" ref="SE23:UP23" si="15">120+30/(891-240)*(COLUMN()-241)</f>
        <v>131.88940092165899</v>
      </c>
      <c r="SF23">
        <f t="shared" si="15"/>
        <v>131.93548387096774</v>
      </c>
      <c r="SG23">
        <f t="shared" si="15"/>
        <v>131.9815668202765</v>
      </c>
      <c r="SH23">
        <f t="shared" si="15"/>
        <v>132.02764976958525</v>
      </c>
      <c r="SI23">
        <f t="shared" si="15"/>
        <v>132.07373271889401</v>
      </c>
      <c r="SJ23">
        <f t="shared" si="15"/>
        <v>132.11981566820276</v>
      </c>
      <c r="SK23">
        <f t="shared" si="15"/>
        <v>132.16589861751152</v>
      </c>
      <c r="SL23">
        <f t="shared" si="15"/>
        <v>132.21198156682027</v>
      </c>
      <c r="SM23">
        <f t="shared" si="15"/>
        <v>132.25806451612902</v>
      </c>
      <c r="SN23">
        <f t="shared" si="15"/>
        <v>132.30414746543778</v>
      </c>
      <c r="SO23">
        <f t="shared" si="15"/>
        <v>132.35023041474653</v>
      </c>
      <c r="SP23">
        <f t="shared" si="15"/>
        <v>132.39631336405529</v>
      </c>
      <c r="SQ23">
        <f t="shared" si="15"/>
        <v>132.44239631336404</v>
      </c>
      <c r="SR23">
        <f t="shared" si="15"/>
        <v>132.4884792626728</v>
      </c>
      <c r="SS23">
        <f t="shared" si="15"/>
        <v>132.53456221198158</v>
      </c>
      <c r="ST23">
        <f t="shared" si="15"/>
        <v>132.58064516129033</v>
      </c>
      <c r="SU23">
        <f t="shared" si="15"/>
        <v>132.62672811059909</v>
      </c>
      <c r="SV23">
        <f t="shared" si="15"/>
        <v>132.67281105990784</v>
      </c>
      <c r="SW23">
        <f t="shared" si="15"/>
        <v>132.7188940092166</v>
      </c>
      <c r="SX23">
        <f t="shared" si="15"/>
        <v>132.76497695852535</v>
      </c>
      <c r="SY23">
        <f t="shared" si="15"/>
        <v>132.81105990783411</v>
      </c>
      <c r="SZ23">
        <f t="shared" si="15"/>
        <v>132.85714285714286</v>
      </c>
      <c r="TA23">
        <f t="shared" si="15"/>
        <v>132.90322580645162</v>
      </c>
      <c r="TB23">
        <f t="shared" si="15"/>
        <v>132.94930875576037</v>
      </c>
      <c r="TC23">
        <f t="shared" si="15"/>
        <v>132.99539170506912</v>
      </c>
      <c r="TD23">
        <f t="shared" si="15"/>
        <v>133.04147465437788</v>
      </c>
      <c r="TE23">
        <f t="shared" si="15"/>
        <v>133.08755760368663</v>
      </c>
      <c r="TF23">
        <f t="shared" si="15"/>
        <v>133.13364055299539</v>
      </c>
      <c r="TG23">
        <f t="shared" si="15"/>
        <v>133.17972350230414</v>
      </c>
      <c r="TH23">
        <f t="shared" si="15"/>
        <v>133.2258064516129</v>
      </c>
      <c r="TI23">
        <f t="shared" si="15"/>
        <v>133.27188940092165</v>
      </c>
      <c r="TJ23">
        <f t="shared" si="15"/>
        <v>133.31797235023041</v>
      </c>
      <c r="TK23">
        <f t="shared" si="15"/>
        <v>133.36405529953916</v>
      </c>
      <c r="TL23">
        <f t="shared" si="15"/>
        <v>133.41013824884791</v>
      </c>
      <c r="TM23">
        <f t="shared" si="15"/>
        <v>133.4562211981567</v>
      </c>
      <c r="TN23">
        <f t="shared" si="15"/>
        <v>133.50230414746545</v>
      </c>
      <c r="TO23">
        <f t="shared" si="15"/>
        <v>133.54838709677421</v>
      </c>
      <c r="TP23">
        <f t="shared" si="15"/>
        <v>133.59447004608296</v>
      </c>
      <c r="TQ23">
        <f t="shared" si="15"/>
        <v>133.64055299539172</v>
      </c>
      <c r="TR23">
        <f t="shared" si="15"/>
        <v>133.68663594470047</v>
      </c>
      <c r="TS23">
        <f t="shared" si="15"/>
        <v>133.73271889400922</v>
      </c>
      <c r="TT23">
        <f t="shared" si="15"/>
        <v>133.77880184331798</v>
      </c>
      <c r="TU23">
        <f t="shared" si="15"/>
        <v>133.82488479262673</v>
      </c>
      <c r="TV23">
        <f t="shared" si="15"/>
        <v>133.87096774193549</v>
      </c>
      <c r="TW23">
        <f t="shared" si="15"/>
        <v>133.91705069124424</v>
      </c>
      <c r="TX23">
        <f t="shared" si="15"/>
        <v>133.963133640553</v>
      </c>
      <c r="TY23">
        <f t="shared" si="15"/>
        <v>134.00921658986175</v>
      </c>
      <c r="TZ23">
        <f t="shared" si="15"/>
        <v>134.05529953917051</v>
      </c>
      <c r="UA23">
        <f t="shared" si="15"/>
        <v>134.10138248847926</v>
      </c>
      <c r="UB23">
        <f t="shared" si="15"/>
        <v>134.14746543778801</v>
      </c>
      <c r="UC23">
        <f t="shared" si="15"/>
        <v>134.19354838709677</v>
      </c>
      <c r="UD23">
        <f t="shared" si="15"/>
        <v>134.23963133640552</v>
      </c>
      <c r="UE23">
        <f t="shared" si="15"/>
        <v>134.28571428571428</v>
      </c>
      <c r="UF23">
        <f t="shared" si="15"/>
        <v>134.33179723502303</v>
      </c>
      <c r="UG23">
        <f t="shared" si="15"/>
        <v>134.37788018433179</v>
      </c>
      <c r="UH23">
        <f t="shared" si="15"/>
        <v>134.42396313364054</v>
      </c>
      <c r="UI23">
        <f t="shared" si="15"/>
        <v>134.4700460829493</v>
      </c>
      <c r="UJ23">
        <f t="shared" si="15"/>
        <v>134.51612903225808</v>
      </c>
      <c r="UK23">
        <f t="shared" si="15"/>
        <v>134.56221198156683</v>
      </c>
      <c r="UL23">
        <f t="shared" si="15"/>
        <v>134.60829493087559</v>
      </c>
      <c r="UM23">
        <f t="shared" si="15"/>
        <v>134.65437788018434</v>
      </c>
      <c r="UN23">
        <f t="shared" si="15"/>
        <v>134.7004608294931</v>
      </c>
      <c r="UO23">
        <f t="shared" si="15"/>
        <v>134.74654377880185</v>
      </c>
      <c r="UP23">
        <f t="shared" si="15"/>
        <v>134.7926267281106</v>
      </c>
      <c r="UQ23">
        <f t="shared" ref="UQ23:XB23" si="16">120+30/(891-240)*(COLUMN()-241)</f>
        <v>134.83870967741936</v>
      </c>
      <c r="UR23">
        <f t="shared" si="16"/>
        <v>134.88479262672811</v>
      </c>
      <c r="US23">
        <f t="shared" si="16"/>
        <v>134.93087557603687</v>
      </c>
      <c r="UT23">
        <f t="shared" si="16"/>
        <v>134.97695852534562</v>
      </c>
      <c r="UU23">
        <f t="shared" si="16"/>
        <v>135.02304147465438</v>
      </c>
      <c r="UV23">
        <f t="shared" si="16"/>
        <v>135.06912442396313</v>
      </c>
      <c r="UW23">
        <f t="shared" si="16"/>
        <v>135.11520737327189</v>
      </c>
      <c r="UX23">
        <f t="shared" si="16"/>
        <v>135.16129032258064</v>
      </c>
      <c r="UY23">
        <f t="shared" si="16"/>
        <v>135.2073732718894</v>
      </c>
      <c r="UZ23">
        <f t="shared" si="16"/>
        <v>135.25345622119815</v>
      </c>
      <c r="VA23">
        <f t="shared" si="16"/>
        <v>135.2995391705069</v>
      </c>
      <c r="VB23">
        <f t="shared" si="16"/>
        <v>135.34562211981566</v>
      </c>
      <c r="VC23">
        <f t="shared" si="16"/>
        <v>135.39170506912441</v>
      </c>
      <c r="VD23">
        <f t="shared" si="16"/>
        <v>135.43778801843317</v>
      </c>
      <c r="VE23">
        <f t="shared" si="16"/>
        <v>135.48387096774195</v>
      </c>
      <c r="VF23">
        <f t="shared" si="16"/>
        <v>135.5299539170507</v>
      </c>
      <c r="VG23">
        <f t="shared" si="16"/>
        <v>135.57603686635946</v>
      </c>
      <c r="VH23">
        <f t="shared" si="16"/>
        <v>135.62211981566821</v>
      </c>
      <c r="VI23">
        <f t="shared" si="16"/>
        <v>135.66820276497697</v>
      </c>
      <c r="VJ23">
        <f t="shared" si="16"/>
        <v>135.71428571428572</v>
      </c>
      <c r="VK23">
        <f t="shared" si="16"/>
        <v>135.76036866359448</v>
      </c>
      <c r="VL23">
        <f t="shared" si="16"/>
        <v>135.80645161290323</v>
      </c>
      <c r="VM23">
        <f t="shared" si="16"/>
        <v>135.85253456221199</v>
      </c>
      <c r="VN23">
        <f t="shared" si="16"/>
        <v>135.89861751152074</v>
      </c>
      <c r="VO23">
        <f t="shared" si="16"/>
        <v>135.94470046082949</v>
      </c>
      <c r="VP23">
        <f t="shared" si="16"/>
        <v>135.99078341013825</v>
      </c>
      <c r="VQ23">
        <f t="shared" si="16"/>
        <v>136.036866359447</v>
      </c>
      <c r="VR23">
        <f t="shared" si="16"/>
        <v>136.08294930875576</v>
      </c>
      <c r="VS23">
        <f t="shared" si="16"/>
        <v>136.12903225806451</v>
      </c>
      <c r="VT23">
        <f t="shared" si="16"/>
        <v>136.17511520737327</v>
      </c>
      <c r="VU23">
        <f t="shared" si="16"/>
        <v>136.22119815668202</v>
      </c>
      <c r="VV23">
        <f t="shared" si="16"/>
        <v>136.26728110599078</v>
      </c>
      <c r="VW23">
        <f t="shared" si="16"/>
        <v>136.31336405529953</v>
      </c>
      <c r="VX23">
        <f t="shared" si="16"/>
        <v>136.35944700460828</v>
      </c>
      <c r="VY23">
        <f t="shared" si="16"/>
        <v>136.40552995391704</v>
      </c>
      <c r="VZ23">
        <f t="shared" si="16"/>
        <v>136.45161290322579</v>
      </c>
      <c r="WA23">
        <f t="shared" si="16"/>
        <v>136.49769585253455</v>
      </c>
      <c r="WB23">
        <f t="shared" si="16"/>
        <v>136.54377880184333</v>
      </c>
      <c r="WC23">
        <f t="shared" si="16"/>
        <v>136.58986175115209</v>
      </c>
      <c r="WD23">
        <f t="shared" si="16"/>
        <v>136.63594470046084</v>
      </c>
      <c r="WE23">
        <f t="shared" si="16"/>
        <v>136.68202764976959</v>
      </c>
      <c r="WF23">
        <f t="shared" si="16"/>
        <v>136.72811059907835</v>
      </c>
      <c r="WG23">
        <f t="shared" si="16"/>
        <v>136.7741935483871</v>
      </c>
      <c r="WH23">
        <f t="shared" si="16"/>
        <v>136.82027649769586</v>
      </c>
      <c r="WI23">
        <f t="shared" si="16"/>
        <v>136.86635944700461</v>
      </c>
      <c r="WJ23">
        <f t="shared" si="16"/>
        <v>136.91244239631337</v>
      </c>
      <c r="WK23">
        <f t="shared" si="16"/>
        <v>136.95852534562212</v>
      </c>
      <c r="WL23">
        <f t="shared" si="16"/>
        <v>137.00460829493088</v>
      </c>
      <c r="WM23">
        <f t="shared" si="16"/>
        <v>137.05069124423963</v>
      </c>
      <c r="WN23">
        <f t="shared" si="16"/>
        <v>137.09677419354838</v>
      </c>
      <c r="WO23">
        <f t="shared" si="16"/>
        <v>137.14285714285714</v>
      </c>
      <c r="WP23">
        <f t="shared" si="16"/>
        <v>137.18894009216589</v>
      </c>
      <c r="WQ23">
        <f t="shared" si="16"/>
        <v>137.23502304147465</v>
      </c>
      <c r="WR23">
        <f t="shared" si="16"/>
        <v>137.2811059907834</v>
      </c>
      <c r="WS23">
        <f t="shared" si="16"/>
        <v>137.32718894009216</v>
      </c>
      <c r="WT23">
        <f t="shared" si="16"/>
        <v>137.37327188940091</v>
      </c>
      <c r="WU23">
        <f t="shared" si="16"/>
        <v>137.41935483870969</v>
      </c>
      <c r="WV23">
        <f t="shared" si="16"/>
        <v>137.46543778801845</v>
      </c>
      <c r="WW23">
        <f t="shared" si="16"/>
        <v>137.5115207373272</v>
      </c>
      <c r="WX23">
        <f t="shared" si="16"/>
        <v>137.55760368663596</v>
      </c>
      <c r="WY23">
        <f t="shared" si="16"/>
        <v>137.60368663594471</v>
      </c>
      <c r="WZ23">
        <f t="shared" si="16"/>
        <v>137.64976958525347</v>
      </c>
      <c r="XA23">
        <f t="shared" si="16"/>
        <v>137.69585253456222</v>
      </c>
      <c r="XB23">
        <f t="shared" si="16"/>
        <v>137.74193548387098</v>
      </c>
      <c r="XC23">
        <f t="shared" ref="XC23:ZN23" si="17">120+30/(891-240)*(COLUMN()-241)</f>
        <v>137.78801843317973</v>
      </c>
      <c r="XD23">
        <f t="shared" si="17"/>
        <v>137.83410138248848</v>
      </c>
      <c r="XE23">
        <f t="shared" si="17"/>
        <v>137.88018433179724</v>
      </c>
      <c r="XF23">
        <f t="shared" si="17"/>
        <v>137.92626728110599</v>
      </c>
      <c r="XG23">
        <f t="shared" si="17"/>
        <v>137.97235023041475</v>
      </c>
      <c r="XH23">
        <f t="shared" si="17"/>
        <v>138.0184331797235</v>
      </c>
      <c r="XI23">
        <f t="shared" si="17"/>
        <v>138.06451612903226</v>
      </c>
      <c r="XJ23">
        <f t="shared" si="17"/>
        <v>138.11059907834101</v>
      </c>
      <c r="XK23">
        <f t="shared" si="17"/>
        <v>138.15668202764977</v>
      </c>
      <c r="XL23">
        <f t="shared" si="17"/>
        <v>138.20276497695852</v>
      </c>
      <c r="XM23">
        <f t="shared" si="17"/>
        <v>138.24884792626727</v>
      </c>
      <c r="XN23">
        <f t="shared" si="17"/>
        <v>138.29493087557603</v>
      </c>
      <c r="XO23">
        <f t="shared" si="17"/>
        <v>138.34101382488478</v>
      </c>
      <c r="XP23">
        <f t="shared" si="17"/>
        <v>138.38709677419354</v>
      </c>
      <c r="XQ23">
        <f t="shared" si="17"/>
        <v>138.43317972350229</v>
      </c>
      <c r="XR23">
        <f t="shared" si="17"/>
        <v>138.47926267281105</v>
      </c>
      <c r="XS23">
        <f t="shared" si="17"/>
        <v>138.5253456221198</v>
      </c>
      <c r="XT23">
        <f t="shared" si="17"/>
        <v>138.57142857142858</v>
      </c>
      <c r="XU23">
        <f t="shared" si="17"/>
        <v>138.61751152073734</v>
      </c>
      <c r="XV23">
        <f t="shared" si="17"/>
        <v>138.66359447004609</v>
      </c>
      <c r="XW23">
        <f t="shared" si="17"/>
        <v>138.70967741935485</v>
      </c>
      <c r="XX23">
        <f t="shared" si="17"/>
        <v>138.7557603686636</v>
      </c>
      <c r="XY23">
        <f t="shared" si="17"/>
        <v>138.80184331797236</v>
      </c>
      <c r="XZ23">
        <f t="shared" si="17"/>
        <v>138.84792626728111</v>
      </c>
      <c r="YA23">
        <f t="shared" si="17"/>
        <v>138.89400921658986</v>
      </c>
      <c r="YB23">
        <f t="shared" si="17"/>
        <v>138.94009216589862</v>
      </c>
      <c r="YC23">
        <f t="shared" si="17"/>
        <v>138.98617511520737</v>
      </c>
      <c r="YD23">
        <f t="shared" si="17"/>
        <v>139.03225806451613</v>
      </c>
      <c r="YE23">
        <f t="shared" si="17"/>
        <v>139.07834101382488</v>
      </c>
      <c r="YF23">
        <f t="shared" si="17"/>
        <v>139.12442396313364</v>
      </c>
      <c r="YG23">
        <f t="shared" si="17"/>
        <v>139.17050691244239</v>
      </c>
      <c r="YH23">
        <f t="shared" si="17"/>
        <v>139.21658986175115</v>
      </c>
      <c r="YI23">
        <f t="shared" si="17"/>
        <v>139.2626728110599</v>
      </c>
      <c r="YJ23">
        <f t="shared" si="17"/>
        <v>139.30875576036865</v>
      </c>
      <c r="YK23">
        <f t="shared" si="17"/>
        <v>139.35483870967741</v>
      </c>
      <c r="YL23">
        <f t="shared" si="17"/>
        <v>139.40092165898616</v>
      </c>
      <c r="YM23">
        <f t="shared" si="17"/>
        <v>139.44700460829495</v>
      </c>
      <c r="YN23">
        <f t="shared" si="17"/>
        <v>139.4930875576037</v>
      </c>
      <c r="YO23">
        <f t="shared" si="17"/>
        <v>139.53917050691246</v>
      </c>
      <c r="YP23">
        <f t="shared" si="17"/>
        <v>139.58525345622121</v>
      </c>
      <c r="YQ23">
        <f t="shared" si="17"/>
        <v>139.63133640552996</v>
      </c>
      <c r="YR23">
        <f t="shared" si="17"/>
        <v>139.67741935483872</v>
      </c>
      <c r="YS23">
        <f t="shared" si="17"/>
        <v>139.72350230414747</v>
      </c>
      <c r="YT23">
        <f t="shared" si="17"/>
        <v>139.76958525345623</v>
      </c>
      <c r="YU23">
        <f t="shared" si="17"/>
        <v>139.81566820276498</v>
      </c>
      <c r="YV23">
        <f t="shared" si="17"/>
        <v>139.86175115207374</v>
      </c>
      <c r="YW23">
        <f t="shared" si="17"/>
        <v>139.90783410138249</v>
      </c>
      <c r="YX23">
        <f t="shared" si="17"/>
        <v>139.95391705069125</v>
      </c>
      <c r="YY23">
        <f t="shared" si="17"/>
        <v>140</v>
      </c>
      <c r="YZ23">
        <f t="shared" si="17"/>
        <v>140.04608294930875</v>
      </c>
      <c r="ZA23">
        <f t="shared" si="17"/>
        <v>140.09216589861751</v>
      </c>
      <c r="ZB23">
        <f t="shared" si="17"/>
        <v>140.13824884792626</v>
      </c>
      <c r="ZC23">
        <f t="shared" si="17"/>
        <v>140.18433179723502</v>
      </c>
      <c r="ZD23">
        <f t="shared" si="17"/>
        <v>140.23041474654377</v>
      </c>
      <c r="ZE23">
        <f t="shared" si="17"/>
        <v>140.27649769585253</v>
      </c>
      <c r="ZF23">
        <f t="shared" si="17"/>
        <v>140.32258064516128</v>
      </c>
      <c r="ZG23">
        <f t="shared" si="17"/>
        <v>140.36866359447004</v>
      </c>
      <c r="ZH23">
        <f t="shared" si="17"/>
        <v>140.41474654377879</v>
      </c>
      <c r="ZI23">
        <f t="shared" si="17"/>
        <v>140.46082949308754</v>
      </c>
      <c r="ZJ23">
        <f t="shared" si="17"/>
        <v>140.5069124423963</v>
      </c>
      <c r="ZK23">
        <f t="shared" si="17"/>
        <v>140.55299539170508</v>
      </c>
      <c r="ZL23">
        <f t="shared" si="17"/>
        <v>140.59907834101384</v>
      </c>
      <c r="ZM23">
        <f t="shared" si="17"/>
        <v>140.64516129032259</v>
      </c>
      <c r="ZN23">
        <f t="shared" si="17"/>
        <v>140.69124423963135</v>
      </c>
      <c r="ZO23">
        <f t="shared" ref="ZO23:ABZ23" si="18">120+30/(891-240)*(COLUMN()-241)</f>
        <v>140.7373271889401</v>
      </c>
      <c r="ZP23">
        <f t="shared" si="18"/>
        <v>140.78341013824885</v>
      </c>
      <c r="ZQ23">
        <f t="shared" si="18"/>
        <v>140.82949308755761</v>
      </c>
      <c r="ZR23">
        <f t="shared" si="18"/>
        <v>140.87557603686636</v>
      </c>
      <c r="ZS23">
        <f t="shared" si="18"/>
        <v>140.92165898617512</v>
      </c>
      <c r="ZT23">
        <f t="shared" si="18"/>
        <v>140.96774193548387</v>
      </c>
      <c r="ZU23">
        <f t="shared" si="18"/>
        <v>141.01382488479263</v>
      </c>
      <c r="ZV23">
        <f t="shared" si="18"/>
        <v>141.05990783410138</v>
      </c>
      <c r="ZW23">
        <f t="shared" si="18"/>
        <v>141.10599078341014</v>
      </c>
      <c r="ZX23">
        <f t="shared" si="18"/>
        <v>141.15207373271889</v>
      </c>
      <c r="ZY23">
        <f t="shared" si="18"/>
        <v>141.19815668202764</v>
      </c>
      <c r="ZZ23">
        <f t="shared" si="18"/>
        <v>141.2442396313364</v>
      </c>
      <c r="AAA23">
        <f t="shared" si="18"/>
        <v>141.29032258064515</v>
      </c>
      <c r="AAB23">
        <f t="shared" si="18"/>
        <v>141.33640552995391</v>
      </c>
      <c r="AAC23">
        <f t="shared" si="18"/>
        <v>141.38248847926266</v>
      </c>
      <c r="AAD23">
        <f t="shared" si="18"/>
        <v>141.42857142857144</v>
      </c>
      <c r="AAE23">
        <f t="shared" si="18"/>
        <v>141.4746543778802</v>
      </c>
      <c r="AAF23">
        <f t="shared" si="18"/>
        <v>141.52073732718895</v>
      </c>
      <c r="AAG23">
        <f t="shared" si="18"/>
        <v>141.56682027649771</v>
      </c>
      <c r="AAH23">
        <f t="shared" si="18"/>
        <v>141.61290322580646</v>
      </c>
      <c r="AAI23">
        <f t="shared" si="18"/>
        <v>141.65898617511522</v>
      </c>
      <c r="AAJ23">
        <f t="shared" si="18"/>
        <v>141.70506912442397</v>
      </c>
      <c r="AAK23">
        <f t="shared" si="18"/>
        <v>141.75115207373273</v>
      </c>
      <c r="AAL23">
        <f t="shared" si="18"/>
        <v>141.79723502304148</v>
      </c>
      <c r="AAM23">
        <f t="shared" si="18"/>
        <v>141.84331797235023</v>
      </c>
      <c r="AAN23">
        <f t="shared" si="18"/>
        <v>141.88940092165899</v>
      </c>
      <c r="AAO23">
        <f t="shared" si="18"/>
        <v>141.93548387096774</v>
      </c>
      <c r="AAP23">
        <f t="shared" si="18"/>
        <v>141.9815668202765</v>
      </c>
      <c r="AAQ23">
        <f t="shared" si="18"/>
        <v>142.02764976958525</v>
      </c>
      <c r="AAR23">
        <f t="shared" si="18"/>
        <v>142.07373271889401</v>
      </c>
      <c r="AAS23">
        <f t="shared" si="18"/>
        <v>142.11981566820276</v>
      </c>
      <c r="AAT23">
        <f t="shared" si="18"/>
        <v>142.16589861751152</v>
      </c>
      <c r="AAU23">
        <f t="shared" si="18"/>
        <v>142.21198156682027</v>
      </c>
      <c r="AAV23">
        <f t="shared" si="18"/>
        <v>142.25806451612902</v>
      </c>
      <c r="AAW23">
        <f t="shared" si="18"/>
        <v>142.30414746543778</v>
      </c>
      <c r="AAX23">
        <f t="shared" si="18"/>
        <v>142.35023041474653</v>
      </c>
      <c r="AAY23">
        <f t="shared" si="18"/>
        <v>142.39631336405529</v>
      </c>
      <c r="AAZ23">
        <f t="shared" si="18"/>
        <v>142.44239631336404</v>
      </c>
      <c r="ABA23">
        <f t="shared" si="18"/>
        <v>142.4884792626728</v>
      </c>
      <c r="ABB23">
        <f t="shared" si="18"/>
        <v>142.53456221198158</v>
      </c>
      <c r="ABC23">
        <f t="shared" si="18"/>
        <v>142.58064516129033</v>
      </c>
      <c r="ABD23">
        <f t="shared" si="18"/>
        <v>142.62672811059909</v>
      </c>
      <c r="ABE23">
        <f t="shared" si="18"/>
        <v>142.67281105990784</v>
      </c>
      <c r="ABF23">
        <f t="shared" si="18"/>
        <v>142.7188940092166</v>
      </c>
      <c r="ABG23">
        <f t="shared" si="18"/>
        <v>142.76497695852535</v>
      </c>
      <c r="ABH23">
        <f t="shared" si="18"/>
        <v>142.81105990783411</v>
      </c>
      <c r="ABI23">
        <f t="shared" si="18"/>
        <v>142.85714285714286</v>
      </c>
      <c r="ABJ23">
        <f t="shared" si="18"/>
        <v>142.90322580645162</v>
      </c>
      <c r="ABK23">
        <f t="shared" si="18"/>
        <v>142.94930875576037</v>
      </c>
      <c r="ABL23">
        <f t="shared" si="18"/>
        <v>142.99539170506912</v>
      </c>
      <c r="ABM23">
        <f t="shared" si="18"/>
        <v>143.04147465437788</v>
      </c>
      <c r="ABN23">
        <f t="shared" si="18"/>
        <v>143.08755760368663</v>
      </c>
      <c r="ABO23">
        <f t="shared" si="18"/>
        <v>143.13364055299539</v>
      </c>
      <c r="ABP23">
        <f t="shared" si="18"/>
        <v>143.17972350230414</v>
      </c>
      <c r="ABQ23">
        <f t="shared" si="18"/>
        <v>143.2258064516129</v>
      </c>
      <c r="ABR23">
        <f t="shared" si="18"/>
        <v>143.27188940092165</v>
      </c>
      <c r="ABS23">
        <f t="shared" si="18"/>
        <v>143.31797235023041</v>
      </c>
      <c r="ABT23">
        <f t="shared" si="18"/>
        <v>143.36405529953916</v>
      </c>
      <c r="ABU23">
        <f t="shared" si="18"/>
        <v>143.41013824884794</v>
      </c>
      <c r="ABV23">
        <f t="shared" si="18"/>
        <v>143.4562211981567</v>
      </c>
      <c r="ABW23">
        <f t="shared" si="18"/>
        <v>143.50230414746545</v>
      </c>
      <c r="ABX23">
        <f t="shared" si="18"/>
        <v>143.54838709677421</v>
      </c>
      <c r="ABY23">
        <f t="shared" si="18"/>
        <v>143.59447004608296</v>
      </c>
      <c r="ABZ23">
        <f t="shared" si="18"/>
        <v>143.64055299539172</v>
      </c>
      <c r="ACA23">
        <f t="shared" ref="ACA23:AEL23" si="19">120+30/(891-240)*(COLUMN()-241)</f>
        <v>143.68663594470047</v>
      </c>
      <c r="ACB23">
        <f t="shared" si="19"/>
        <v>143.73271889400922</v>
      </c>
      <c r="ACC23">
        <f t="shared" si="19"/>
        <v>143.77880184331798</v>
      </c>
      <c r="ACD23">
        <f t="shared" si="19"/>
        <v>143.82488479262673</v>
      </c>
      <c r="ACE23">
        <f t="shared" si="19"/>
        <v>143.87096774193549</v>
      </c>
      <c r="ACF23">
        <f t="shared" si="19"/>
        <v>143.91705069124424</v>
      </c>
      <c r="ACG23">
        <f t="shared" si="19"/>
        <v>143.963133640553</v>
      </c>
      <c r="ACH23">
        <f t="shared" si="19"/>
        <v>144.00921658986175</v>
      </c>
      <c r="ACI23">
        <f t="shared" si="19"/>
        <v>144.05529953917051</v>
      </c>
      <c r="ACJ23">
        <f t="shared" si="19"/>
        <v>144.10138248847926</v>
      </c>
      <c r="ACK23">
        <f t="shared" si="19"/>
        <v>144.14746543778801</v>
      </c>
      <c r="ACL23">
        <f t="shared" si="19"/>
        <v>144.19354838709677</v>
      </c>
      <c r="ACM23">
        <f t="shared" si="19"/>
        <v>144.23963133640552</v>
      </c>
      <c r="ACN23">
        <f t="shared" si="19"/>
        <v>144.28571428571428</v>
      </c>
      <c r="ACO23">
        <f t="shared" si="19"/>
        <v>144.33179723502303</v>
      </c>
      <c r="ACP23">
        <f t="shared" si="19"/>
        <v>144.37788018433179</v>
      </c>
      <c r="ACQ23">
        <f t="shared" si="19"/>
        <v>144.42396313364054</v>
      </c>
      <c r="ACR23">
        <f t="shared" si="19"/>
        <v>144.4700460829493</v>
      </c>
      <c r="ACS23">
        <f t="shared" si="19"/>
        <v>144.51612903225805</v>
      </c>
      <c r="ACT23">
        <f t="shared" si="19"/>
        <v>144.56221198156683</v>
      </c>
      <c r="ACU23">
        <f t="shared" si="19"/>
        <v>144.60829493087559</v>
      </c>
      <c r="ACV23">
        <f t="shared" si="19"/>
        <v>144.65437788018434</v>
      </c>
      <c r="ACW23">
        <f t="shared" si="19"/>
        <v>144.7004608294931</v>
      </c>
      <c r="ACX23">
        <f t="shared" si="19"/>
        <v>144.74654377880185</v>
      </c>
      <c r="ACY23">
        <f t="shared" si="19"/>
        <v>144.7926267281106</v>
      </c>
      <c r="ACZ23">
        <f t="shared" si="19"/>
        <v>144.83870967741936</v>
      </c>
      <c r="ADA23">
        <f t="shared" si="19"/>
        <v>144.88479262672811</v>
      </c>
      <c r="ADB23">
        <f t="shared" si="19"/>
        <v>144.93087557603687</v>
      </c>
      <c r="ADC23">
        <f t="shared" si="19"/>
        <v>144.97695852534562</v>
      </c>
      <c r="ADD23">
        <f t="shared" si="19"/>
        <v>145.02304147465438</v>
      </c>
      <c r="ADE23">
        <f t="shared" si="19"/>
        <v>145.06912442396313</v>
      </c>
      <c r="ADF23">
        <f t="shared" si="19"/>
        <v>145.11520737327189</v>
      </c>
      <c r="ADG23">
        <f t="shared" si="19"/>
        <v>145.16129032258064</v>
      </c>
      <c r="ADH23">
        <f t="shared" si="19"/>
        <v>145.2073732718894</v>
      </c>
      <c r="ADI23">
        <f t="shared" si="19"/>
        <v>145.25345622119815</v>
      </c>
      <c r="ADJ23">
        <f t="shared" si="19"/>
        <v>145.2995391705069</v>
      </c>
      <c r="ADK23">
        <f t="shared" si="19"/>
        <v>145.34562211981566</v>
      </c>
      <c r="ADL23">
        <f t="shared" si="19"/>
        <v>145.39170506912441</v>
      </c>
      <c r="ADM23">
        <f t="shared" si="19"/>
        <v>145.4377880184332</v>
      </c>
      <c r="ADN23">
        <f t="shared" si="19"/>
        <v>145.48387096774195</v>
      </c>
      <c r="ADO23">
        <f t="shared" si="19"/>
        <v>145.5299539170507</v>
      </c>
      <c r="ADP23">
        <f t="shared" si="19"/>
        <v>145.57603686635946</v>
      </c>
      <c r="ADQ23">
        <f t="shared" si="19"/>
        <v>145.62211981566821</v>
      </c>
      <c r="ADR23">
        <f t="shared" si="19"/>
        <v>145.66820276497697</v>
      </c>
      <c r="ADS23">
        <f t="shared" si="19"/>
        <v>145.71428571428572</v>
      </c>
      <c r="ADT23">
        <f t="shared" si="19"/>
        <v>145.76036866359448</v>
      </c>
      <c r="ADU23">
        <f t="shared" si="19"/>
        <v>145.80645161290323</v>
      </c>
      <c r="ADV23">
        <f t="shared" si="19"/>
        <v>145.85253456221199</v>
      </c>
      <c r="ADW23">
        <f t="shared" si="19"/>
        <v>145.89861751152074</v>
      </c>
      <c r="ADX23">
        <f t="shared" si="19"/>
        <v>145.94470046082949</v>
      </c>
      <c r="ADY23">
        <f t="shared" si="19"/>
        <v>145.99078341013825</v>
      </c>
      <c r="ADZ23">
        <f t="shared" si="19"/>
        <v>146.036866359447</v>
      </c>
      <c r="AEA23">
        <f t="shared" si="19"/>
        <v>146.08294930875576</v>
      </c>
      <c r="AEB23">
        <f t="shared" si="19"/>
        <v>146.12903225806451</v>
      </c>
      <c r="AEC23">
        <f t="shared" si="19"/>
        <v>146.17511520737327</v>
      </c>
      <c r="AED23">
        <f t="shared" si="19"/>
        <v>146.22119815668202</v>
      </c>
      <c r="AEE23">
        <f t="shared" si="19"/>
        <v>146.26728110599078</v>
      </c>
      <c r="AEF23">
        <f t="shared" si="19"/>
        <v>146.31336405529953</v>
      </c>
      <c r="AEG23">
        <f t="shared" si="19"/>
        <v>146.35944700460828</v>
      </c>
      <c r="AEH23">
        <f t="shared" si="19"/>
        <v>146.40552995391704</v>
      </c>
      <c r="AEI23">
        <f t="shared" si="19"/>
        <v>146.45161290322579</v>
      </c>
      <c r="AEJ23">
        <f t="shared" si="19"/>
        <v>146.49769585253455</v>
      </c>
      <c r="AEK23">
        <f t="shared" si="19"/>
        <v>146.54377880184333</v>
      </c>
      <c r="AEL23">
        <f t="shared" si="19"/>
        <v>146.58986175115209</v>
      </c>
      <c r="AEM23">
        <f t="shared" ref="AEM23:AGX23" si="20">120+30/(891-240)*(COLUMN()-241)</f>
        <v>146.63594470046084</v>
      </c>
      <c r="AEN23">
        <f t="shared" si="20"/>
        <v>146.68202764976959</v>
      </c>
      <c r="AEO23">
        <f t="shared" si="20"/>
        <v>146.72811059907835</v>
      </c>
      <c r="AEP23">
        <f t="shared" si="20"/>
        <v>146.7741935483871</v>
      </c>
      <c r="AEQ23">
        <f t="shared" si="20"/>
        <v>146.82027649769586</v>
      </c>
      <c r="AER23">
        <f t="shared" si="20"/>
        <v>146.86635944700461</v>
      </c>
      <c r="AES23">
        <f t="shared" si="20"/>
        <v>146.91244239631337</v>
      </c>
      <c r="AET23">
        <f t="shared" si="20"/>
        <v>146.95852534562212</v>
      </c>
      <c r="AEU23">
        <f t="shared" si="20"/>
        <v>147.00460829493088</v>
      </c>
      <c r="AEV23">
        <f t="shared" si="20"/>
        <v>147.05069124423963</v>
      </c>
      <c r="AEW23">
        <f t="shared" si="20"/>
        <v>147.09677419354838</v>
      </c>
      <c r="AEX23">
        <f t="shared" si="20"/>
        <v>147.14285714285714</v>
      </c>
      <c r="AEY23">
        <f t="shared" si="20"/>
        <v>147.18894009216589</v>
      </c>
      <c r="AEZ23">
        <f t="shared" si="20"/>
        <v>147.23502304147465</v>
      </c>
      <c r="AFA23">
        <f t="shared" si="20"/>
        <v>147.2811059907834</v>
      </c>
      <c r="AFB23">
        <f t="shared" si="20"/>
        <v>147.32718894009216</v>
      </c>
      <c r="AFC23">
        <f t="shared" si="20"/>
        <v>147.37327188940091</v>
      </c>
      <c r="AFD23">
        <f t="shared" si="20"/>
        <v>147.41935483870969</v>
      </c>
      <c r="AFE23">
        <f t="shared" si="20"/>
        <v>147.46543778801845</v>
      </c>
      <c r="AFF23">
        <f t="shared" si="20"/>
        <v>147.5115207373272</v>
      </c>
      <c r="AFG23">
        <f t="shared" si="20"/>
        <v>147.55760368663596</v>
      </c>
      <c r="AFH23">
        <f t="shared" si="20"/>
        <v>147.60368663594471</v>
      </c>
      <c r="AFI23">
        <f t="shared" si="20"/>
        <v>147.64976958525347</v>
      </c>
      <c r="AFJ23">
        <f t="shared" si="20"/>
        <v>147.69585253456222</v>
      </c>
      <c r="AFK23">
        <f t="shared" si="20"/>
        <v>147.74193548387098</v>
      </c>
      <c r="AFL23">
        <f t="shared" si="20"/>
        <v>147.78801843317973</v>
      </c>
      <c r="AFM23">
        <f t="shared" si="20"/>
        <v>147.83410138248848</v>
      </c>
      <c r="AFN23">
        <f t="shared" si="20"/>
        <v>147.88018433179724</v>
      </c>
      <c r="AFO23">
        <f t="shared" si="20"/>
        <v>147.92626728110599</v>
      </c>
      <c r="AFP23">
        <f t="shared" si="20"/>
        <v>147.97235023041475</v>
      </c>
      <c r="AFQ23">
        <f t="shared" si="20"/>
        <v>148.0184331797235</v>
      </c>
      <c r="AFR23">
        <f t="shared" si="20"/>
        <v>148.06451612903226</v>
      </c>
      <c r="AFS23">
        <f t="shared" si="20"/>
        <v>148.11059907834101</v>
      </c>
      <c r="AFT23">
        <f t="shared" si="20"/>
        <v>148.15668202764977</v>
      </c>
      <c r="AFU23">
        <f t="shared" si="20"/>
        <v>148.20276497695852</v>
      </c>
      <c r="AFV23">
        <f t="shared" si="20"/>
        <v>148.24884792626727</v>
      </c>
      <c r="AFW23">
        <f t="shared" si="20"/>
        <v>148.29493087557603</v>
      </c>
      <c r="AFX23">
        <f t="shared" si="20"/>
        <v>148.34101382488478</v>
      </c>
      <c r="AFY23">
        <f t="shared" si="20"/>
        <v>148.38709677419354</v>
      </c>
      <c r="AFZ23">
        <f t="shared" si="20"/>
        <v>148.43317972350229</v>
      </c>
      <c r="AGA23">
        <f t="shared" si="20"/>
        <v>148.47926267281105</v>
      </c>
      <c r="AGB23">
        <f t="shared" si="20"/>
        <v>148.5253456221198</v>
      </c>
      <c r="AGC23">
        <f t="shared" si="20"/>
        <v>148.57142857142858</v>
      </c>
      <c r="AGD23">
        <f t="shared" si="20"/>
        <v>148.61751152073734</v>
      </c>
      <c r="AGE23">
        <f t="shared" si="20"/>
        <v>148.66359447004609</v>
      </c>
      <c r="AGF23">
        <f t="shared" si="20"/>
        <v>148.70967741935485</v>
      </c>
      <c r="AGG23">
        <f t="shared" si="20"/>
        <v>148.7557603686636</v>
      </c>
      <c r="AGH23">
        <f t="shared" si="20"/>
        <v>148.80184331797236</v>
      </c>
      <c r="AGI23">
        <f t="shared" si="20"/>
        <v>148.84792626728111</v>
      </c>
      <c r="AGJ23">
        <f t="shared" si="20"/>
        <v>148.89400921658986</v>
      </c>
      <c r="AGK23">
        <f t="shared" si="20"/>
        <v>148.94009216589862</v>
      </c>
      <c r="AGL23">
        <f t="shared" si="20"/>
        <v>148.98617511520737</v>
      </c>
      <c r="AGM23">
        <f t="shared" si="20"/>
        <v>149.03225806451613</v>
      </c>
      <c r="AGN23">
        <f t="shared" si="20"/>
        <v>149.07834101382488</v>
      </c>
      <c r="AGO23">
        <f t="shared" si="20"/>
        <v>149.12442396313364</v>
      </c>
      <c r="AGP23">
        <f t="shared" si="20"/>
        <v>149.17050691244239</v>
      </c>
      <c r="AGQ23">
        <f t="shared" si="20"/>
        <v>149.21658986175115</v>
      </c>
      <c r="AGR23">
        <f t="shared" si="20"/>
        <v>149.2626728110599</v>
      </c>
      <c r="AGS23">
        <f t="shared" si="20"/>
        <v>149.30875576036865</v>
      </c>
      <c r="AGT23">
        <f t="shared" si="20"/>
        <v>149.35483870967741</v>
      </c>
      <c r="AGU23">
        <f t="shared" si="20"/>
        <v>149.40092165898619</v>
      </c>
      <c r="AGV23">
        <f t="shared" si="20"/>
        <v>149.44700460829495</v>
      </c>
      <c r="AGW23">
        <f t="shared" si="20"/>
        <v>149.4930875576037</v>
      </c>
      <c r="AGX23">
        <f t="shared" si="20"/>
        <v>149.53917050691246</v>
      </c>
      <c r="AGY23">
        <f t="shared" ref="AGY23:AHG23" si="21">120+30/(891-240)*(COLUMN()-241)</f>
        <v>149.58525345622121</v>
      </c>
      <c r="AGZ23">
        <f t="shared" si="21"/>
        <v>149.63133640552996</v>
      </c>
      <c r="AHA23">
        <f t="shared" si="21"/>
        <v>149.67741935483872</v>
      </c>
      <c r="AHB23">
        <f t="shared" si="21"/>
        <v>149.72350230414747</v>
      </c>
      <c r="AHC23">
        <f t="shared" si="21"/>
        <v>149.76958525345623</v>
      </c>
      <c r="AHD23">
        <f t="shared" si="21"/>
        <v>149.81566820276498</v>
      </c>
      <c r="AHE23">
        <f t="shared" si="21"/>
        <v>149.86175115207374</v>
      </c>
      <c r="AHF23">
        <f t="shared" si="21"/>
        <v>149.90783410138249</v>
      </c>
      <c r="AHG23">
        <f t="shared" si="21"/>
        <v>149.95391705069125</v>
      </c>
      <c r="AHH23">
        <v>150</v>
      </c>
    </row>
    <row r="24" spans="1:892" x14ac:dyDescent="0.2">
      <c r="A24">
        <v>110</v>
      </c>
      <c r="B24">
        <v>90</v>
      </c>
      <c r="C24">
        <f>90+30/149*(COLUMN()-2)</f>
        <v>90.201342281879192</v>
      </c>
      <c r="D24">
        <f t="shared" ref="D24:BO24" si="22">90+30/149*(COLUMN()-2)</f>
        <v>90.402684563758385</v>
      </c>
      <c r="E24">
        <f t="shared" si="22"/>
        <v>90.604026845637577</v>
      </c>
      <c r="F24">
        <f t="shared" si="22"/>
        <v>90.805369127516784</v>
      </c>
      <c r="G24">
        <f t="shared" si="22"/>
        <v>91.006711409395976</v>
      </c>
      <c r="H24">
        <f t="shared" si="22"/>
        <v>91.208053691275168</v>
      </c>
      <c r="I24">
        <f t="shared" si="22"/>
        <v>91.409395973154361</v>
      </c>
      <c r="J24">
        <f t="shared" si="22"/>
        <v>91.610738255033553</v>
      </c>
      <c r="K24">
        <f t="shared" si="22"/>
        <v>91.812080536912745</v>
      </c>
      <c r="L24">
        <f t="shared" si="22"/>
        <v>92.013422818791952</v>
      </c>
      <c r="M24">
        <f t="shared" si="22"/>
        <v>92.214765100671144</v>
      </c>
      <c r="N24">
        <f t="shared" si="22"/>
        <v>92.416107382550337</v>
      </c>
      <c r="O24">
        <f t="shared" si="22"/>
        <v>92.617449664429529</v>
      </c>
      <c r="P24">
        <f t="shared" si="22"/>
        <v>92.818791946308721</v>
      </c>
      <c r="Q24">
        <f t="shared" si="22"/>
        <v>93.020134228187914</v>
      </c>
      <c r="R24">
        <f t="shared" si="22"/>
        <v>93.22147651006712</v>
      </c>
      <c r="S24">
        <f t="shared" si="22"/>
        <v>93.422818791946312</v>
      </c>
      <c r="T24">
        <f t="shared" si="22"/>
        <v>93.624161073825505</v>
      </c>
      <c r="U24">
        <f t="shared" si="22"/>
        <v>93.825503355704697</v>
      </c>
      <c r="V24">
        <f t="shared" si="22"/>
        <v>94.026845637583889</v>
      </c>
      <c r="W24">
        <f t="shared" si="22"/>
        <v>94.228187919463082</v>
      </c>
      <c r="X24">
        <f t="shared" si="22"/>
        <v>94.429530201342288</v>
      </c>
      <c r="Y24">
        <f t="shared" si="22"/>
        <v>94.630872483221481</v>
      </c>
      <c r="Z24">
        <f t="shared" si="22"/>
        <v>94.832214765100673</v>
      </c>
      <c r="AA24">
        <f t="shared" si="22"/>
        <v>95.033557046979865</v>
      </c>
      <c r="AB24">
        <f t="shared" si="22"/>
        <v>95.234899328859058</v>
      </c>
      <c r="AC24">
        <f t="shared" si="22"/>
        <v>95.43624161073825</v>
      </c>
      <c r="AD24">
        <f t="shared" si="22"/>
        <v>95.637583892617442</v>
      </c>
      <c r="AE24">
        <f t="shared" si="22"/>
        <v>95.838926174496649</v>
      </c>
      <c r="AF24">
        <f t="shared" si="22"/>
        <v>96.040268456375841</v>
      </c>
      <c r="AG24">
        <f t="shared" si="22"/>
        <v>96.241610738255034</v>
      </c>
      <c r="AH24">
        <f t="shared" si="22"/>
        <v>96.442953020134226</v>
      </c>
      <c r="AI24">
        <f t="shared" si="22"/>
        <v>96.644295302013418</v>
      </c>
      <c r="AJ24">
        <f t="shared" si="22"/>
        <v>96.845637583892611</v>
      </c>
      <c r="AK24">
        <f t="shared" si="22"/>
        <v>97.046979865771817</v>
      </c>
      <c r="AL24">
        <f t="shared" si="22"/>
        <v>97.24832214765101</v>
      </c>
      <c r="AM24">
        <f t="shared" si="22"/>
        <v>97.449664429530202</v>
      </c>
      <c r="AN24">
        <f t="shared" si="22"/>
        <v>97.651006711409394</v>
      </c>
      <c r="AO24">
        <f t="shared" si="22"/>
        <v>97.852348993288587</v>
      </c>
      <c r="AP24">
        <f t="shared" si="22"/>
        <v>98.053691275167779</v>
      </c>
      <c r="AQ24">
        <f t="shared" si="22"/>
        <v>98.255033557046985</v>
      </c>
      <c r="AR24">
        <f t="shared" si="22"/>
        <v>98.456375838926178</v>
      </c>
      <c r="AS24">
        <f t="shared" si="22"/>
        <v>98.65771812080537</v>
      </c>
      <c r="AT24">
        <f t="shared" si="22"/>
        <v>98.859060402684563</v>
      </c>
      <c r="AU24">
        <f t="shared" si="22"/>
        <v>99.060402684563755</v>
      </c>
      <c r="AV24">
        <f t="shared" si="22"/>
        <v>99.261744966442947</v>
      </c>
      <c r="AW24">
        <f t="shared" si="22"/>
        <v>99.463087248322154</v>
      </c>
      <c r="AX24">
        <f t="shared" si="22"/>
        <v>99.664429530201346</v>
      </c>
      <c r="AY24">
        <f t="shared" si="22"/>
        <v>99.865771812080538</v>
      </c>
      <c r="AZ24">
        <f t="shared" si="22"/>
        <v>100.06711409395973</v>
      </c>
      <c r="BA24">
        <f t="shared" si="22"/>
        <v>100.26845637583892</v>
      </c>
      <c r="BB24">
        <f t="shared" si="22"/>
        <v>100.46979865771812</v>
      </c>
      <c r="BC24">
        <f t="shared" si="22"/>
        <v>100.67114093959731</v>
      </c>
      <c r="BD24">
        <f t="shared" si="22"/>
        <v>100.87248322147651</v>
      </c>
      <c r="BE24">
        <f t="shared" si="22"/>
        <v>101.07382550335571</v>
      </c>
      <c r="BF24">
        <f t="shared" si="22"/>
        <v>101.2751677852349</v>
      </c>
      <c r="BG24">
        <f t="shared" si="22"/>
        <v>101.47651006711409</v>
      </c>
      <c r="BH24">
        <f t="shared" si="22"/>
        <v>101.67785234899328</v>
      </c>
      <c r="BI24">
        <f t="shared" si="22"/>
        <v>101.87919463087249</v>
      </c>
      <c r="BJ24">
        <f t="shared" si="22"/>
        <v>102.08053691275168</v>
      </c>
      <c r="BK24">
        <f t="shared" si="22"/>
        <v>102.28187919463087</v>
      </c>
      <c r="BL24">
        <f t="shared" si="22"/>
        <v>102.48322147651007</v>
      </c>
      <c r="BM24">
        <f t="shared" si="22"/>
        <v>102.68456375838926</v>
      </c>
      <c r="BN24">
        <f t="shared" si="22"/>
        <v>102.88590604026845</v>
      </c>
      <c r="BO24">
        <f t="shared" si="22"/>
        <v>103.08724832214764</v>
      </c>
      <c r="BP24">
        <f t="shared" ref="BP24:EA24" si="23">90+30/149*(COLUMN()-2)</f>
        <v>103.28859060402685</v>
      </c>
      <c r="BQ24">
        <f t="shared" si="23"/>
        <v>103.48993288590604</v>
      </c>
      <c r="BR24">
        <f t="shared" si="23"/>
        <v>103.69127516778524</v>
      </c>
      <c r="BS24">
        <f t="shared" si="23"/>
        <v>103.89261744966443</v>
      </c>
      <c r="BT24">
        <f t="shared" si="23"/>
        <v>104.09395973154362</v>
      </c>
      <c r="BU24">
        <f t="shared" si="23"/>
        <v>104.29530201342281</v>
      </c>
      <c r="BV24">
        <f t="shared" si="23"/>
        <v>104.49664429530202</v>
      </c>
      <c r="BW24">
        <f t="shared" si="23"/>
        <v>104.69798657718121</v>
      </c>
      <c r="BX24">
        <f t="shared" si="23"/>
        <v>104.8993288590604</v>
      </c>
      <c r="BY24">
        <f t="shared" si="23"/>
        <v>105.1006711409396</v>
      </c>
      <c r="BZ24">
        <f t="shared" si="23"/>
        <v>105.30201342281879</v>
      </c>
      <c r="CA24">
        <f t="shared" si="23"/>
        <v>105.50335570469798</v>
      </c>
      <c r="CB24">
        <f t="shared" si="23"/>
        <v>105.70469798657717</v>
      </c>
      <c r="CC24">
        <f t="shared" si="23"/>
        <v>105.90604026845638</v>
      </c>
      <c r="CD24">
        <f t="shared" si="23"/>
        <v>106.10738255033557</v>
      </c>
      <c r="CE24">
        <f t="shared" si="23"/>
        <v>106.30872483221476</v>
      </c>
      <c r="CF24">
        <f t="shared" si="23"/>
        <v>106.51006711409396</v>
      </c>
      <c r="CG24">
        <f t="shared" si="23"/>
        <v>106.71140939597315</v>
      </c>
      <c r="CH24">
        <f t="shared" si="23"/>
        <v>106.91275167785236</v>
      </c>
      <c r="CI24">
        <f t="shared" si="23"/>
        <v>107.11409395973155</v>
      </c>
      <c r="CJ24">
        <f t="shared" si="23"/>
        <v>107.31543624161074</v>
      </c>
      <c r="CK24">
        <f t="shared" si="23"/>
        <v>107.51677852348993</v>
      </c>
      <c r="CL24">
        <f t="shared" si="23"/>
        <v>107.71812080536913</v>
      </c>
      <c r="CM24">
        <f t="shared" si="23"/>
        <v>107.91946308724832</v>
      </c>
      <c r="CN24">
        <f t="shared" si="23"/>
        <v>108.12080536912751</v>
      </c>
      <c r="CO24">
        <f t="shared" si="23"/>
        <v>108.3221476510067</v>
      </c>
      <c r="CP24">
        <f t="shared" si="23"/>
        <v>108.52348993288591</v>
      </c>
      <c r="CQ24">
        <f t="shared" si="23"/>
        <v>108.7248322147651</v>
      </c>
      <c r="CR24">
        <f t="shared" si="23"/>
        <v>108.92617449664429</v>
      </c>
      <c r="CS24">
        <f t="shared" si="23"/>
        <v>109.12751677852349</v>
      </c>
      <c r="CT24">
        <f t="shared" si="23"/>
        <v>109.32885906040269</v>
      </c>
      <c r="CU24">
        <f t="shared" si="23"/>
        <v>109.53020134228188</v>
      </c>
      <c r="CV24">
        <f t="shared" si="23"/>
        <v>109.73154362416108</v>
      </c>
      <c r="CW24">
        <f t="shared" si="23"/>
        <v>109.93288590604027</v>
      </c>
      <c r="CX24">
        <f t="shared" si="23"/>
        <v>110.13422818791946</v>
      </c>
      <c r="CY24">
        <f t="shared" si="23"/>
        <v>110.33557046979865</v>
      </c>
      <c r="CZ24">
        <f t="shared" si="23"/>
        <v>110.53691275167785</v>
      </c>
      <c r="DA24">
        <f t="shared" si="23"/>
        <v>110.73825503355704</v>
      </c>
      <c r="DB24">
        <f t="shared" si="23"/>
        <v>110.93959731543625</v>
      </c>
      <c r="DC24">
        <f t="shared" si="23"/>
        <v>111.14093959731544</v>
      </c>
      <c r="DD24">
        <f t="shared" si="23"/>
        <v>111.34228187919463</v>
      </c>
      <c r="DE24">
        <f t="shared" si="23"/>
        <v>111.54362416107382</v>
      </c>
      <c r="DF24">
        <f t="shared" si="23"/>
        <v>111.74496644295301</v>
      </c>
      <c r="DG24">
        <f t="shared" si="23"/>
        <v>111.94630872483222</v>
      </c>
      <c r="DH24">
        <f t="shared" si="23"/>
        <v>112.14765100671141</v>
      </c>
      <c r="DI24">
        <f t="shared" si="23"/>
        <v>112.34899328859061</v>
      </c>
      <c r="DJ24">
        <f t="shared" si="23"/>
        <v>112.5503355704698</v>
      </c>
      <c r="DK24">
        <f t="shared" si="23"/>
        <v>112.75167785234899</v>
      </c>
      <c r="DL24">
        <f t="shared" si="23"/>
        <v>112.95302013422818</v>
      </c>
      <c r="DM24">
        <f t="shared" si="23"/>
        <v>113.15436241610738</v>
      </c>
      <c r="DN24">
        <f t="shared" si="23"/>
        <v>113.35570469798657</v>
      </c>
      <c r="DO24">
        <f t="shared" si="23"/>
        <v>113.55704697986577</v>
      </c>
      <c r="DP24">
        <f t="shared" si="23"/>
        <v>113.75838926174497</v>
      </c>
      <c r="DQ24">
        <f t="shared" si="23"/>
        <v>113.95973154362416</v>
      </c>
      <c r="DR24">
        <f t="shared" si="23"/>
        <v>114.16107382550335</v>
      </c>
      <c r="DS24">
        <f t="shared" si="23"/>
        <v>114.36241610738256</v>
      </c>
      <c r="DT24">
        <f t="shared" si="23"/>
        <v>114.56375838926175</v>
      </c>
      <c r="DU24">
        <f t="shared" si="23"/>
        <v>114.76510067114094</v>
      </c>
      <c r="DV24">
        <f t="shared" si="23"/>
        <v>114.96644295302013</v>
      </c>
      <c r="DW24">
        <f t="shared" si="23"/>
        <v>115.16778523489933</v>
      </c>
      <c r="DX24">
        <f t="shared" si="23"/>
        <v>115.36912751677852</v>
      </c>
      <c r="DY24">
        <f t="shared" si="23"/>
        <v>115.57046979865771</v>
      </c>
      <c r="DZ24">
        <f t="shared" si="23"/>
        <v>115.7718120805369</v>
      </c>
      <c r="EA24">
        <f t="shared" si="23"/>
        <v>115.97315436241611</v>
      </c>
      <c r="EB24">
        <f t="shared" ref="EB24:ET24" si="24">90+30/149*(COLUMN()-2)</f>
        <v>116.1744966442953</v>
      </c>
      <c r="EC24">
        <f t="shared" si="24"/>
        <v>116.3758389261745</v>
      </c>
      <c r="ED24">
        <f t="shared" si="24"/>
        <v>116.57718120805369</v>
      </c>
      <c r="EE24">
        <f t="shared" si="24"/>
        <v>116.77852348993288</v>
      </c>
      <c r="EF24">
        <f t="shared" si="24"/>
        <v>116.97986577181209</v>
      </c>
      <c r="EG24">
        <f t="shared" si="24"/>
        <v>117.18120805369128</v>
      </c>
      <c r="EH24">
        <f t="shared" si="24"/>
        <v>117.38255033557047</v>
      </c>
      <c r="EI24">
        <f t="shared" si="24"/>
        <v>117.58389261744966</v>
      </c>
      <c r="EJ24">
        <f t="shared" si="24"/>
        <v>117.78523489932886</v>
      </c>
      <c r="EK24">
        <f t="shared" si="24"/>
        <v>117.98657718120805</v>
      </c>
      <c r="EL24">
        <f t="shared" si="24"/>
        <v>118.18791946308724</v>
      </c>
      <c r="EM24">
        <f t="shared" si="24"/>
        <v>118.38926174496643</v>
      </c>
      <c r="EN24">
        <f t="shared" si="24"/>
        <v>118.59060402684564</v>
      </c>
      <c r="EO24">
        <f t="shared" si="24"/>
        <v>118.79194630872483</v>
      </c>
      <c r="EP24">
        <f t="shared" si="24"/>
        <v>118.99328859060402</v>
      </c>
      <c r="EQ24">
        <f t="shared" si="24"/>
        <v>119.19463087248322</v>
      </c>
      <c r="ER24">
        <f t="shared" si="24"/>
        <v>119.39597315436242</v>
      </c>
      <c r="ES24">
        <f t="shared" si="24"/>
        <v>119.59731543624162</v>
      </c>
      <c r="ET24">
        <f t="shared" si="24"/>
        <v>119.79865771812081</v>
      </c>
      <c r="EU24">
        <v>120</v>
      </c>
      <c r="EV24">
        <f>120+40/40*(COLUMN()-151)</f>
        <v>121</v>
      </c>
      <c r="EW24">
        <f t="shared" ref="EW24:GH24" si="25">120+40/40*(COLUMN()-151)</f>
        <v>122</v>
      </c>
      <c r="EX24">
        <f t="shared" si="25"/>
        <v>123</v>
      </c>
      <c r="EY24">
        <f t="shared" si="25"/>
        <v>124</v>
      </c>
      <c r="EZ24">
        <f t="shared" si="25"/>
        <v>125</v>
      </c>
      <c r="FA24">
        <f t="shared" si="25"/>
        <v>126</v>
      </c>
      <c r="FB24">
        <f t="shared" si="25"/>
        <v>127</v>
      </c>
      <c r="FC24">
        <f t="shared" si="25"/>
        <v>128</v>
      </c>
      <c r="FD24">
        <f t="shared" si="25"/>
        <v>129</v>
      </c>
      <c r="FE24">
        <f t="shared" si="25"/>
        <v>130</v>
      </c>
      <c r="FF24">
        <f t="shared" si="25"/>
        <v>131</v>
      </c>
      <c r="FG24">
        <f t="shared" si="25"/>
        <v>132</v>
      </c>
      <c r="FH24">
        <f t="shared" si="25"/>
        <v>133</v>
      </c>
      <c r="FI24">
        <f t="shared" si="25"/>
        <v>134</v>
      </c>
      <c r="FJ24">
        <f t="shared" si="25"/>
        <v>135</v>
      </c>
      <c r="FK24">
        <f t="shared" si="25"/>
        <v>136</v>
      </c>
      <c r="FL24">
        <f t="shared" si="25"/>
        <v>137</v>
      </c>
      <c r="FM24">
        <f t="shared" si="25"/>
        <v>138</v>
      </c>
      <c r="FN24">
        <f t="shared" si="25"/>
        <v>139</v>
      </c>
      <c r="FO24">
        <f t="shared" si="25"/>
        <v>140</v>
      </c>
      <c r="FP24">
        <f t="shared" si="25"/>
        <v>141</v>
      </c>
      <c r="FQ24">
        <f t="shared" si="25"/>
        <v>142</v>
      </c>
      <c r="FR24">
        <f t="shared" si="25"/>
        <v>143</v>
      </c>
      <c r="FS24">
        <f t="shared" si="25"/>
        <v>144</v>
      </c>
      <c r="FT24">
        <f t="shared" si="25"/>
        <v>145</v>
      </c>
      <c r="FU24">
        <f t="shared" si="25"/>
        <v>146</v>
      </c>
      <c r="FV24">
        <f t="shared" si="25"/>
        <v>147</v>
      </c>
      <c r="FW24">
        <f t="shared" si="25"/>
        <v>148</v>
      </c>
      <c r="FX24">
        <f t="shared" si="25"/>
        <v>149</v>
      </c>
      <c r="FY24">
        <f t="shared" si="25"/>
        <v>150</v>
      </c>
      <c r="FZ24">
        <f t="shared" si="25"/>
        <v>151</v>
      </c>
      <c r="GA24">
        <f t="shared" si="25"/>
        <v>152</v>
      </c>
      <c r="GB24">
        <f t="shared" si="25"/>
        <v>153</v>
      </c>
      <c r="GC24">
        <f t="shared" si="25"/>
        <v>154</v>
      </c>
      <c r="GD24">
        <f t="shared" si="25"/>
        <v>155</v>
      </c>
      <c r="GE24">
        <f t="shared" si="25"/>
        <v>156</v>
      </c>
      <c r="GF24">
        <f t="shared" si="25"/>
        <v>157</v>
      </c>
      <c r="GG24">
        <f t="shared" si="25"/>
        <v>158</v>
      </c>
      <c r="GH24">
        <f t="shared" si="25"/>
        <v>159</v>
      </c>
      <c r="GI24">
        <v>160</v>
      </c>
      <c r="GJ24">
        <f>160+15/50*(COLUMN()-191)</f>
        <v>160.30000000000001</v>
      </c>
      <c r="GK24">
        <f t="shared" ref="GK24:IF24" si="26">160+15/50*(COLUMN()-191)</f>
        <v>160.6</v>
      </c>
      <c r="GL24">
        <f t="shared" si="26"/>
        <v>160.9</v>
      </c>
      <c r="GM24">
        <f t="shared" si="26"/>
        <v>161.19999999999999</v>
      </c>
      <c r="GN24">
        <f t="shared" si="26"/>
        <v>161.5</v>
      </c>
      <c r="GO24">
        <f t="shared" si="26"/>
        <v>161.80000000000001</v>
      </c>
      <c r="GP24">
        <f t="shared" si="26"/>
        <v>162.1</v>
      </c>
      <c r="GQ24">
        <f t="shared" si="26"/>
        <v>162.4</v>
      </c>
      <c r="GR24">
        <f t="shared" si="26"/>
        <v>162.69999999999999</v>
      </c>
      <c r="GS24">
        <f t="shared" si="26"/>
        <v>163</v>
      </c>
      <c r="GT24">
        <f t="shared" si="26"/>
        <v>163.30000000000001</v>
      </c>
      <c r="GU24">
        <f t="shared" si="26"/>
        <v>163.6</v>
      </c>
      <c r="GV24">
        <f t="shared" si="26"/>
        <v>163.9</v>
      </c>
      <c r="GW24">
        <f t="shared" si="26"/>
        <v>164.2</v>
      </c>
      <c r="GX24">
        <f t="shared" si="26"/>
        <v>164.5</v>
      </c>
      <c r="GY24">
        <f t="shared" si="26"/>
        <v>164.8</v>
      </c>
      <c r="GZ24">
        <f t="shared" si="26"/>
        <v>165.1</v>
      </c>
      <c r="HA24">
        <f t="shared" si="26"/>
        <v>165.4</v>
      </c>
      <c r="HB24">
        <f t="shared" si="26"/>
        <v>165.7</v>
      </c>
      <c r="HC24">
        <f t="shared" si="26"/>
        <v>166</v>
      </c>
      <c r="HD24">
        <f t="shared" si="26"/>
        <v>166.3</v>
      </c>
      <c r="HE24">
        <f t="shared" si="26"/>
        <v>166.6</v>
      </c>
      <c r="HF24">
        <f t="shared" si="26"/>
        <v>166.9</v>
      </c>
      <c r="HG24">
        <f t="shared" si="26"/>
        <v>167.2</v>
      </c>
      <c r="HH24">
        <f t="shared" si="26"/>
        <v>167.5</v>
      </c>
      <c r="HI24">
        <f t="shared" si="26"/>
        <v>167.8</v>
      </c>
      <c r="HJ24">
        <f t="shared" si="26"/>
        <v>168.1</v>
      </c>
      <c r="HK24">
        <f t="shared" si="26"/>
        <v>168.4</v>
      </c>
      <c r="HL24">
        <f t="shared" si="26"/>
        <v>168.7</v>
      </c>
      <c r="HM24">
        <f t="shared" si="26"/>
        <v>169</v>
      </c>
      <c r="HN24">
        <f t="shared" si="26"/>
        <v>169.3</v>
      </c>
      <c r="HO24">
        <f t="shared" si="26"/>
        <v>169.6</v>
      </c>
      <c r="HP24">
        <f t="shared" si="26"/>
        <v>169.9</v>
      </c>
      <c r="HQ24">
        <f t="shared" si="26"/>
        <v>170.2</v>
      </c>
      <c r="HR24">
        <f t="shared" si="26"/>
        <v>170.5</v>
      </c>
      <c r="HS24">
        <f t="shared" si="26"/>
        <v>170.8</v>
      </c>
      <c r="HT24">
        <f t="shared" si="26"/>
        <v>171.1</v>
      </c>
      <c r="HU24">
        <f t="shared" si="26"/>
        <v>171.4</v>
      </c>
      <c r="HV24">
        <f t="shared" si="26"/>
        <v>171.7</v>
      </c>
      <c r="HW24">
        <f t="shared" si="26"/>
        <v>172</v>
      </c>
      <c r="HX24">
        <f t="shared" si="26"/>
        <v>172.3</v>
      </c>
      <c r="HY24">
        <f t="shared" si="26"/>
        <v>172.6</v>
      </c>
      <c r="HZ24">
        <f t="shared" si="26"/>
        <v>172.9</v>
      </c>
      <c r="IA24">
        <f t="shared" si="26"/>
        <v>173.2</v>
      </c>
      <c r="IB24">
        <f t="shared" si="26"/>
        <v>173.5</v>
      </c>
      <c r="IC24">
        <f t="shared" si="26"/>
        <v>173.8</v>
      </c>
      <c r="ID24">
        <f t="shared" si="26"/>
        <v>174.1</v>
      </c>
      <c r="IE24">
        <f t="shared" si="26"/>
        <v>174.4</v>
      </c>
      <c r="IF24">
        <f t="shared" si="26"/>
        <v>174.7</v>
      </c>
      <c r="IG24">
        <v>175</v>
      </c>
      <c r="IH24">
        <f>175+25/(891-240)*(COLUMN()-241)</f>
        <v>175.03840245775729</v>
      </c>
      <c r="II24">
        <f t="shared" ref="II24:KT24" si="27">175+25/(891-240)*(COLUMN()-241)</f>
        <v>175.0768049155146</v>
      </c>
      <c r="IJ24">
        <f t="shared" si="27"/>
        <v>175.11520737327189</v>
      </c>
      <c r="IK24">
        <f t="shared" si="27"/>
        <v>175.15360983102917</v>
      </c>
      <c r="IL24">
        <f t="shared" si="27"/>
        <v>175.19201228878649</v>
      </c>
      <c r="IM24">
        <f t="shared" si="27"/>
        <v>175.23041474654377</v>
      </c>
      <c r="IN24">
        <f t="shared" si="27"/>
        <v>175.26881720430109</v>
      </c>
      <c r="IO24">
        <f t="shared" si="27"/>
        <v>175.30721966205837</v>
      </c>
      <c r="IP24">
        <f t="shared" si="27"/>
        <v>175.34562211981566</v>
      </c>
      <c r="IQ24">
        <f t="shared" si="27"/>
        <v>175.38402457757297</v>
      </c>
      <c r="IR24">
        <f t="shared" si="27"/>
        <v>175.42242703533026</v>
      </c>
      <c r="IS24">
        <f t="shared" si="27"/>
        <v>175.46082949308754</v>
      </c>
      <c r="IT24">
        <f t="shared" si="27"/>
        <v>175.49923195084486</v>
      </c>
      <c r="IU24">
        <f t="shared" si="27"/>
        <v>175.53763440860214</v>
      </c>
      <c r="IV24">
        <f t="shared" si="27"/>
        <v>175.57603686635946</v>
      </c>
      <c r="IW24">
        <f t="shared" si="27"/>
        <v>175.61443932411674</v>
      </c>
      <c r="IX24">
        <f t="shared" si="27"/>
        <v>175.65284178187403</v>
      </c>
      <c r="IY24">
        <f t="shared" si="27"/>
        <v>175.69124423963135</v>
      </c>
      <c r="IZ24">
        <f t="shared" si="27"/>
        <v>175.72964669738863</v>
      </c>
      <c r="JA24">
        <f t="shared" si="27"/>
        <v>175.76804915514592</v>
      </c>
      <c r="JB24">
        <f t="shared" si="27"/>
        <v>175.80645161290323</v>
      </c>
      <c r="JC24">
        <f t="shared" si="27"/>
        <v>175.84485407066052</v>
      </c>
      <c r="JD24">
        <f t="shared" si="27"/>
        <v>175.88325652841783</v>
      </c>
      <c r="JE24">
        <f t="shared" si="27"/>
        <v>175.92165898617512</v>
      </c>
      <c r="JF24">
        <f t="shared" si="27"/>
        <v>175.9600614439324</v>
      </c>
      <c r="JG24">
        <f t="shared" si="27"/>
        <v>175.99846390168972</v>
      </c>
      <c r="JH24">
        <f t="shared" si="27"/>
        <v>176.036866359447</v>
      </c>
      <c r="JI24">
        <f t="shared" si="27"/>
        <v>176.07526881720429</v>
      </c>
      <c r="JJ24">
        <f t="shared" si="27"/>
        <v>176.1136712749616</v>
      </c>
      <c r="JK24">
        <f t="shared" si="27"/>
        <v>176.15207373271889</v>
      </c>
      <c r="JL24">
        <f t="shared" si="27"/>
        <v>176.1904761904762</v>
      </c>
      <c r="JM24">
        <f t="shared" si="27"/>
        <v>176.22887864823349</v>
      </c>
      <c r="JN24">
        <f t="shared" si="27"/>
        <v>176.26728110599078</v>
      </c>
      <c r="JO24">
        <f t="shared" si="27"/>
        <v>176.30568356374809</v>
      </c>
      <c r="JP24">
        <f t="shared" si="27"/>
        <v>176.34408602150538</v>
      </c>
      <c r="JQ24">
        <f t="shared" si="27"/>
        <v>176.38248847926266</v>
      </c>
      <c r="JR24">
        <f t="shared" si="27"/>
        <v>176.42089093701998</v>
      </c>
      <c r="JS24">
        <f t="shared" si="27"/>
        <v>176.45929339477726</v>
      </c>
      <c r="JT24">
        <f t="shared" si="27"/>
        <v>176.49769585253455</v>
      </c>
      <c r="JU24">
        <f t="shared" si="27"/>
        <v>176.53609831029186</v>
      </c>
      <c r="JV24">
        <f t="shared" si="27"/>
        <v>176.57450076804915</v>
      </c>
      <c r="JW24">
        <f t="shared" si="27"/>
        <v>176.61290322580646</v>
      </c>
      <c r="JX24">
        <f t="shared" si="27"/>
        <v>176.65130568356375</v>
      </c>
      <c r="JY24">
        <f t="shared" si="27"/>
        <v>176.68970814132103</v>
      </c>
      <c r="JZ24">
        <f t="shared" si="27"/>
        <v>176.72811059907835</v>
      </c>
      <c r="KA24">
        <f t="shared" si="27"/>
        <v>176.76651305683563</v>
      </c>
      <c r="KB24">
        <f t="shared" si="27"/>
        <v>176.80491551459292</v>
      </c>
      <c r="KC24">
        <f t="shared" si="27"/>
        <v>176.84331797235023</v>
      </c>
      <c r="KD24">
        <f t="shared" si="27"/>
        <v>176.88172043010752</v>
      </c>
      <c r="KE24">
        <f t="shared" si="27"/>
        <v>176.92012288786484</v>
      </c>
      <c r="KF24">
        <f t="shared" si="27"/>
        <v>176.95852534562212</v>
      </c>
      <c r="KG24">
        <f t="shared" si="27"/>
        <v>176.99692780337941</v>
      </c>
      <c r="KH24">
        <f t="shared" si="27"/>
        <v>177.03533026113672</v>
      </c>
      <c r="KI24">
        <f t="shared" si="27"/>
        <v>177.07373271889401</v>
      </c>
      <c r="KJ24">
        <f t="shared" si="27"/>
        <v>177.11213517665129</v>
      </c>
      <c r="KK24">
        <f t="shared" si="27"/>
        <v>177.15053763440861</v>
      </c>
      <c r="KL24">
        <f t="shared" si="27"/>
        <v>177.18894009216589</v>
      </c>
      <c r="KM24">
        <f t="shared" si="27"/>
        <v>177.22734254992321</v>
      </c>
      <c r="KN24">
        <f t="shared" si="27"/>
        <v>177.26574500768049</v>
      </c>
      <c r="KO24">
        <f t="shared" si="27"/>
        <v>177.30414746543778</v>
      </c>
      <c r="KP24">
        <f t="shared" si="27"/>
        <v>177.34254992319509</v>
      </c>
      <c r="KQ24">
        <f t="shared" si="27"/>
        <v>177.38095238095238</v>
      </c>
      <c r="KR24">
        <f t="shared" si="27"/>
        <v>177.41935483870967</v>
      </c>
      <c r="KS24">
        <f t="shared" si="27"/>
        <v>177.45775729646698</v>
      </c>
      <c r="KT24">
        <f t="shared" si="27"/>
        <v>177.49615975422427</v>
      </c>
      <c r="KU24">
        <f t="shared" ref="KU24:NF24" si="28">175+25/(891-240)*(COLUMN()-241)</f>
        <v>177.53456221198158</v>
      </c>
      <c r="KV24">
        <f t="shared" si="28"/>
        <v>177.57296466973887</v>
      </c>
      <c r="KW24">
        <f t="shared" si="28"/>
        <v>177.61136712749615</v>
      </c>
      <c r="KX24">
        <f t="shared" si="28"/>
        <v>177.64976958525347</v>
      </c>
      <c r="KY24">
        <f t="shared" si="28"/>
        <v>177.68817204301075</v>
      </c>
      <c r="KZ24">
        <f t="shared" si="28"/>
        <v>177.72657450076804</v>
      </c>
      <c r="LA24">
        <f t="shared" si="28"/>
        <v>177.76497695852535</v>
      </c>
      <c r="LB24">
        <f t="shared" si="28"/>
        <v>177.80337941628264</v>
      </c>
      <c r="LC24">
        <f t="shared" si="28"/>
        <v>177.84178187403995</v>
      </c>
      <c r="LD24">
        <f t="shared" si="28"/>
        <v>177.88018433179724</v>
      </c>
      <c r="LE24">
        <f t="shared" si="28"/>
        <v>177.91858678955452</v>
      </c>
      <c r="LF24">
        <f t="shared" si="28"/>
        <v>177.95698924731184</v>
      </c>
      <c r="LG24">
        <f t="shared" si="28"/>
        <v>177.99539170506912</v>
      </c>
      <c r="LH24">
        <f t="shared" si="28"/>
        <v>178.03379416282641</v>
      </c>
      <c r="LI24">
        <f t="shared" si="28"/>
        <v>178.07219662058372</v>
      </c>
      <c r="LJ24">
        <f t="shared" si="28"/>
        <v>178.11059907834101</v>
      </c>
      <c r="LK24">
        <f t="shared" si="28"/>
        <v>178.1490015360983</v>
      </c>
      <c r="LL24">
        <f t="shared" si="28"/>
        <v>178.18740399385561</v>
      </c>
      <c r="LM24">
        <f t="shared" si="28"/>
        <v>178.2258064516129</v>
      </c>
      <c r="LN24">
        <f t="shared" si="28"/>
        <v>178.26420890937021</v>
      </c>
      <c r="LO24">
        <f t="shared" si="28"/>
        <v>178.3026113671275</v>
      </c>
      <c r="LP24">
        <f t="shared" si="28"/>
        <v>178.34101382488478</v>
      </c>
      <c r="LQ24">
        <f t="shared" si="28"/>
        <v>178.3794162826421</v>
      </c>
      <c r="LR24">
        <f t="shared" si="28"/>
        <v>178.41781874039938</v>
      </c>
      <c r="LS24">
        <f t="shared" si="28"/>
        <v>178.45622119815667</v>
      </c>
      <c r="LT24">
        <f t="shared" si="28"/>
        <v>178.49462365591398</v>
      </c>
      <c r="LU24">
        <f t="shared" si="28"/>
        <v>178.53302611367127</v>
      </c>
      <c r="LV24">
        <f t="shared" si="28"/>
        <v>178.57142857142858</v>
      </c>
      <c r="LW24">
        <f t="shared" si="28"/>
        <v>178.60983102918587</v>
      </c>
      <c r="LX24">
        <f t="shared" si="28"/>
        <v>178.64823348694316</v>
      </c>
      <c r="LY24">
        <f t="shared" si="28"/>
        <v>178.68663594470047</v>
      </c>
      <c r="LZ24">
        <f t="shared" si="28"/>
        <v>178.72503840245776</v>
      </c>
      <c r="MA24">
        <f t="shared" si="28"/>
        <v>178.76344086021504</v>
      </c>
      <c r="MB24">
        <f t="shared" si="28"/>
        <v>178.80184331797236</v>
      </c>
      <c r="MC24">
        <f t="shared" si="28"/>
        <v>178.84024577572964</v>
      </c>
      <c r="MD24">
        <f t="shared" si="28"/>
        <v>178.87864823348696</v>
      </c>
      <c r="ME24">
        <f t="shared" si="28"/>
        <v>178.91705069124424</v>
      </c>
      <c r="MF24">
        <f t="shared" si="28"/>
        <v>178.95545314900153</v>
      </c>
      <c r="MG24">
        <f t="shared" si="28"/>
        <v>178.99385560675884</v>
      </c>
      <c r="MH24">
        <f t="shared" si="28"/>
        <v>179.03225806451613</v>
      </c>
      <c r="MI24">
        <f t="shared" si="28"/>
        <v>179.07066052227341</v>
      </c>
      <c r="MJ24">
        <f t="shared" si="28"/>
        <v>179.10906298003073</v>
      </c>
      <c r="MK24">
        <f t="shared" si="28"/>
        <v>179.14746543778801</v>
      </c>
      <c r="ML24">
        <f t="shared" si="28"/>
        <v>179.18586789554533</v>
      </c>
      <c r="MM24">
        <f t="shared" si="28"/>
        <v>179.22427035330261</v>
      </c>
      <c r="MN24">
        <f t="shared" si="28"/>
        <v>179.2626728110599</v>
      </c>
      <c r="MO24">
        <f t="shared" si="28"/>
        <v>179.30107526881721</v>
      </c>
      <c r="MP24">
        <f t="shared" si="28"/>
        <v>179.3394777265745</v>
      </c>
      <c r="MQ24">
        <f t="shared" si="28"/>
        <v>179.37788018433179</v>
      </c>
      <c r="MR24">
        <f t="shared" si="28"/>
        <v>179.4162826420891</v>
      </c>
      <c r="MS24">
        <f t="shared" si="28"/>
        <v>179.45468509984639</v>
      </c>
      <c r="MT24">
        <f t="shared" si="28"/>
        <v>179.4930875576037</v>
      </c>
      <c r="MU24">
        <f t="shared" si="28"/>
        <v>179.53149001536099</v>
      </c>
      <c r="MV24">
        <f t="shared" si="28"/>
        <v>179.56989247311827</v>
      </c>
      <c r="MW24">
        <f t="shared" si="28"/>
        <v>179.60829493087559</v>
      </c>
      <c r="MX24">
        <f t="shared" si="28"/>
        <v>179.64669738863287</v>
      </c>
      <c r="MY24">
        <f t="shared" si="28"/>
        <v>179.68509984639016</v>
      </c>
      <c r="MZ24">
        <f t="shared" si="28"/>
        <v>179.72350230414747</v>
      </c>
      <c r="NA24">
        <f t="shared" si="28"/>
        <v>179.76190476190476</v>
      </c>
      <c r="NB24">
        <f t="shared" si="28"/>
        <v>179.80030721966205</v>
      </c>
      <c r="NC24">
        <f t="shared" si="28"/>
        <v>179.83870967741936</v>
      </c>
      <c r="ND24">
        <f t="shared" si="28"/>
        <v>179.87711213517665</v>
      </c>
      <c r="NE24">
        <f t="shared" si="28"/>
        <v>179.91551459293396</v>
      </c>
      <c r="NF24">
        <f t="shared" si="28"/>
        <v>179.95391705069125</v>
      </c>
      <c r="NG24">
        <f t="shared" ref="NG24:PR24" si="29">175+25/(891-240)*(COLUMN()-241)</f>
        <v>179.99231950844853</v>
      </c>
      <c r="NH24">
        <f t="shared" si="29"/>
        <v>180.03072196620585</v>
      </c>
      <c r="NI24">
        <f t="shared" si="29"/>
        <v>180.06912442396313</v>
      </c>
      <c r="NJ24">
        <f t="shared" si="29"/>
        <v>180.10752688172042</v>
      </c>
      <c r="NK24">
        <f t="shared" si="29"/>
        <v>180.14592933947773</v>
      </c>
      <c r="NL24">
        <f t="shared" si="29"/>
        <v>180.18433179723502</v>
      </c>
      <c r="NM24">
        <f t="shared" si="29"/>
        <v>180.22273425499233</v>
      </c>
      <c r="NN24">
        <f t="shared" si="29"/>
        <v>180.26113671274962</v>
      </c>
      <c r="NO24">
        <f t="shared" si="29"/>
        <v>180.2995391705069</v>
      </c>
      <c r="NP24">
        <f t="shared" si="29"/>
        <v>180.33794162826422</v>
      </c>
      <c r="NQ24">
        <f t="shared" si="29"/>
        <v>180.3763440860215</v>
      </c>
      <c r="NR24">
        <f t="shared" si="29"/>
        <v>180.41474654377879</v>
      </c>
      <c r="NS24">
        <f t="shared" si="29"/>
        <v>180.4531490015361</v>
      </c>
      <c r="NT24">
        <f t="shared" si="29"/>
        <v>180.49155145929339</v>
      </c>
      <c r="NU24">
        <f t="shared" si="29"/>
        <v>180.5299539170507</v>
      </c>
      <c r="NV24">
        <f t="shared" si="29"/>
        <v>180.56835637480799</v>
      </c>
      <c r="NW24">
        <f t="shared" si="29"/>
        <v>180.60675883256528</v>
      </c>
      <c r="NX24">
        <f t="shared" si="29"/>
        <v>180.64516129032259</v>
      </c>
      <c r="NY24">
        <f t="shared" si="29"/>
        <v>180.68356374807988</v>
      </c>
      <c r="NZ24">
        <f t="shared" si="29"/>
        <v>180.72196620583716</v>
      </c>
      <c r="OA24">
        <f t="shared" si="29"/>
        <v>180.76036866359448</v>
      </c>
      <c r="OB24">
        <f t="shared" si="29"/>
        <v>180.79877112135176</v>
      </c>
      <c r="OC24">
        <f t="shared" si="29"/>
        <v>180.83717357910908</v>
      </c>
      <c r="OD24">
        <f t="shared" si="29"/>
        <v>180.87557603686636</v>
      </c>
      <c r="OE24">
        <f t="shared" si="29"/>
        <v>180.91397849462365</v>
      </c>
      <c r="OF24">
        <f t="shared" si="29"/>
        <v>180.95238095238096</v>
      </c>
      <c r="OG24">
        <f t="shared" si="29"/>
        <v>180.99078341013825</v>
      </c>
      <c r="OH24">
        <f t="shared" si="29"/>
        <v>181.02918586789554</v>
      </c>
      <c r="OI24">
        <f t="shared" si="29"/>
        <v>181.06758832565285</v>
      </c>
      <c r="OJ24">
        <f t="shared" si="29"/>
        <v>181.10599078341014</v>
      </c>
      <c r="OK24">
        <f t="shared" si="29"/>
        <v>181.14439324116745</v>
      </c>
      <c r="OL24">
        <f t="shared" si="29"/>
        <v>181.18279569892474</v>
      </c>
      <c r="OM24">
        <f t="shared" si="29"/>
        <v>181.22119815668202</v>
      </c>
      <c r="ON24">
        <f t="shared" si="29"/>
        <v>181.25960061443934</v>
      </c>
      <c r="OO24">
        <f t="shared" si="29"/>
        <v>181.29800307219662</v>
      </c>
      <c r="OP24">
        <f t="shared" si="29"/>
        <v>181.33640552995391</v>
      </c>
      <c r="OQ24">
        <f t="shared" si="29"/>
        <v>181.37480798771122</v>
      </c>
      <c r="OR24">
        <f t="shared" si="29"/>
        <v>181.41321044546851</v>
      </c>
      <c r="OS24">
        <f t="shared" si="29"/>
        <v>181.45161290322579</v>
      </c>
      <c r="OT24">
        <f t="shared" si="29"/>
        <v>181.49001536098311</v>
      </c>
      <c r="OU24">
        <f t="shared" si="29"/>
        <v>181.52841781874039</v>
      </c>
      <c r="OV24">
        <f t="shared" si="29"/>
        <v>181.56682027649771</v>
      </c>
      <c r="OW24">
        <f t="shared" si="29"/>
        <v>181.60522273425499</v>
      </c>
      <c r="OX24">
        <f t="shared" si="29"/>
        <v>181.64362519201228</v>
      </c>
      <c r="OY24">
        <f t="shared" si="29"/>
        <v>181.68202764976959</v>
      </c>
      <c r="OZ24">
        <f t="shared" si="29"/>
        <v>181.72043010752688</v>
      </c>
      <c r="PA24">
        <f t="shared" si="29"/>
        <v>181.75883256528417</v>
      </c>
      <c r="PB24">
        <f t="shared" si="29"/>
        <v>181.79723502304148</v>
      </c>
      <c r="PC24">
        <f t="shared" si="29"/>
        <v>181.83563748079877</v>
      </c>
      <c r="PD24">
        <f t="shared" si="29"/>
        <v>181.87403993855608</v>
      </c>
      <c r="PE24">
        <f t="shared" si="29"/>
        <v>181.91244239631337</v>
      </c>
      <c r="PF24">
        <f t="shared" si="29"/>
        <v>181.95084485407065</v>
      </c>
      <c r="PG24">
        <f t="shared" si="29"/>
        <v>181.98924731182797</v>
      </c>
      <c r="PH24">
        <f t="shared" si="29"/>
        <v>182.02764976958525</v>
      </c>
      <c r="PI24">
        <f t="shared" si="29"/>
        <v>182.06605222734254</v>
      </c>
      <c r="PJ24">
        <f t="shared" si="29"/>
        <v>182.10445468509985</v>
      </c>
      <c r="PK24">
        <f t="shared" si="29"/>
        <v>182.14285714285714</v>
      </c>
      <c r="PL24">
        <f t="shared" si="29"/>
        <v>182.18125960061445</v>
      </c>
      <c r="PM24">
        <f t="shared" si="29"/>
        <v>182.21966205837174</v>
      </c>
      <c r="PN24">
        <f t="shared" si="29"/>
        <v>182.25806451612902</v>
      </c>
      <c r="PO24">
        <f t="shared" si="29"/>
        <v>182.29646697388634</v>
      </c>
      <c r="PP24">
        <f t="shared" si="29"/>
        <v>182.33486943164363</v>
      </c>
      <c r="PQ24">
        <f t="shared" si="29"/>
        <v>182.37327188940091</v>
      </c>
      <c r="PR24">
        <f t="shared" si="29"/>
        <v>182.41167434715823</v>
      </c>
      <c r="PS24">
        <f t="shared" ref="PS24:SD24" si="30">175+25/(891-240)*(COLUMN()-241)</f>
        <v>182.45007680491551</v>
      </c>
      <c r="PT24">
        <f t="shared" si="30"/>
        <v>182.4884792626728</v>
      </c>
      <c r="PU24">
        <f t="shared" si="30"/>
        <v>182.52688172043011</v>
      </c>
      <c r="PV24">
        <f t="shared" si="30"/>
        <v>182.5652841781874</v>
      </c>
      <c r="PW24">
        <f t="shared" si="30"/>
        <v>182.60368663594471</v>
      </c>
      <c r="PX24">
        <f t="shared" si="30"/>
        <v>182.642089093702</v>
      </c>
      <c r="PY24">
        <f t="shared" si="30"/>
        <v>182.68049155145928</v>
      </c>
      <c r="PZ24">
        <f t="shared" si="30"/>
        <v>182.7188940092166</v>
      </c>
      <c r="QA24">
        <f t="shared" si="30"/>
        <v>182.75729646697388</v>
      </c>
      <c r="QB24">
        <f t="shared" si="30"/>
        <v>182.79569892473117</v>
      </c>
      <c r="QC24">
        <f t="shared" si="30"/>
        <v>182.83410138248848</v>
      </c>
      <c r="QD24">
        <f t="shared" si="30"/>
        <v>182.87250384024577</v>
      </c>
      <c r="QE24">
        <f t="shared" si="30"/>
        <v>182.91090629800308</v>
      </c>
      <c r="QF24">
        <f t="shared" si="30"/>
        <v>182.94930875576037</v>
      </c>
      <c r="QG24">
        <f t="shared" si="30"/>
        <v>182.98771121351766</v>
      </c>
      <c r="QH24">
        <f t="shared" si="30"/>
        <v>183.02611367127497</v>
      </c>
      <c r="QI24">
        <f t="shared" si="30"/>
        <v>183.06451612903226</v>
      </c>
      <c r="QJ24">
        <f t="shared" si="30"/>
        <v>183.10291858678954</v>
      </c>
      <c r="QK24">
        <f t="shared" si="30"/>
        <v>183.14132104454686</v>
      </c>
      <c r="QL24">
        <f t="shared" si="30"/>
        <v>183.17972350230414</v>
      </c>
      <c r="QM24">
        <f t="shared" si="30"/>
        <v>183.21812596006146</v>
      </c>
      <c r="QN24">
        <f t="shared" si="30"/>
        <v>183.25652841781874</v>
      </c>
      <c r="QO24">
        <f t="shared" si="30"/>
        <v>183.29493087557603</v>
      </c>
      <c r="QP24">
        <f t="shared" si="30"/>
        <v>183.33333333333334</v>
      </c>
      <c r="QQ24">
        <f t="shared" si="30"/>
        <v>183.37173579109063</v>
      </c>
      <c r="QR24">
        <f t="shared" si="30"/>
        <v>183.41013824884791</v>
      </c>
      <c r="QS24">
        <f t="shared" si="30"/>
        <v>183.44854070660523</v>
      </c>
      <c r="QT24">
        <f t="shared" si="30"/>
        <v>183.48694316436251</v>
      </c>
      <c r="QU24">
        <f t="shared" si="30"/>
        <v>183.52534562211983</v>
      </c>
      <c r="QV24">
        <f t="shared" si="30"/>
        <v>183.56374807987712</v>
      </c>
      <c r="QW24">
        <f t="shared" si="30"/>
        <v>183.6021505376344</v>
      </c>
      <c r="QX24">
        <f t="shared" si="30"/>
        <v>183.64055299539172</v>
      </c>
      <c r="QY24">
        <f t="shared" si="30"/>
        <v>183.678955453149</v>
      </c>
      <c r="QZ24">
        <f t="shared" si="30"/>
        <v>183.71735791090629</v>
      </c>
      <c r="RA24">
        <f t="shared" si="30"/>
        <v>183.7557603686636</v>
      </c>
      <c r="RB24">
        <f t="shared" si="30"/>
        <v>183.79416282642089</v>
      </c>
      <c r="RC24">
        <f t="shared" si="30"/>
        <v>183.8325652841782</v>
      </c>
      <c r="RD24">
        <f t="shared" si="30"/>
        <v>183.87096774193549</v>
      </c>
      <c r="RE24">
        <f t="shared" si="30"/>
        <v>183.90937019969277</v>
      </c>
      <c r="RF24">
        <f t="shared" si="30"/>
        <v>183.94777265745009</v>
      </c>
      <c r="RG24">
        <f t="shared" si="30"/>
        <v>183.98617511520737</v>
      </c>
      <c r="RH24">
        <f t="shared" si="30"/>
        <v>184.02457757296466</v>
      </c>
      <c r="RI24">
        <f t="shared" si="30"/>
        <v>184.06298003072197</v>
      </c>
      <c r="RJ24">
        <f t="shared" si="30"/>
        <v>184.10138248847926</v>
      </c>
      <c r="RK24">
        <f t="shared" si="30"/>
        <v>184.13978494623655</v>
      </c>
      <c r="RL24">
        <f t="shared" si="30"/>
        <v>184.17818740399386</v>
      </c>
      <c r="RM24">
        <f t="shared" si="30"/>
        <v>184.21658986175115</v>
      </c>
      <c r="RN24">
        <f t="shared" si="30"/>
        <v>184.25499231950846</v>
      </c>
      <c r="RO24">
        <f t="shared" si="30"/>
        <v>184.29339477726575</v>
      </c>
      <c r="RP24">
        <f t="shared" si="30"/>
        <v>184.33179723502303</v>
      </c>
      <c r="RQ24">
        <f t="shared" si="30"/>
        <v>184.37019969278035</v>
      </c>
      <c r="RR24">
        <f t="shared" si="30"/>
        <v>184.40860215053763</v>
      </c>
      <c r="RS24">
        <f t="shared" si="30"/>
        <v>184.44700460829495</v>
      </c>
      <c r="RT24">
        <f t="shared" si="30"/>
        <v>184.48540706605223</v>
      </c>
      <c r="RU24">
        <f t="shared" si="30"/>
        <v>184.52380952380952</v>
      </c>
      <c r="RV24">
        <f t="shared" si="30"/>
        <v>184.56221198156683</v>
      </c>
      <c r="RW24">
        <f t="shared" si="30"/>
        <v>184.60061443932412</v>
      </c>
      <c r="RX24">
        <f t="shared" si="30"/>
        <v>184.6390168970814</v>
      </c>
      <c r="RY24">
        <f t="shared" si="30"/>
        <v>184.67741935483872</v>
      </c>
      <c r="RZ24">
        <f t="shared" si="30"/>
        <v>184.715821812596</v>
      </c>
      <c r="SA24">
        <f t="shared" si="30"/>
        <v>184.75422427035329</v>
      </c>
      <c r="SB24">
        <f t="shared" si="30"/>
        <v>184.7926267281106</v>
      </c>
      <c r="SC24">
        <f t="shared" si="30"/>
        <v>184.83102918586789</v>
      </c>
      <c r="SD24">
        <f t="shared" si="30"/>
        <v>184.86943164362521</v>
      </c>
      <c r="SE24">
        <f t="shared" ref="SE24:UP24" si="31">175+25/(891-240)*(COLUMN()-241)</f>
        <v>184.90783410138249</v>
      </c>
      <c r="SF24">
        <f t="shared" si="31"/>
        <v>184.94623655913978</v>
      </c>
      <c r="SG24">
        <f t="shared" si="31"/>
        <v>184.98463901689709</v>
      </c>
      <c r="SH24">
        <f t="shared" si="31"/>
        <v>185.02304147465438</v>
      </c>
      <c r="SI24">
        <f t="shared" si="31"/>
        <v>185.06144393241166</v>
      </c>
      <c r="SJ24">
        <f t="shared" si="31"/>
        <v>185.09984639016898</v>
      </c>
      <c r="SK24">
        <f t="shared" si="31"/>
        <v>185.13824884792626</v>
      </c>
      <c r="SL24">
        <f t="shared" si="31"/>
        <v>185.17665130568358</v>
      </c>
      <c r="SM24">
        <f t="shared" si="31"/>
        <v>185.21505376344086</v>
      </c>
      <c r="SN24">
        <f t="shared" si="31"/>
        <v>185.25345622119815</v>
      </c>
      <c r="SO24">
        <f t="shared" si="31"/>
        <v>185.29185867895546</v>
      </c>
      <c r="SP24">
        <f t="shared" si="31"/>
        <v>185.33026113671275</v>
      </c>
      <c r="SQ24">
        <f t="shared" si="31"/>
        <v>185.36866359447004</v>
      </c>
      <c r="SR24">
        <f t="shared" si="31"/>
        <v>185.40706605222735</v>
      </c>
      <c r="SS24">
        <f t="shared" si="31"/>
        <v>185.44546850998464</v>
      </c>
      <c r="ST24">
        <f t="shared" si="31"/>
        <v>185.48387096774195</v>
      </c>
      <c r="SU24">
        <f t="shared" si="31"/>
        <v>185.52227342549924</v>
      </c>
      <c r="SV24">
        <f t="shared" si="31"/>
        <v>185.56067588325652</v>
      </c>
      <c r="SW24">
        <f t="shared" si="31"/>
        <v>185.59907834101384</v>
      </c>
      <c r="SX24">
        <f t="shared" si="31"/>
        <v>185.63748079877112</v>
      </c>
      <c r="SY24">
        <f t="shared" si="31"/>
        <v>185.67588325652841</v>
      </c>
      <c r="SZ24">
        <f t="shared" si="31"/>
        <v>185.71428571428572</v>
      </c>
      <c r="TA24">
        <f t="shared" si="31"/>
        <v>185.75268817204301</v>
      </c>
      <c r="TB24">
        <f t="shared" si="31"/>
        <v>185.79109062980029</v>
      </c>
      <c r="TC24">
        <f t="shared" si="31"/>
        <v>185.82949308755761</v>
      </c>
      <c r="TD24">
        <f t="shared" si="31"/>
        <v>185.86789554531489</v>
      </c>
      <c r="TE24">
        <f t="shared" si="31"/>
        <v>185.90629800307221</v>
      </c>
      <c r="TF24">
        <f t="shared" si="31"/>
        <v>185.94470046082949</v>
      </c>
      <c r="TG24">
        <f t="shared" si="31"/>
        <v>185.98310291858678</v>
      </c>
      <c r="TH24">
        <f t="shared" si="31"/>
        <v>186.02150537634409</v>
      </c>
      <c r="TI24">
        <f t="shared" si="31"/>
        <v>186.05990783410138</v>
      </c>
      <c r="TJ24">
        <f t="shared" si="31"/>
        <v>186.09831029185867</v>
      </c>
      <c r="TK24">
        <f t="shared" si="31"/>
        <v>186.13671274961598</v>
      </c>
      <c r="TL24">
        <f t="shared" si="31"/>
        <v>186.17511520737327</v>
      </c>
      <c r="TM24">
        <f t="shared" si="31"/>
        <v>186.21351766513058</v>
      </c>
      <c r="TN24">
        <f t="shared" si="31"/>
        <v>186.25192012288787</v>
      </c>
      <c r="TO24">
        <f t="shared" si="31"/>
        <v>186.29032258064515</v>
      </c>
      <c r="TP24">
        <f t="shared" si="31"/>
        <v>186.32872503840247</v>
      </c>
      <c r="TQ24">
        <f t="shared" si="31"/>
        <v>186.36712749615975</v>
      </c>
      <c r="TR24">
        <f t="shared" si="31"/>
        <v>186.40552995391704</v>
      </c>
      <c r="TS24">
        <f t="shared" si="31"/>
        <v>186.44393241167435</v>
      </c>
      <c r="TT24">
        <f t="shared" si="31"/>
        <v>186.48233486943164</v>
      </c>
      <c r="TU24">
        <f t="shared" si="31"/>
        <v>186.52073732718895</v>
      </c>
      <c r="TV24">
        <f t="shared" si="31"/>
        <v>186.55913978494624</v>
      </c>
      <c r="TW24">
        <f t="shared" si="31"/>
        <v>186.59754224270353</v>
      </c>
      <c r="TX24">
        <f t="shared" si="31"/>
        <v>186.63594470046084</v>
      </c>
      <c r="TY24">
        <f t="shared" si="31"/>
        <v>186.67434715821813</v>
      </c>
      <c r="TZ24">
        <f t="shared" si="31"/>
        <v>186.71274961597541</v>
      </c>
      <c r="UA24">
        <f t="shared" si="31"/>
        <v>186.75115207373273</v>
      </c>
      <c r="UB24">
        <f t="shared" si="31"/>
        <v>186.78955453149001</v>
      </c>
      <c r="UC24">
        <f t="shared" si="31"/>
        <v>186.8279569892473</v>
      </c>
      <c r="UD24">
        <f t="shared" si="31"/>
        <v>186.86635944700461</v>
      </c>
      <c r="UE24">
        <f t="shared" si="31"/>
        <v>186.9047619047619</v>
      </c>
      <c r="UF24">
        <f t="shared" si="31"/>
        <v>186.94316436251921</v>
      </c>
      <c r="UG24">
        <f t="shared" si="31"/>
        <v>186.9815668202765</v>
      </c>
      <c r="UH24">
        <f t="shared" si="31"/>
        <v>187.01996927803378</v>
      </c>
      <c r="UI24">
        <f t="shared" si="31"/>
        <v>187.0583717357911</v>
      </c>
      <c r="UJ24">
        <f t="shared" si="31"/>
        <v>187.09677419354838</v>
      </c>
      <c r="UK24">
        <f t="shared" si="31"/>
        <v>187.1351766513057</v>
      </c>
      <c r="UL24">
        <f t="shared" si="31"/>
        <v>187.17357910906298</v>
      </c>
      <c r="UM24">
        <f t="shared" si="31"/>
        <v>187.21198156682027</v>
      </c>
      <c r="UN24">
        <f t="shared" si="31"/>
        <v>187.25038402457758</v>
      </c>
      <c r="UO24">
        <f t="shared" si="31"/>
        <v>187.28878648233487</v>
      </c>
      <c r="UP24">
        <f t="shared" si="31"/>
        <v>187.32718894009216</v>
      </c>
      <c r="UQ24">
        <f t="shared" ref="UQ24:XB24" si="32">175+25/(891-240)*(COLUMN()-241)</f>
        <v>187.36559139784947</v>
      </c>
      <c r="UR24">
        <f t="shared" si="32"/>
        <v>187.40399385560676</v>
      </c>
      <c r="US24">
        <f t="shared" si="32"/>
        <v>187.44239631336404</v>
      </c>
      <c r="UT24">
        <f t="shared" si="32"/>
        <v>187.48079877112136</v>
      </c>
      <c r="UU24">
        <f t="shared" si="32"/>
        <v>187.51920122887864</v>
      </c>
      <c r="UV24">
        <f t="shared" si="32"/>
        <v>187.55760368663596</v>
      </c>
      <c r="UW24">
        <f t="shared" si="32"/>
        <v>187.59600614439324</v>
      </c>
      <c r="UX24">
        <f t="shared" si="32"/>
        <v>187.63440860215053</v>
      </c>
      <c r="UY24">
        <f t="shared" si="32"/>
        <v>187.67281105990784</v>
      </c>
      <c r="UZ24">
        <f t="shared" si="32"/>
        <v>187.71121351766513</v>
      </c>
      <c r="VA24">
        <f t="shared" si="32"/>
        <v>187.74961597542242</v>
      </c>
      <c r="VB24">
        <f t="shared" si="32"/>
        <v>187.78801843317973</v>
      </c>
      <c r="VC24">
        <f t="shared" si="32"/>
        <v>187.82642089093702</v>
      </c>
      <c r="VD24">
        <f t="shared" si="32"/>
        <v>187.86482334869433</v>
      </c>
      <c r="VE24">
        <f t="shared" si="32"/>
        <v>187.90322580645162</v>
      </c>
      <c r="VF24">
        <f t="shared" si="32"/>
        <v>187.9416282642089</v>
      </c>
      <c r="VG24">
        <f t="shared" si="32"/>
        <v>187.98003072196622</v>
      </c>
      <c r="VH24">
        <f t="shared" si="32"/>
        <v>188.0184331797235</v>
      </c>
      <c r="VI24">
        <f t="shared" si="32"/>
        <v>188.05683563748079</v>
      </c>
      <c r="VJ24">
        <f t="shared" si="32"/>
        <v>188.0952380952381</v>
      </c>
      <c r="VK24">
        <f t="shared" si="32"/>
        <v>188.13364055299539</v>
      </c>
      <c r="VL24">
        <f t="shared" si="32"/>
        <v>188.1720430107527</v>
      </c>
      <c r="VM24">
        <f t="shared" si="32"/>
        <v>188.21044546850999</v>
      </c>
      <c r="VN24">
        <f t="shared" si="32"/>
        <v>188.24884792626727</v>
      </c>
      <c r="VO24">
        <f t="shared" si="32"/>
        <v>188.28725038402459</v>
      </c>
      <c r="VP24">
        <f t="shared" si="32"/>
        <v>188.32565284178187</v>
      </c>
      <c r="VQ24">
        <f t="shared" si="32"/>
        <v>188.36405529953916</v>
      </c>
      <c r="VR24">
        <f t="shared" si="32"/>
        <v>188.40245775729647</v>
      </c>
      <c r="VS24">
        <f t="shared" si="32"/>
        <v>188.44086021505376</v>
      </c>
      <c r="VT24">
        <f t="shared" si="32"/>
        <v>188.47926267281105</v>
      </c>
      <c r="VU24">
        <f t="shared" si="32"/>
        <v>188.51766513056836</v>
      </c>
      <c r="VV24">
        <f t="shared" si="32"/>
        <v>188.55606758832565</v>
      </c>
      <c r="VW24">
        <f t="shared" si="32"/>
        <v>188.59447004608296</v>
      </c>
      <c r="VX24">
        <f t="shared" si="32"/>
        <v>188.63287250384025</v>
      </c>
      <c r="VY24">
        <f t="shared" si="32"/>
        <v>188.67127496159753</v>
      </c>
      <c r="VZ24">
        <f t="shared" si="32"/>
        <v>188.70967741935485</v>
      </c>
      <c r="WA24">
        <f t="shared" si="32"/>
        <v>188.74807987711213</v>
      </c>
      <c r="WB24">
        <f t="shared" si="32"/>
        <v>188.78648233486945</v>
      </c>
      <c r="WC24">
        <f t="shared" si="32"/>
        <v>188.82488479262673</v>
      </c>
      <c r="WD24">
        <f t="shared" si="32"/>
        <v>188.86328725038402</v>
      </c>
      <c r="WE24">
        <f t="shared" si="32"/>
        <v>188.90168970814133</v>
      </c>
      <c r="WF24">
        <f t="shared" si="32"/>
        <v>188.94009216589862</v>
      </c>
      <c r="WG24">
        <f t="shared" si="32"/>
        <v>188.97849462365591</v>
      </c>
      <c r="WH24">
        <f t="shared" si="32"/>
        <v>189.01689708141322</v>
      </c>
      <c r="WI24">
        <f t="shared" si="32"/>
        <v>189.05529953917051</v>
      </c>
      <c r="WJ24">
        <f t="shared" si="32"/>
        <v>189.09370199692779</v>
      </c>
      <c r="WK24">
        <f t="shared" si="32"/>
        <v>189.13210445468511</v>
      </c>
      <c r="WL24">
        <f t="shared" si="32"/>
        <v>189.17050691244239</v>
      </c>
      <c r="WM24">
        <f t="shared" si="32"/>
        <v>189.20890937019971</v>
      </c>
      <c r="WN24">
        <f t="shared" si="32"/>
        <v>189.24731182795699</v>
      </c>
      <c r="WO24">
        <f t="shared" si="32"/>
        <v>189.28571428571428</v>
      </c>
      <c r="WP24">
        <f t="shared" si="32"/>
        <v>189.32411674347159</v>
      </c>
      <c r="WQ24">
        <f t="shared" si="32"/>
        <v>189.36251920122888</v>
      </c>
      <c r="WR24">
        <f t="shared" si="32"/>
        <v>189.40092165898616</v>
      </c>
      <c r="WS24">
        <f t="shared" si="32"/>
        <v>189.43932411674348</v>
      </c>
      <c r="WT24">
        <f t="shared" si="32"/>
        <v>189.47772657450076</v>
      </c>
      <c r="WU24">
        <f t="shared" si="32"/>
        <v>189.51612903225808</v>
      </c>
      <c r="WV24">
        <f t="shared" si="32"/>
        <v>189.55453149001536</v>
      </c>
      <c r="WW24">
        <f t="shared" si="32"/>
        <v>189.59293394777265</v>
      </c>
      <c r="WX24">
        <f t="shared" si="32"/>
        <v>189.63133640552996</v>
      </c>
      <c r="WY24">
        <f t="shared" si="32"/>
        <v>189.66973886328725</v>
      </c>
      <c r="WZ24">
        <f t="shared" si="32"/>
        <v>189.70814132104454</v>
      </c>
      <c r="XA24">
        <f t="shared" si="32"/>
        <v>189.74654377880185</v>
      </c>
      <c r="XB24">
        <f t="shared" si="32"/>
        <v>189.78494623655914</v>
      </c>
      <c r="XC24">
        <f t="shared" ref="XC24:ZN24" si="33">175+25/(891-240)*(COLUMN()-241)</f>
        <v>189.82334869431645</v>
      </c>
      <c r="XD24">
        <f t="shared" si="33"/>
        <v>189.86175115207374</v>
      </c>
      <c r="XE24">
        <f t="shared" si="33"/>
        <v>189.90015360983102</v>
      </c>
      <c r="XF24">
        <f t="shared" si="33"/>
        <v>189.93855606758834</v>
      </c>
      <c r="XG24">
        <f t="shared" si="33"/>
        <v>189.97695852534562</v>
      </c>
      <c r="XH24">
        <f t="shared" si="33"/>
        <v>190.01536098310291</v>
      </c>
      <c r="XI24">
        <f t="shared" si="33"/>
        <v>190.05376344086022</v>
      </c>
      <c r="XJ24">
        <f t="shared" si="33"/>
        <v>190.09216589861751</v>
      </c>
      <c r="XK24">
        <f t="shared" si="33"/>
        <v>190.13056835637479</v>
      </c>
      <c r="XL24">
        <f t="shared" si="33"/>
        <v>190.16897081413211</v>
      </c>
      <c r="XM24">
        <f t="shared" si="33"/>
        <v>190.2073732718894</v>
      </c>
      <c r="XN24">
        <f t="shared" si="33"/>
        <v>190.24577572964671</v>
      </c>
      <c r="XO24">
        <f t="shared" si="33"/>
        <v>190.284178187404</v>
      </c>
      <c r="XP24">
        <f t="shared" si="33"/>
        <v>190.32258064516128</v>
      </c>
      <c r="XQ24">
        <f t="shared" si="33"/>
        <v>190.3609831029186</v>
      </c>
      <c r="XR24">
        <f t="shared" si="33"/>
        <v>190.39938556067588</v>
      </c>
      <c r="XS24">
        <f t="shared" si="33"/>
        <v>190.4377880184332</v>
      </c>
      <c r="XT24">
        <f t="shared" si="33"/>
        <v>190.47619047619048</v>
      </c>
      <c r="XU24">
        <f t="shared" si="33"/>
        <v>190.51459293394777</v>
      </c>
      <c r="XV24">
        <f t="shared" si="33"/>
        <v>190.55299539170508</v>
      </c>
      <c r="XW24">
        <f t="shared" si="33"/>
        <v>190.59139784946237</v>
      </c>
      <c r="XX24">
        <f t="shared" si="33"/>
        <v>190.62980030721965</v>
      </c>
      <c r="XY24">
        <f t="shared" si="33"/>
        <v>190.66820276497697</v>
      </c>
      <c r="XZ24">
        <f t="shared" si="33"/>
        <v>190.70660522273425</v>
      </c>
      <c r="YA24">
        <f t="shared" si="33"/>
        <v>190.74500768049154</v>
      </c>
      <c r="YB24">
        <f t="shared" si="33"/>
        <v>190.78341013824885</v>
      </c>
      <c r="YC24">
        <f t="shared" si="33"/>
        <v>190.82181259600614</v>
      </c>
      <c r="YD24">
        <f t="shared" si="33"/>
        <v>190.86021505376345</v>
      </c>
      <c r="YE24">
        <f t="shared" si="33"/>
        <v>190.89861751152074</v>
      </c>
      <c r="YF24">
        <f t="shared" si="33"/>
        <v>190.93701996927803</v>
      </c>
      <c r="YG24">
        <f t="shared" si="33"/>
        <v>190.97542242703534</v>
      </c>
      <c r="YH24">
        <f t="shared" si="33"/>
        <v>191.01382488479263</v>
      </c>
      <c r="YI24">
        <f t="shared" si="33"/>
        <v>191.05222734254991</v>
      </c>
      <c r="YJ24">
        <f t="shared" si="33"/>
        <v>191.09062980030723</v>
      </c>
      <c r="YK24">
        <f t="shared" si="33"/>
        <v>191.12903225806451</v>
      </c>
      <c r="YL24">
        <f t="shared" si="33"/>
        <v>191.1674347158218</v>
      </c>
      <c r="YM24">
        <f t="shared" si="33"/>
        <v>191.20583717357911</v>
      </c>
      <c r="YN24">
        <f t="shared" si="33"/>
        <v>191.2442396313364</v>
      </c>
      <c r="YO24">
        <f t="shared" si="33"/>
        <v>191.28264208909371</v>
      </c>
      <c r="YP24">
        <f t="shared" si="33"/>
        <v>191.321044546851</v>
      </c>
      <c r="YQ24">
        <f t="shared" si="33"/>
        <v>191.35944700460828</v>
      </c>
      <c r="YR24">
        <f t="shared" si="33"/>
        <v>191.3978494623656</v>
      </c>
      <c r="YS24">
        <f t="shared" si="33"/>
        <v>191.43625192012288</v>
      </c>
      <c r="YT24">
        <f t="shared" si="33"/>
        <v>191.4746543778802</v>
      </c>
      <c r="YU24">
        <f t="shared" si="33"/>
        <v>191.51305683563749</v>
      </c>
      <c r="YV24">
        <f t="shared" si="33"/>
        <v>191.55145929339477</v>
      </c>
      <c r="YW24">
        <f t="shared" si="33"/>
        <v>191.58986175115209</v>
      </c>
      <c r="YX24">
        <f t="shared" si="33"/>
        <v>191.62826420890937</v>
      </c>
      <c r="YY24">
        <f t="shared" si="33"/>
        <v>191.66666666666666</v>
      </c>
      <c r="YZ24">
        <f t="shared" si="33"/>
        <v>191.70506912442397</v>
      </c>
      <c r="ZA24">
        <f t="shared" si="33"/>
        <v>191.74347158218126</v>
      </c>
      <c r="ZB24">
        <f t="shared" si="33"/>
        <v>191.78187403993854</v>
      </c>
      <c r="ZC24">
        <f t="shared" si="33"/>
        <v>191.82027649769586</v>
      </c>
      <c r="ZD24">
        <f t="shared" si="33"/>
        <v>191.85867895545314</v>
      </c>
      <c r="ZE24">
        <f t="shared" si="33"/>
        <v>191.89708141321046</v>
      </c>
      <c r="ZF24">
        <f t="shared" si="33"/>
        <v>191.93548387096774</v>
      </c>
      <c r="ZG24">
        <f t="shared" si="33"/>
        <v>191.97388632872503</v>
      </c>
      <c r="ZH24">
        <f t="shared" si="33"/>
        <v>192.01228878648234</v>
      </c>
      <c r="ZI24">
        <f t="shared" si="33"/>
        <v>192.05069124423963</v>
      </c>
      <c r="ZJ24">
        <f t="shared" si="33"/>
        <v>192.08909370199694</v>
      </c>
      <c r="ZK24">
        <f t="shared" si="33"/>
        <v>192.12749615975423</v>
      </c>
      <c r="ZL24">
        <f t="shared" si="33"/>
        <v>192.16589861751152</v>
      </c>
      <c r="ZM24">
        <f t="shared" si="33"/>
        <v>192.20430107526883</v>
      </c>
      <c r="ZN24">
        <f t="shared" si="33"/>
        <v>192.24270353302612</v>
      </c>
      <c r="ZO24">
        <f t="shared" ref="ZO24:ABZ24" si="34">175+25/(891-240)*(COLUMN()-241)</f>
        <v>192.2811059907834</v>
      </c>
      <c r="ZP24">
        <f t="shared" si="34"/>
        <v>192.31950844854072</v>
      </c>
      <c r="ZQ24">
        <f t="shared" si="34"/>
        <v>192.357910906298</v>
      </c>
      <c r="ZR24">
        <f t="shared" si="34"/>
        <v>192.39631336405529</v>
      </c>
      <c r="ZS24">
        <f t="shared" si="34"/>
        <v>192.4347158218126</v>
      </c>
      <c r="ZT24">
        <f t="shared" si="34"/>
        <v>192.47311827956989</v>
      </c>
      <c r="ZU24">
        <f t="shared" si="34"/>
        <v>192.5115207373272</v>
      </c>
      <c r="ZV24">
        <f t="shared" si="34"/>
        <v>192.54992319508449</v>
      </c>
      <c r="ZW24">
        <f t="shared" si="34"/>
        <v>192.58832565284177</v>
      </c>
      <c r="ZX24">
        <f t="shared" si="34"/>
        <v>192.62672811059909</v>
      </c>
      <c r="ZY24">
        <f t="shared" si="34"/>
        <v>192.66513056835637</v>
      </c>
      <c r="ZZ24">
        <f t="shared" si="34"/>
        <v>192.70353302611366</v>
      </c>
      <c r="AAA24">
        <f t="shared" si="34"/>
        <v>192.74193548387098</v>
      </c>
      <c r="AAB24">
        <f t="shared" si="34"/>
        <v>192.78033794162826</v>
      </c>
      <c r="AAC24">
        <f t="shared" si="34"/>
        <v>192.81874039938555</v>
      </c>
      <c r="AAD24">
        <f t="shared" si="34"/>
        <v>192.85714285714286</v>
      </c>
      <c r="AAE24">
        <f t="shared" si="34"/>
        <v>192.89554531490015</v>
      </c>
      <c r="AAF24">
        <f t="shared" si="34"/>
        <v>192.93394777265746</v>
      </c>
      <c r="AAG24">
        <f t="shared" si="34"/>
        <v>192.97235023041475</v>
      </c>
      <c r="AAH24">
        <f t="shared" si="34"/>
        <v>193.01075268817203</v>
      </c>
      <c r="AAI24">
        <f t="shared" si="34"/>
        <v>193.04915514592935</v>
      </c>
      <c r="AAJ24">
        <f t="shared" si="34"/>
        <v>193.08755760368663</v>
      </c>
      <c r="AAK24">
        <f t="shared" si="34"/>
        <v>193.12596006144395</v>
      </c>
      <c r="AAL24">
        <f t="shared" si="34"/>
        <v>193.16436251920123</v>
      </c>
      <c r="AAM24">
        <f t="shared" si="34"/>
        <v>193.20276497695852</v>
      </c>
      <c r="AAN24">
        <f t="shared" si="34"/>
        <v>193.24116743471583</v>
      </c>
      <c r="AAO24">
        <f t="shared" si="34"/>
        <v>193.27956989247312</v>
      </c>
      <c r="AAP24">
        <f t="shared" si="34"/>
        <v>193.31797235023041</v>
      </c>
      <c r="AAQ24">
        <f t="shared" si="34"/>
        <v>193.35637480798772</v>
      </c>
      <c r="AAR24">
        <f t="shared" si="34"/>
        <v>193.39477726574501</v>
      </c>
      <c r="AAS24">
        <f t="shared" si="34"/>
        <v>193.43317972350229</v>
      </c>
      <c r="AAT24">
        <f t="shared" si="34"/>
        <v>193.47158218125961</v>
      </c>
      <c r="AAU24">
        <f t="shared" si="34"/>
        <v>193.50998463901689</v>
      </c>
      <c r="AAV24">
        <f t="shared" si="34"/>
        <v>193.54838709677421</v>
      </c>
      <c r="AAW24">
        <f t="shared" si="34"/>
        <v>193.58678955453149</v>
      </c>
      <c r="AAX24">
        <f t="shared" si="34"/>
        <v>193.62519201228878</v>
      </c>
      <c r="AAY24">
        <f t="shared" si="34"/>
        <v>193.66359447004609</v>
      </c>
      <c r="AAZ24">
        <f t="shared" si="34"/>
        <v>193.70199692780338</v>
      </c>
      <c r="ABA24">
        <f t="shared" si="34"/>
        <v>193.74039938556069</v>
      </c>
      <c r="ABB24">
        <f t="shared" si="34"/>
        <v>193.77880184331798</v>
      </c>
      <c r="ABC24">
        <f t="shared" si="34"/>
        <v>193.81720430107526</v>
      </c>
      <c r="ABD24">
        <f t="shared" si="34"/>
        <v>193.85560675883258</v>
      </c>
      <c r="ABE24">
        <f t="shared" si="34"/>
        <v>193.89400921658986</v>
      </c>
      <c r="ABF24">
        <f t="shared" si="34"/>
        <v>193.93241167434715</v>
      </c>
      <c r="ABG24">
        <f t="shared" si="34"/>
        <v>193.97081413210446</v>
      </c>
      <c r="ABH24">
        <f t="shared" si="34"/>
        <v>194.00921658986175</v>
      </c>
      <c r="ABI24">
        <f t="shared" si="34"/>
        <v>194.04761904761904</v>
      </c>
      <c r="ABJ24">
        <f t="shared" si="34"/>
        <v>194.08602150537635</v>
      </c>
      <c r="ABK24">
        <f t="shared" si="34"/>
        <v>194.12442396313364</v>
      </c>
      <c r="ABL24">
        <f t="shared" si="34"/>
        <v>194.16282642089095</v>
      </c>
      <c r="ABM24">
        <f t="shared" si="34"/>
        <v>194.20122887864824</v>
      </c>
      <c r="ABN24">
        <f t="shared" si="34"/>
        <v>194.23963133640552</v>
      </c>
      <c r="ABO24">
        <f t="shared" si="34"/>
        <v>194.27803379416284</v>
      </c>
      <c r="ABP24">
        <f t="shared" si="34"/>
        <v>194.31643625192012</v>
      </c>
      <c r="ABQ24">
        <f t="shared" si="34"/>
        <v>194.35483870967741</v>
      </c>
      <c r="ABR24">
        <f t="shared" si="34"/>
        <v>194.39324116743472</v>
      </c>
      <c r="ABS24">
        <f t="shared" si="34"/>
        <v>194.43164362519201</v>
      </c>
      <c r="ABT24">
        <f t="shared" si="34"/>
        <v>194.4700460829493</v>
      </c>
      <c r="ABU24">
        <f t="shared" si="34"/>
        <v>194.50844854070661</v>
      </c>
      <c r="ABV24">
        <f t="shared" si="34"/>
        <v>194.5468509984639</v>
      </c>
      <c r="ABW24">
        <f t="shared" si="34"/>
        <v>194.58525345622121</v>
      </c>
      <c r="ABX24">
        <f t="shared" si="34"/>
        <v>194.6236559139785</v>
      </c>
      <c r="ABY24">
        <f t="shared" si="34"/>
        <v>194.66205837173578</v>
      </c>
      <c r="ABZ24">
        <f t="shared" si="34"/>
        <v>194.7004608294931</v>
      </c>
      <c r="ACA24">
        <f t="shared" ref="ACA24:AEL24" si="35">175+25/(891-240)*(COLUMN()-241)</f>
        <v>194.73886328725038</v>
      </c>
      <c r="ACB24">
        <f t="shared" si="35"/>
        <v>194.7772657450077</v>
      </c>
      <c r="ACC24">
        <f t="shared" si="35"/>
        <v>194.81566820276498</v>
      </c>
      <c r="ACD24">
        <f t="shared" si="35"/>
        <v>194.85407066052227</v>
      </c>
      <c r="ACE24">
        <f t="shared" si="35"/>
        <v>194.89247311827958</v>
      </c>
      <c r="ACF24">
        <f t="shared" si="35"/>
        <v>194.93087557603687</v>
      </c>
      <c r="ACG24">
        <f t="shared" si="35"/>
        <v>194.96927803379415</v>
      </c>
      <c r="ACH24">
        <f t="shared" si="35"/>
        <v>195.00768049155147</v>
      </c>
      <c r="ACI24">
        <f t="shared" si="35"/>
        <v>195.04608294930875</v>
      </c>
      <c r="ACJ24">
        <f t="shared" si="35"/>
        <v>195.08448540706604</v>
      </c>
      <c r="ACK24">
        <f t="shared" si="35"/>
        <v>195.12288786482335</v>
      </c>
      <c r="ACL24">
        <f t="shared" si="35"/>
        <v>195.16129032258064</v>
      </c>
      <c r="ACM24">
        <f t="shared" si="35"/>
        <v>195.19969278033795</v>
      </c>
      <c r="ACN24">
        <f t="shared" si="35"/>
        <v>195.23809523809524</v>
      </c>
      <c r="ACO24">
        <f t="shared" si="35"/>
        <v>195.27649769585253</v>
      </c>
      <c r="ACP24">
        <f t="shared" si="35"/>
        <v>195.31490015360984</v>
      </c>
      <c r="ACQ24">
        <f t="shared" si="35"/>
        <v>195.35330261136713</v>
      </c>
      <c r="ACR24">
        <f t="shared" si="35"/>
        <v>195.39170506912444</v>
      </c>
      <c r="ACS24">
        <f t="shared" si="35"/>
        <v>195.43010752688173</v>
      </c>
      <c r="ACT24">
        <f t="shared" si="35"/>
        <v>195.46850998463901</v>
      </c>
      <c r="ACU24">
        <f t="shared" si="35"/>
        <v>195.5069124423963</v>
      </c>
      <c r="ACV24">
        <f t="shared" si="35"/>
        <v>195.54531490015361</v>
      </c>
      <c r="ACW24">
        <f t="shared" si="35"/>
        <v>195.5837173579109</v>
      </c>
      <c r="ACX24">
        <f t="shared" si="35"/>
        <v>195.62211981566821</v>
      </c>
      <c r="ACY24">
        <f t="shared" si="35"/>
        <v>195.6605222734255</v>
      </c>
      <c r="ACZ24">
        <f t="shared" si="35"/>
        <v>195.69892473118279</v>
      </c>
      <c r="ADA24">
        <f t="shared" si="35"/>
        <v>195.7373271889401</v>
      </c>
      <c r="ADB24">
        <f t="shared" si="35"/>
        <v>195.77572964669739</v>
      </c>
      <c r="ADC24">
        <f t="shared" si="35"/>
        <v>195.8141321044547</v>
      </c>
      <c r="ADD24">
        <f t="shared" si="35"/>
        <v>195.85253456221199</v>
      </c>
      <c r="ADE24">
        <f t="shared" si="35"/>
        <v>195.89093701996927</v>
      </c>
      <c r="ADF24">
        <f t="shared" si="35"/>
        <v>195.92933947772659</v>
      </c>
      <c r="ADG24">
        <f t="shared" si="35"/>
        <v>195.96774193548387</v>
      </c>
      <c r="ADH24">
        <f t="shared" si="35"/>
        <v>196.00614439324116</v>
      </c>
      <c r="ADI24">
        <f t="shared" si="35"/>
        <v>196.04454685099847</v>
      </c>
      <c r="ADJ24">
        <f t="shared" si="35"/>
        <v>196.08294930875576</v>
      </c>
      <c r="ADK24">
        <f t="shared" si="35"/>
        <v>196.12135176651304</v>
      </c>
      <c r="ADL24">
        <f t="shared" si="35"/>
        <v>196.15975422427036</v>
      </c>
      <c r="ADM24">
        <f t="shared" si="35"/>
        <v>196.19815668202764</v>
      </c>
      <c r="ADN24">
        <f t="shared" si="35"/>
        <v>196.23655913978496</v>
      </c>
      <c r="ADO24">
        <f t="shared" si="35"/>
        <v>196.27496159754224</v>
      </c>
      <c r="ADP24">
        <f t="shared" si="35"/>
        <v>196.31336405529953</v>
      </c>
      <c r="ADQ24">
        <f t="shared" si="35"/>
        <v>196.35176651305684</v>
      </c>
      <c r="ADR24">
        <f t="shared" si="35"/>
        <v>196.39016897081413</v>
      </c>
      <c r="ADS24">
        <f t="shared" si="35"/>
        <v>196.42857142857144</v>
      </c>
      <c r="ADT24">
        <f t="shared" si="35"/>
        <v>196.46697388632873</v>
      </c>
      <c r="ADU24">
        <f t="shared" si="35"/>
        <v>196.50537634408602</v>
      </c>
      <c r="ADV24">
        <f t="shared" si="35"/>
        <v>196.54377880184333</v>
      </c>
      <c r="ADW24">
        <f t="shared" si="35"/>
        <v>196.58218125960062</v>
      </c>
      <c r="ADX24">
        <f t="shared" si="35"/>
        <v>196.6205837173579</v>
      </c>
      <c r="ADY24">
        <f t="shared" si="35"/>
        <v>196.65898617511522</v>
      </c>
      <c r="ADZ24">
        <f t="shared" si="35"/>
        <v>196.6973886328725</v>
      </c>
      <c r="AEA24">
        <f t="shared" si="35"/>
        <v>196.73579109062979</v>
      </c>
      <c r="AEB24">
        <f t="shared" si="35"/>
        <v>196.7741935483871</v>
      </c>
      <c r="AEC24">
        <f t="shared" si="35"/>
        <v>196.81259600614439</v>
      </c>
      <c r="AED24">
        <f t="shared" si="35"/>
        <v>196.8509984639017</v>
      </c>
      <c r="AEE24">
        <f t="shared" si="35"/>
        <v>196.88940092165899</v>
      </c>
      <c r="AEF24">
        <f t="shared" si="35"/>
        <v>196.92780337941628</v>
      </c>
      <c r="AEG24">
        <f t="shared" si="35"/>
        <v>196.96620583717359</v>
      </c>
      <c r="AEH24">
        <f t="shared" si="35"/>
        <v>197.00460829493088</v>
      </c>
      <c r="AEI24">
        <f t="shared" si="35"/>
        <v>197.04301075268816</v>
      </c>
      <c r="AEJ24">
        <f t="shared" si="35"/>
        <v>197.08141321044548</v>
      </c>
      <c r="AEK24">
        <f t="shared" si="35"/>
        <v>197.11981566820276</v>
      </c>
      <c r="AEL24">
        <f t="shared" si="35"/>
        <v>197.15821812596005</v>
      </c>
      <c r="AEM24">
        <f t="shared" ref="AEM24:AGX24" si="36">175+25/(891-240)*(COLUMN()-241)</f>
        <v>197.19662058371736</v>
      </c>
      <c r="AEN24">
        <f t="shared" si="36"/>
        <v>197.23502304147465</v>
      </c>
      <c r="AEO24">
        <f t="shared" si="36"/>
        <v>197.27342549923196</v>
      </c>
      <c r="AEP24">
        <f t="shared" si="36"/>
        <v>197.31182795698925</v>
      </c>
      <c r="AEQ24">
        <f t="shared" si="36"/>
        <v>197.35023041474653</v>
      </c>
      <c r="AER24">
        <f t="shared" si="36"/>
        <v>197.38863287250385</v>
      </c>
      <c r="AES24">
        <f t="shared" si="36"/>
        <v>197.42703533026113</v>
      </c>
      <c r="AET24">
        <f t="shared" si="36"/>
        <v>197.46543778801845</v>
      </c>
      <c r="AEU24">
        <f t="shared" si="36"/>
        <v>197.50384024577573</v>
      </c>
      <c r="AEV24">
        <f t="shared" si="36"/>
        <v>197.54224270353302</v>
      </c>
      <c r="AEW24">
        <f t="shared" si="36"/>
        <v>197.58064516129033</v>
      </c>
      <c r="AEX24">
        <f t="shared" si="36"/>
        <v>197.61904761904762</v>
      </c>
      <c r="AEY24">
        <f t="shared" si="36"/>
        <v>197.65745007680491</v>
      </c>
      <c r="AEZ24">
        <f t="shared" si="36"/>
        <v>197.69585253456222</v>
      </c>
      <c r="AFA24">
        <f t="shared" si="36"/>
        <v>197.73425499231951</v>
      </c>
      <c r="AFB24">
        <f t="shared" si="36"/>
        <v>197.77265745007679</v>
      </c>
      <c r="AFC24">
        <f t="shared" si="36"/>
        <v>197.81105990783411</v>
      </c>
      <c r="AFD24">
        <f t="shared" si="36"/>
        <v>197.84946236559139</v>
      </c>
      <c r="AFE24">
        <f t="shared" si="36"/>
        <v>197.88786482334871</v>
      </c>
      <c r="AFF24">
        <f t="shared" si="36"/>
        <v>197.92626728110599</v>
      </c>
      <c r="AFG24">
        <f t="shared" si="36"/>
        <v>197.96466973886328</v>
      </c>
      <c r="AFH24">
        <f t="shared" si="36"/>
        <v>198.00307219662059</v>
      </c>
      <c r="AFI24">
        <f t="shared" si="36"/>
        <v>198.04147465437788</v>
      </c>
      <c r="AFJ24">
        <f t="shared" si="36"/>
        <v>198.07987711213519</v>
      </c>
      <c r="AFK24">
        <f t="shared" si="36"/>
        <v>198.11827956989248</v>
      </c>
      <c r="AFL24">
        <f t="shared" si="36"/>
        <v>198.15668202764977</v>
      </c>
      <c r="AFM24">
        <f t="shared" si="36"/>
        <v>198.19508448540708</v>
      </c>
      <c r="AFN24">
        <f t="shared" si="36"/>
        <v>198.23348694316437</v>
      </c>
      <c r="AFO24">
        <f t="shared" si="36"/>
        <v>198.27188940092165</v>
      </c>
      <c r="AFP24">
        <f t="shared" si="36"/>
        <v>198.31029185867897</v>
      </c>
      <c r="AFQ24">
        <f t="shared" si="36"/>
        <v>198.34869431643625</v>
      </c>
      <c r="AFR24">
        <f t="shared" si="36"/>
        <v>198.38709677419354</v>
      </c>
      <c r="AFS24">
        <f t="shared" si="36"/>
        <v>198.42549923195085</v>
      </c>
      <c r="AFT24">
        <f t="shared" si="36"/>
        <v>198.46390168970814</v>
      </c>
      <c r="AFU24">
        <f t="shared" si="36"/>
        <v>198.50230414746545</v>
      </c>
      <c r="AFV24">
        <f t="shared" si="36"/>
        <v>198.54070660522274</v>
      </c>
      <c r="AFW24">
        <f t="shared" si="36"/>
        <v>198.57910906298002</v>
      </c>
      <c r="AFX24">
        <f t="shared" si="36"/>
        <v>198.61751152073734</v>
      </c>
      <c r="AFY24">
        <f t="shared" si="36"/>
        <v>198.65591397849462</v>
      </c>
      <c r="AFZ24">
        <f t="shared" si="36"/>
        <v>198.69431643625191</v>
      </c>
      <c r="AGA24">
        <f t="shared" si="36"/>
        <v>198.73271889400922</v>
      </c>
      <c r="AGB24">
        <f t="shared" si="36"/>
        <v>198.77112135176651</v>
      </c>
      <c r="AGC24">
        <f t="shared" si="36"/>
        <v>198.8095238095238</v>
      </c>
      <c r="AGD24">
        <f t="shared" si="36"/>
        <v>198.84792626728111</v>
      </c>
      <c r="AGE24">
        <f t="shared" si="36"/>
        <v>198.8863287250384</v>
      </c>
      <c r="AGF24">
        <f t="shared" si="36"/>
        <v>198.92473118279571</v>
      </c>
      <c r="AGG24">
        <f t="shared" si="36"/>
        <v>198.963133640553</v>
      </c>
      <c r="AGH24">
        <f t="shared" si="36"/>
        <v>199.00153609831028</v>
      </c>
      <c r="AGI24">
        <f t="shared" si="36"/>
        <v>199.0399385560676</v>
      </c>
      <c r="AGJ24">
        <f t="shared" si="36"/>
        <v>199.07834101382488</v>
      </c>
      <c r="AGK24">
        <f t="shared" si="36"/>
        <v>199.1167434715822</v>
      </c>
      <c r="AGL24">
        <f t="shared" si="36"/>
        <v>199.15514592933948</v>
      </c>
      <c r="AGM24">
        <f t="shared" si="36"/>
        <v>199.19354838709677</v>
      </c>
      <c r="AGN24">
        <f t="shared" si="36"/>
        <v>199.23195084485408</v>
      </c>
      <c r="AGO24">
        <f t="shared" si="36"/>
        <v>199.27035330261137</v>
      </c>
      <c r="AGP24">
        <f t="shared" si="36"/>
        <v>199.30875576036865</v>
      </c>
      <c r="AGQ24">
        <f t="shared" si="36"/>
        <v>199.34715821812597</v>
      </c>
      <c r="AGR24">
        <f t="shared" si="36"/>
        <v>199.38556067588326</v>
      </c>
      <c r="AGS24">
        <f t="shared" si="36"/>
        <v>199.42396313364054</v>
      </c>
      <c r="AGT24">
        <f t="shared" si="36"/>
        <v>199.46236559139786</v>
      </c>
      <c r="AGU24">
        <f t="shared" si="36"/>
        <v>199.50076804915514</v>
      </c>
      <c r="AGV24">
        <f t="shared" si="36"/>
        <v>199.53917050691246</v>
      </c>
      <c r="AGW24">
        <f t="shared" si="36"/>
        <v>199.57757296466974</v>
      </c>
      <c r="AGX24">
        <f t="shared" si="36"/>
        <v>199.61597542242703</v>
      </c>
      <c r="AGY24">
        <f t="shared" ref="AGY24:AHG24" si="37">175+25/(891-240)*(COLUMN()-241)</f>
        <v>199.65437788018434</v>
      </c>
      <c r="AGZ24">
        <f t="shared" si="37"/>
        <v>199.69278033794163</v>
      </c>
      <c r="AHA24">
        <f t="shared" si="37"/>
        <v>199.73118279569894</v>
      </c>
      <c r="AHB24">
        <f t="shared" si="37"/>
        <v>199.76958525345623</v>
      </c>
      <c r="AHC24">
        <f t="shared" si="37"/>
        <v>199.80798771121351</v>
      </c>
      <c r="AHD24">
        <f t="shared" si="37"/>
        <v>199.84639016897083</v>
      </c>
      <c r="AHE24">
        <f t="shared" si="37"/>
        <v>199.88479262672811</v>
      </c>
      <c r="AHF24">
        <f t="shared" si="37"/>
        <v>199.9231950844854</v>
      </c>
      <c r="AHG24">
        <f t="shared" si="37"/>
        <v>199.96159754224271</v>
      </c>
      <c r="AHH24">
        <v>200</v>
      </c>
    </row>
    <row r="25" spans="1:892" x14ac:dyDescent="0.2">
      <c r="A25">
        <v>111</v>
      </c>
      <c r="B25">
        <v>90</v>
      </c>
      <c r="C25">
        <v>90.201342280000006</v>
      </c>
      <c r="D25">
        <v>90.402684559999997</v>
      </c>
      <c r="E25">
        <v>90.604026849999997</v>
      </c>
      <c r="F25">
        <v>90.805369130000003</v>
      </c>
      <c r="G25">
        <v>91.006711409999994</v>
      </c>
      <c r="H25">
        <v>91.20805369</v>
      </c>
      <c r="I25">
        <v>91.409395970000006</v>
      </c>
      <c r="J25">
        <v>91.610738260000005</v>
      </c>
      <c r="K25">
        <v>91.812080539999997</v>
      </c>
      <c r="L25">
        <v>92.013422820000002</v>
      </c>
      <c r="M25">
        <v>92.214765099999994</v>
      </c>
      <c r="N25">
        <v>92.41610738</v>
      </c>
      <c r="O25">
        <v>92.617449660000005</v>
      </c>
      <c r="P25">
        <v>92.818791950000005</v>
      </c>
      <c r="Q25">
        <v>93.020134229999996</v>
      </c>
      <c r="R25">
        <v>93.221476510000002</v>
      </c>
      <c r="S25">
        <v>93.422818789999994</v>
      </c>
      <c r="T25">
        <v>93.62416107</v>
      </c>
      <c r="U25">
        <v>93.825503359999999</v>
      </c>
      <c r="V25">
        <v>94.026845640000005</v>
      </c>
      <c r="W25">
        <v>94.228187919999996</v>
      </c>
      <c r="X25">
        <v>94.429530200000002</v>
      </c>
      <c r="Y25">
        <v>94.630872479999994</v>
      </c>
      <c r="Z25">
        <v>94.832214769999993</v>
      </c>
      <c r="AA25">
        <v>95.033557049999999</v>
      </c>
      <c r="AB25">
        <v>95.234899330000005</v>
      </c>
      <c r="AC25">
        <v>95.436241609999996</v>
      </c>
      <c r="AD25">
        <v>95.637583890000002</v>
      </c>
      <c r="AE25">
        <v>95.838926169999993</v>
      </c>
      <c r="AF25">
        <v>96.040268459999993</v>
      </c>
      <c r="AG25">
        <v>96.241610739999999</v>
      </c>
      <c r="AH25">
        <v>96.442953020000004</v>
      </c>
      <c r="AI25">
        <v>96.644295299999996</v>
      </c>
      <c r="AJ25">
        <v>96.845637580000002</v>
      </c>
      <c r="AK25">
        <v>97.046979870000001</v>
      </c>
      <c r="AL25">
        <v>97.248322150000007</v>
      </c>
      <c r="AM25">
        <v>97.449664429999999</v>
      </c>
      <c r="AN25">
        <v>97.651006710000004</v>
      </c>
      <c r="AO25">
        <v>97.852348989999996</v>
      </c>
      <c r="AP25">
        <v>98.053691279999995</v>
      </c>
      <c r="AQ25">
        <v>98.255033560000001</v>
      </c>
      <c r="AR25">
        <v>98.456375840000007</v>
      </c>
      <c r="AS25">
        <v>98.657718119999998</v>
      </c>
      <c r="AT25">
        <v>98.859060400000004</v>
      </c>
      <c r="AU25">
        <v>99.060402679999996</v>
      </c>
      <c r="AV25">
        <v>99.261744969999995</v>
      </c>
      <c r="AW25">
        <v>99.463087250000001</v>
      </c>
      <c r="AX25">
        <v>99.664429530000007</v>
      </c>
      <c r="AY25">
        <v>99.865771809999998</v>
      </c>
      <c r="AZ25">
        <v>100.0671141</v>
      </c>
      <c r="BA25">
        <v>100.26845640000001</v>
      </c>
      <c r="BB25">
        <v>100.4697987</v>
      </c>
      <c r="BC25">
        <v>100.6711409</v>
      </c>
      <c r="BD25">
        <v>100.8724832</v>
      </c>
      <c r="BE25">
        <v>101.0738255</v>
      </c>
      <c r="BF25">
        <v>101.27516780000001</v>
      </c>
      <c r="BG25">
        <v>101.4765101</v>
      </c>
      <c r="BH25">
        <v>101.6778523</v>
      </c>
      <c r="BI25">
        <v>101.87919460000001</v>
      </c>
      <c r="BJ25">
        <v>102.0805369</v>
      </c>
      <c r="BK25">
        <v>102.28187920000001</v>
      </c>
      <c r="BL25">
        <v>102.4832215</v>
      </c>
      <c r="BM25">
        <v>102.68456380000001</v>
      </c>
      <c r="BN25">
        <v>102.88590600000001</v>
      </c>
      <c r="BO25">
        <v>103.0872483</v>
      </c>
      <c r="BP25">
        <v>103.28859060000001</v>
      </c>
      <c r="BQ25">
        <v>103.4899329</v>
      </c>
      <c r="BR25">
        <v>103.69127520000001</v>
      </c>
      <c r="BS25">
        <v>103.89261740000001</v>
      </c>
      <c r="BT25">
        <v>104.0939597</v>
      </c>
      <c r="BU25">
        <v>104.29530200000001</v>
      </c>
      <c r="BV25">
        <v>104.4966443</v>
      </c>
      <c r="BW25">
        <v>104.69798659999999</v>
      </c>
      <c r="BX25">
        <v>104.8993289</v>
      </c>
      <c r="BY25">
        <v>105.1006711</v>
      </c>
      <c r="BZ25">
        <v>105.30201340000001</v>
      </c>
      <c r="CA25">
        <v>105.5033557</v>
      </c>
      <c r="CB25">
        <v>105.70469799999999</v>
      </c>
      <c r="CC25">
        <v>105.9060403</v>
      </c>
      <c r="CD25">
        <v>106.10738259999999</v>
      </c>
      <c r="CE25">
        <v>106.30872479999999</v>
      </c>
      <c r="CF25">
        <v>106.5100671</v>
      </c>
      <c r="CG25">
        <v>106.71140939999999</v>
      </c>
      <c r="CH25">
        <v>106.9127517</v>
      </c>
      <c r="CI25">
        <v>107.11409399999999</v>
      </c>
      <c r="CJ25">
        <v>107.31543619999999</v>
      </c>
      <c r="CK25">
        <v>107.5167785</v>
      </c>
      <c r="CL25">
        <v>107.71812079999999</v>
      </c>
      <c r="CM25">
        <v>107.9194631</v>
      </c>
      <c r="CN25">
        <v>108.12080539999999</v>
      </c>
      <c r="CO25">
        <v>108.3221477</v>
      </c>
      <c r="CP25">
        <v>108.5234899</v>
      </c>
      <c r="CQ25">
        <v>108.72483219999999</v>
      </c>
      <c r="CR25">
        <v>108.9261745</v>
      </c>
      <c r="CS25">
        <v>109.1275168</v>
      </c>
      <c r="CT25">
        <v>109.3288591</v>
      </c>
      <c r="CU25">
        <v>109.5302013</v>
      </c>
      <c r="CV25">
        <v>109.73154359999999</v>
      </c>
      <c r="EU25">
        <v>120</v>
      </c>
      <c r="GI25">
        <v>160</v>
      </c>
      <c r="IG25">
        <v>175</v>
      </c>
      <c r="AHH25">
        <v>200</v>
      </c>
    </row>
    <row r="26" spans="1:892" x14ac:dyDescent="0.2">
      <c r="A26">
        <v>112</v>
      </c>
      <c r="B26">
        <v>90</v>
      </c>
      <c r="C26">
        <v>90.201342280000006</v>
      </c>
      <c r="D26">
        <v>90.402684559999997</v>
      </c>
      <c r="E26">
        <v>90.604026849999997</v>
      </c>
      <c r="F26">
        <v>90.805369130000003</v>
      </c>
      <c r="G26">
        <v>91.006711409999994</v>
      </c>
      <c r="H26">
        <v>91.20805369</v>
      </c>
      <c r="I26">
        <v>91.409395970000006</v>
      </c>
      <c r="J26">
        <v>91.610738260000005</v>
      </c>
      <c r="K26">
        <v>91.812080539999997</v>
      </c>
      <c r="L26">
        <v>92.013422820000002</v>
      </c>
      <c r="M26">
        <v>92.214765099999994</v>
      </c>
      <c r="N26">
        <v>92.41610738</v>
      </c>
      <c r="O26">
        <v>92.617449660000005</v>
      </c>
      <c r="P26">
        <v>92.818791950000005</v>
      </c>
      <c r="Q26">
        <v>93.020134229999996</v>
      </c>
      <c r="R26">
        <v>93.221476510000002</v>
      </c>
      <c r="S26">
        <v>93.422818789999994</v>
      </c>
      <c r="T26">
        <v>93.62416107</v>
      </c>
      <c r="U26">
        <v>93.825503359999999</v>
      </c>
      <c r="V26">
        <v>94.026845640000005</v>
      </c>
      <c r="W26">
        <v>94.228187919999996</v>
      </c>
      <c r="X26">
        <v>94.429530200000002</v>
      </c>
      <c r="Y26">
        <v>94.630872479999994</v>
      </c>
      <c r="Z26">
        <v>94.832214769999993</v>
      </c>
      <c r="AA26">
        <v>95.033557049999999</v>
      </c>
      <c r="AB26">
        <v>95.234899330000005</v>
      </c>
      <c r="AC26">
        <v>95.436241609999996</v>
      </c>
      <c r="AD26">
        <v>95.637583890000002</v>
      </c>
      <c r="AE26">
        <v>95.838926169999993</v>
      </c>
      <c r="AF26">
        <v>96.040268459999993</v>
      </c>
      <c r="AG26">
        <v>96.241610739999999</v>
      </c>
      <c r="AH26">
        <v>96.442953020000004</v>
      </c>
      <c r="AI26">
        <v>96.644295299999996</v>
      </c>
      <c r="AJ26">
        <v>96.845637580000002</v>
      </c>
      <c r="AK26">
        <v>97.046979870000001</v>
      </c>
      <c r="AL26">
        <v>97.248322150000007</v>
      </c>
      <c r="AM26">
        <v>97.449664429999999</v>
      </c>
      <c r="AN26">
        <v>97.651006710000004</v>
      </c>
      <c r="AO26">
        <v>97.852348989999996</v>
      </c>
      <c r="AP26">
        <v>98.053691279999995</v>
      </c>
      <c r="AQ26">
        <v>98.255033560000001</v>
      </c>
      <c r="AR26">
        <v>98.456375840000007</v>
      </c>
      <c r="AS26">
        <v>98.657718119999998</v>
      </c>
      <c r="AT26">
        <v>98.859060400000004</v>
      </c>
      <c r="AU26">
        <v>99.060402679999996</v>
      </c>
      <c r="AV26">
        <v>99.261744969999995</v>
      </c>
      <c r="AW26">
        <v>99.463087250000001</v>
      </c>
      <c r="AX26">
        <v>99.664429530000007</v>
      </c>
      <c r="AY26">
        <v>99.865771809999998</v>
      </c>
      <c r="AZ26">
        <v>100.0671141</v>
      </c>
      <c r="BA26">
        <v>100.26845640000001</v>
      </c>
      <c r="BB26">
        <v>100.4697987</v>
      </c>
      <c r="BC26">
        <v>100.6711409</v>
      </c>
      <c r="BD26">
        <v>100.8724832</v>
      </c>
      <c r="BE26">
        <v>101.0738255</v>
      </c>
      <c r="BF26">
        <v>101.27516780000001</v>
      </c>
      <c r="BG26">
        <v>101.4765101</v>
      </c>
      <c r="BH26">
        <v>101.6778523</v>
      </c>
      <c r="BI26">
        <v>101.87919460000001</v>
      </c>
      <c r="BJ26">
        <v>102.0805369</v>
      </c>
      <c r="BK26">
        <v>102.28187920000001</v>
      </c>
      <c r="BL26">
        <v>102.4832215</v>
      </c>
      <c r="BM26">
        <v>102.68456380000001</v>
      </c>
      <c r="BN26">
        <v>102.88590600000001</v>
      </c>
      <c r="BO26">
        <v>103.0872483</v>
      </c>
      <c r="BP26">
        <v>103.28859060000001</v>
      </c>
      <c r="BQ26">
        <v>103.4899329</v>
      </c>
      <c r="BR26">
        <v>103.69127520000001</v>
      </c>
      <c r="BS26">
        <v>103.89261740000001</v>
      </c>
      <c r="BT26">
        <v>104.0939597</v>
      </c>
      <c r="BU26">
        <v>104.29530200000001</v>
      </c>
      <c r="BV26">
        <v>104.4966443</v>
      </c>
      <c r="BW26">
        <v>104.69798659999999</v>
      </c>
      <c r="BX26">
        <v>104.8993289</v>
      </c>
      <c r="BY26">
        <v>105.1006711</v>
      </c>
      <c r="BZ26">
        <v>105.30201340000001</v>
      </c>
      <c r="CA26">
        <v>105.5033557</v>
      </c>
      <c r="CB26">
        <v>105.70469799999999</v>
      </c>
      <c r="CC26">
        <v>105.9060403</v>
      </c>
      <c r="CD26">
        <v>106.10738259999999</v>
      </c>
      <c r="CE26">
        <v>106.30872479999999</v>
      </c>
      <c r="CF26">
        <v>106.5100671</v>
      </c>
      <c r="CG26">
        <v>106.71140939999999</v>
      </c>
      <c r="CH26">
        <v>106.9127517</v>
      </c>
      <c r="CI26">
        <v>107.11409399999999</v>
      </c>
      <c r="CJ26">
        <v>107.31543619999999</v>
      </c>
      <c r="CK26">
        <v>107.5167785</v>
      </c>
      <c r="CL26">
        <v>107.71812079999999</v>
      </c>
      <c r="CM26">
        <v>107.9194631</v>
      </c>
      <c r="CN26">
        <v>108.12080539999999</v>
      </c>
      <c r="CO26">
        <v>108.3221477</v>
      </c>
      <c r="CP26">
        <v>108.5234899</v>
      </c>
      <c r="CQ26">
        <v>108.72483219999999</v>
      </c>
      <c r="CR26">
        <v>108.9261745</v>
      </c>
      <c r="CS26">
        <v>109.1275168</v>
      </c>
      <c r="CT26">
        <v>109.3288591</v>
      </c>
      <c r="CU26">
        <v>109.5302013</v>
      </c>
      <c r="CV26">
        <v>109.73154359999999</v>
      </c>
      <c r="EU26">
        <v>120</v>
      </c>
      <c r="GI26">
        <v>160</v>
      </c>
      <c r="IG26">
        <v>175</v>
      </c>
      <c r="AHH26">
        <v>200</v>
      </c>
    </row>
    <row r="27" spans="1:892" x14ac:dyDescent="0.2">
      <c r="A27">
        <v>113</v>
      </c>
      <c r="B27">
        <v>90</v>
      </c>
      <c r="C27">
        <v>90.201342280000006</v>
      </c>
      <c r="D27">
        <v>90.402684559999997</v>
      </c>
      <c r="E27">
        <v>90.604026849999997</v>
      </c>
      <c r="F27">
        <v>90.805369130000003</v>
      </c>
      <c r="G27">
        <v>91.006711409999994</v>
      </c>
      <c r="H27">
        <v>91.20805369</v>
      </c>
      <c r="I27">
        <v>91.409395970000006</v>
      </c>
      <c r="J27">
        <v>91.610738260000005</v>
      </c>
      <c r="K27">
        <v>91.812080539999997</v>
      </c>
      <c r="L27">
        <v>92.013422820000002</v>
      </c>
      <c r="M27">
        <v>92.214765099999994</v>
      </c>
      <c r="N27">
        <v>92.41610738</v>
      </c>
      <c r="O27">
        <v>92.617449660000005</v>
      </c>
      <c r="P27">
        <v>92.818791950000005</v>
      </c>
      <c r="Q27">
        <v>93.020134229999996</v>
      </c>
      <c r="R27">
        <v>93.221476510000002</v>
      </c>
      <c r="S27">
        <v>93.422818789999994</v>
      </c>
      <c r="T27">
        <v>93.62416107</v>
      </c>
      <c r="U27">
        <v>93.825503359999999</v>
      </c>
      <c r="V27">
        <v>94.026845640000005</v>
      </c>
      <c r="W27">
        <v>94.228187919999996</v>
      </c>
      <c r="X27">
        <v>94.429530200000002</v>
      </c>
      <c r="Y27">
        <v>94.630872479999994</v>
      </c>
      <c r="Z27">
        <v>94.832214769999993</v>
      </c>
      <c r="AA27">
        <v>95.033557049999999</v>
      </c>
      <c r="AB27">
        <v>95.234899330000005</v>
      </c>
      <c r="AC27">
        <v>95.436241609999996</v>
      </c>
      <c r="AD27">
        <v>95.637583890000002</v>
      </c>
      <c r="AE27">
        <v>95.838926169999993</v>
      </c>
      <c r="AF27">
        <v>96.040268459999993</v>
      </c>
      <c r="AG27">
        <v>96.241610739999999</v>
      </c>
      <c r="AH27">
        <v>96.442953020000004</v>
      </c>
      <c r="AI27">
        <v>96.644295299999996</v>
      </c>
      <c r="AJ27">
        <v>96.845637580000002</v>
      </c>
      <c r="AK27">
        <v>97.046979870000001</v>
      </c>
      <c r="AL27">
        <v>97.248322150000007</v>
      </c>
      <c r="AM27">
        <v>97.449664429999999</v>
      </c>
      <c r="AN27">
        <v>97.651006710000004</v>
      </c>
      <c r="AO27">
        <v>97.852348989999996</v>
      </c>
      <c r="AP27">
        <v>98.053691279999995</v>
      </c>
      <c r="AQ27">
        <v>98.255033560000001</v>
      </c>
      <c r="AR27">
        <v>98.456375840000007</v>
      </c>
      <c r="AS27">
        <v>98.657718119999998</v>
      </c>
      <c r="AT27">
        <v>98.859060400000004</v>
      </c>
      <c r="AU27">
        <v>99.060402679999996</v>
      </c>
      <c r="AV27">
        <v>99.261744969999995</v>
      </c>
      <c r="AW27">
        <v>99.463087250000001</v>
      </c>
      <c r="AX27">
        <v>99.664429530000007</v>
      </c>
      <c r="AY27">
        <v>99.865771809999998</v>
      </c>
      <c r="AZ27">
        <v>100.0671141</v>
      </c>
      <c r="BA27">
        <v>100.26845640000001</v>
      </c>
      <c r="BB27">
        <v>100.4697987</v>
      </c>
      <c r="BC27">
        <v>100.6711409</v>
      </c>
      <c r="BD27">
        <v>100.8724832</v>
      </c>
      <c r="BE27">
        <v>101.0738255</v>
      </c>
      <c r="BF27">
        <v>101.27516780000001</v>
      </c>
      <c r="BG27">
        <v>101.4765101</v>
      </c>
      <c r="BH27">
        <v>101.6778523</v>
      </c>
      <c r="BI27">
        <v>101.87919460000001</v>
      </c>
      <c r="BJ27">
        <v>102.0805369</v>
      </c>
      <c r="BK27">
        <v>102.28187920000001</v>
      </c>
      <c r="BL27">
        <v>102.4832215</v>
      </c>
      <c r="BM27">
        <v>102.68456380000001</v>
      </c>
      <c r="BN27">
        <v>102.88590600000001</v>
      </c>
      <c r="BO27">
        <v>103.0872483</v>
      </c>
      <c r="BP27">
        <v>103.28859060000001</v>
      </c>
      <c r="BQ27">
        <v>103.4899329</v>
      </c>
      <c r="BR27">
        <v>103.69127520000001</v>
      </c>
      <c r="BS27">
        <v>103.89261740000001</v>
      </c>
      <c r="BT27">
        <v>104.0939597</v>
      </c>
      <c r="BU27">
        <v>104.29530200000001</v>
      </c>
      <c r="BV27">
        <v>104.4966443</v>
      </c>
      <c r="BW27">
        <v>104.69798659999999</v>
      </c>
      <c r="BX27">
        <v>104.8993289</v>
      </c>
      <c r="BY27">
        <v>105.1006711</v>
      </c>
      <c r="BZ27">
        <v>105.30201340000001</v>
      </c>
      <c r="CA27">
        <v>105.5033557</v>
      </c>
      <c r="CB27">
        <v>105.70469799999999</v>
      </c>
      <c r="CC27">
        <v>105.9060403</v>
      </c>
      <c r="CD27">
        <v>106.10738259999999</v>
      </c>
      <c r="CE27">
        <v>106.30872479999999</v>
      </c>
      <c r="CF27">
        <v>106.5100671</v>
      </c>
      <c r="CG27">
        <v>106.71140939999999</v>
      </c>
      <c r="CH27">
        <v>106.9127517</v>
      </c>
      <c r="CI27">
        <v>107.11409399999999</v>
      </c>
      <c r="CJ27">
        <v>107.31543619999999</v>
      </c>
      <c r="CK27">
        <v>107.5167785</v>
      </c>
      <c r="CL27">
        <v>107.71812079999999</v>
      </c>
      <c r="CM27">
        <v>107.9194631</v>
      </c>
      <c r="CN27">
        <v>108.12080539999999</v>
      </c>
      <c r="CO27">
        <v>108.3221477</v>
      </c>
      <c r="CP27">
        <v>108.5234899</v>
      </c>
      <c r="CQ27">
        <v>108.72483219999999</v>
      </c>
      <c r="CR27">
        <v>108.9261745</v>
      </c>
      <c r="CS27">
        <v>109.1275168</v>
      </c>
      <c r="CT27">
        <v>109.3288591</v>
      </c>
      <c r="CU27">
        <v>109.5302013</v>
      </c>
      <c r="CV27">
        <v>109.73154359999999</v>
      </c>
      <c r="EU27">
        <v>120</v>
      </c>
      <c r="GI27">
        <v>160</v>
      </c>
      <c r="IG27">
        <v>175</v>
      </c>
      <c r="AHH27">
        <v>200</v>
      </c>
    </row>
    <row r="28" spans="1:892" x14ac:dyDescent="0.2">
      <c r="A28">
        <v>114</v>
      </c>
      <c r="B28">
        <v>90</v>
      </c>
      <c r="C28">
        <v>90.201342280000006</v>
      </c>
      <c r="D28">
        <v>90.402684559999997</v>
      </c>
      <c r="E28">
        <v>90.604026849999997</v>
      </c>
      <c r="F28">
        <v>90.805369130000003</v>
      </c>
      <c r="G28">
        <v>91.006711409999994</v>
      </c>
      <c r="H28">
        <v>91.20805369</v>
      </c>
      <c r="I28">
        <v>91.409395970000006</v>
      </c>
      <c r="J28">
        <v>91.610738260000005</v>
      </c>
      <c r="K28">
        <v>91.812080539999997</v>
      </c>
      <c r="L28">
        <v>92.013422820000002</v>
      </c>
      <c r="M28">
        <v>92.214765099999994</v>
      </c>
      <c r="N28">
        <v>92.41610738</v>
      </c>
      <c r="O28">
        <v>92.617449660000005</v>
      </c>
      <c r="P28">
        <v>92.818791950000005</v>
      </c>
      <c r="Q28">
        <v>93.020134229999996</v>
      </c>
      <c r="R28">
        <v>93.221476510000002</v>
      </c>
      <c r="S28">
        <v>93.422818789999994</v>
      </c>
      <c r="T28">
        <v>93.62416107</v>
      </c>
      <c r="U28">
        <v>93.825503359999999</v>
      </c>
      <c r="V28">
        <v>94.026845640000005</v>
      </c>
      <c r="W28">
        <v>94.228187919999996</v>
      </c>
      <c r="X28">
        <v>94.429530200000002</v>
      </c>
      <c r="Y28">
        <v>94.630872479999994</v>
      </c>
      <c r="Z28">
        <v>94.832214769999993</v>
      </c>
      <c r="AA28">
        <v>95.033557049999999</v>
      </c>
      <c r="AB28">
        <v>95.234899330000005</v>
      </c>
      <c r="AC28">
        <v>95.436241609999996</v>
      </c>
      <c r="AD28">
        <v>95.637583890000002</v>
      </c>
      <c r="AE28">
        <v>95.838926169999993</v>
      </c>
      <c r="AF28">
        <v>96.040268459999993</v>
      </c>
      <c r="AG28">
        <v>96.241610739999999</v>
      </c>
      <c r="AH28">
        <v>96.442953020000004</v>
      </c>
      <c r="AI28">
        <v>96.644295299999996</v>
      </c>
      <c r="AJ28">
        <v>96.845637580000002</v>
      </c>
      <c r="AK28">
        <v>97.046979870000001</v>
      </c>
      <c r="AL28">
        <v>97.248322150000007</v>
      </c>
      <c r="AM28">
        <v>97.449664429999999</v>
      </c>
      <c r="AN28">
        <v>97.651006710000004</v>
      </c>
      <c r="AO28">
        <v>97.852348989999996</v>
      </c>
      <c r="AP28">
        <v>98.053691279999995</v>
      </c>
      <c r="AQ28">
        <v>98.255033560000001</v>
      </c>
      <c r="AR28">
        <v>98.456375840000007</v>
      </c>
      <c r="AS28">
        <v>98.657718119999998</v>
      </c>
      <c r="AT28">
        <v>98.859060400000004</v>
      </c>
      <c r="AU28">
        <v>99.060402679999996</v>
      </c>
      <c r="AV28">
        <v>99.261744969999995</v>
      </c>
      <c r="AW28">
        <v>99.463087250000001</v>
      </c>
      <c r="AX28">
        <v>99.664429530000007</v>
      </c>
      <c r="AY28">
        <v>99.865771809999998</v>
      </c>
      <c r="AZ28">
        <v>100.0671141</v>
      </c>
      <c r="BA28">
        <v>100.26845640000001</v>
      </c>
      <c r="BB28">
        <v>100.4697987</v>
      </c>
      <c r="BC28">
        <v>100.6711409</v>
      </c>
      <c r="BD28">
        <v>100.8724832</v>
      </c>
      <c r="BE28">
        <v>101.0738255</v>
      </c>
      <c r="BF28">
        <v>101.27516780000001</v>
      </c>
      <c r="BG28">
        <v>101.4765101</v>
      </c>
      <c r="BH28">
        <v>101.6778523</v>
      </c>
      <c r="BI28">
        <v>101.87919460000001</v>
      </c>
      <c r="BJ28">
        <v>102.0805369</v>
      </c>
      <c r="BK28">
        <v>102.28187920000001</v>
      </c>
      <c r="BL28">
        <v>102.4832215</v>
      </c>
      <c r="BM28">
        <v>102.68456380000001</v>
      </c>
      <c r="BN28">
        <v>102.88590600000001</v>
      </c>
      <c r="BO28">
        <v>103.0872483</v>
      </c>
      <c r="BP28">
        <v>103.28859060000001</v>
      </c>
      <c r="BQ28">
        <v>103.4899329</v>
      </c>
      <c r="BR28">
        <v>103.69127520000001</v>
      </c>
      <c r="BS28">
        <v>103.89261740000001</v>
      </c>
      <c r="BT28">
        <v>104.0939597</v>
      </c>
      <c r="BU28">
        <v>104.29530200000001</v>
      </c>
      <c r="BV28">
        <v>104.4966443</v>
      </c>
      <c r="BW28">
        <v>104.69798659999999</v>
      </c>
      <c r="BX28">
        <v>104.8993289</v>
      </c>
      <c r="BY28">
        <v>105.1006711</v>
      </c>
      <c r="BZ28">
        <v>105.30201340000001</v>
      </c>
      <c r="CA28">
        <v>105.5033557</v>
      </c>
      <c r="CB28">
        <v>105.70469799999999</v>
      </c>
      <c r="CC28">
        <v>105.9060403</v>
      </c>
      <c r="CD28">
        <v>106.10738259999999</v>
      </c>
      <c r="CE28">
        <v>106.30872479999999</v>
      </c>
      <c r="CF28">
        <v>106.5100671</v>
      </c>
      <c r="CG28">
        <v>106.71140939999999</v>
      </c>
      <c r="CH28">
        <v>106.9127517</v>
      </c>
      <c r="CI28">
        <v>107.11409399999999</v>
      </c>
      <c r="CJ28">
        <v>107.31543619999999</v>
      </c>
      <c r="CK28">
        <v>107.5167785</v>
      </c>
      <c r="CL28">
        <v>107.71812079999999</v>
      </c>
      <c r="CM28">
        <v>107.9194631</v>
      </c>
      <c r="CN28">
        <v>108.12080539999999</v>
      </c>
      <c r="CO28">
        <v>108.3221477</v>
      </c>
      <c r="CP28">
        <v>108.5234899</v>
      </c>
      <c r="CQ28">
        <v>108.72483219999999</v>
      </c>
      <c r="CR28">
        <v>108.9261745</v>
      </c>
      <c r="CS28">
        <v>109.1275168</v>
      </c>
      <c r="CT28">
        <v>109.3288591</v>
      </c>
      <c r="CU28">
        <v>109.5302013</v>
      </c>
      <c r="CV28">
        <v>109.73154359999999</v>
      </c>
      <c r="GI28">
        <v>160</v>
      </c>
      <c r="IG28">
        <v>175</v>
      </c>
      <c r="AHH28">
        <v>200</v>
      </c>
    </row>
    <row r="29" spans="1:892" x14ac:dyDescent="0.2">
      <c r="A29">
        <v>120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3</v>
      </c>
      <c r="AG29">
        <v>6</v>
      </c>
      <c r="AH29">
        <v>9</v>
      </c>
      <c r="AI29">
        <v>12</v>
      </c>
      <c r="AJ29">
        <v>15</v>
      </c>
      <c r="AK29">
        <v>18</v>
      </c>
      <c r="AL29">
        <v>21</v>
      </c>
      <c r="AM29">
        <v>24</v>
      </c>
      <c r="AN29">
        <v>27</v>
      </c>
      <c r="AO29">
        <v>30</v>
      </c>
      <c r="AP29">
        <v>30.5</v>
      </c>
      <c r="AQ29">
        <v>31</v>
      </c>
      <c r="AR29">
        <v>31.5</v>
      </c>
      <c r="AS29">
        <v>32</v>
      </c>
      <c r="AT29">
        <v>32.5</v>
      </c>
      <c r="AU29">
        <v>33</v>
      </c>
      <c r="AV29">
        <v>33.5</v>
      </c>
      <c r="AW29">
        <v>34</v>
      </c>
      <c r="AX29">
        <v>34.5</v>
      </c>
      <c r="AY29">
        <v>35</v>
      </c>
      <c r="AZ29">
        <v>35.5</v>
      </c>
      <c r="BA29">
        <v>36</v>
      </c>
      <c r="BB29">
        <v>36.5</v>
      </c>
      <c r="BC29">
        <v>37</v>
      </c>
      <c r="BD29">
        <v>37.5</v>
      </c>
      <c r="BE29">
        <v>38</v>
      </c>
      <c r="BF29">
        <v>38.5</v>
      </c>
      <c r="BG29">
        <v>39</v>
      </c>
      <c r="BH29">
        <v>39.5</v>
      </c>
      <c r="BI29">
        <v>40</v>
      </c>
      <c r="BJ29">
        <v>40.256410260000003</v>
      </c>
      <c r="BK29">
        <v>40.512820509999997</v>
      </c>
      <c r="BL29">
        <v>40.76923077</v>
      </c>
      <c r="BM29">
        <v>41.025641030000003</v>
      </c>
      <c r="BN29">
        <v>41.282051279999997</v>
      </c>
      <c r="BO29">
        <v>41.53846154</v>
      </c>
      <c r="BP29">
        <v>41.794871790000002</v>
      </c>
      <c r="BQ29">
        <v>42.051282049999998</v>
      </c>
      <c r="BR29">
        <v>42.30769231</v>
      </c>
      <c r="BS29">
        <v>42.564102560000002</v>
      </c>
      <c r="BT29">
        <v>42.820512819999998</v>
      </c>
      <c r="BU29">
        <v>43.07692308</v>
      </c>
      <c r="BV29">
        <v>43.333333330000002</v>
      </c>
      <c r="BW29">
        <v>43.589743589999998</v>
      </c>
      <c r="BX29">
        <v>43.84615385</v>
      </c>
      <c r="BY29">
        <v>44.102564100000002</v>
      </c>
      <c r="BZ29">
        <v>44.358974359999998</v>
      </c>
      <c r="CA29">
        <v>44.61538462</v>
      </c>
      <c r="CB29">
        <v>44.871794870000002</v>
      </c>
      <c r="CC29">
        <v>45.128205129999998</v>
      </c>
      <c r="CD29">
        <v>45.38461538</v>
      </c>
      <c r="CE29">
        <v>45.641025640000002</v>
      </c>
      <c r="CF29">
        <v>45.897435899999998</v>
      </c>
      <c r="CG29">
        <v>46.15384615</v>
      </c>
      <c r="CH29">
        <v>46.410256410000002</v>
      </c>
      <c r="CI29">
        <v>46.666666669999998</v>
      </c>
      <c r="CJ29">
        <v>46.92307692</v>
      </c>
      <c r="CK29">
        <v>47.179487180000002</v>
      </c>
      <c r="CL29">
        <v>47.435897439999998</v>
      </c>
      <c r="CM29">
        <v>47.69230769</v>
      </c>
      <c r="CN29">
        <v>47.948717950000002</v>
      </c>
      <c r="CO29">
        <v>48.205128209999998</v>
      </c>
      <c r="CP29">
        <v>48.46153846</v>
      </c>
      <c r="CQ29">
        <v>48.717948720000003</v>
      </c>
      <c r="CR29">
        <v>48.974358969999997</v>
      </c>
      <c r="CS29">
        <v>49.23076923</v>
      </c>
      <c r="CT29">
        <v>49.487179490000003</v>
      </c>
      <c r="CU29">
        <v>49.743589739999997</v>
      </c>
      <c r="CV29">
        <v>50</v>
      </c>
    </row>
    <row r="30" spans="1:892" x14ac:dyDescent="0.2">
      <c r="A30">
        <v>121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3</v>
      </c>
      <c r="AG30">
        <v>6</v>
      </c>
      <c r="AH30">
        <v>9</v>
      </c>
      <c r="AI30">
        <v>12</v>
      </c>
      <c r="AJ30">
        <v>15</v>
      </c>
      <c r="AK30">
        <v>18</v>
      </c>
      <c r="AL30">
        <v>21</v>
      </c>
      <c r="AM30">
        <v>24</v>
      </c>
      <c r="AN30">
        <v>27</v>
      </c>
      <c r="AO30">
        <v>30</v>
      </c>
      <c r="AP30">
        <v>30.5</v>
      </c>
      <c r="AQ30">
        <v>31</v>
      </c>
      <c r="AR30">
        <v>31.5</v>
      </c>
      <c r="AS30">
        <v>32</v>
      </c>
      <c r="AT30">
        <v>32.5</v>
      </c>
      <c r="AU30">
        <v>33</v>
      </c>
      <c r="AV30">
        <v>33.5</v>
      </c>
      <c r="AW30">
        <v>34</v>
      </c>
      <c r="AX30">
        <v>34.5</v>
      </c>
      <c r="AY30">
        <v>35</v>
      </c>
      <c r="AZ30">
        <v>35.5</v>
      </c>
      <c r="BA30">
        <v>36</v>
      </c>
      <c r="BB30">
        <v>36.5</v>
      </c>
      <c r="BC30">
        <v>37</v>
      </c>
      <c r="BD30">
        <v>37.5</v>
      </c>
      <c r="BE30">
        <v>38</v>
      </c>
      <c r="BF30">
        <v>38.5</v>
      </c>
      <c r="BG30">
        <v>39</v>
      </c>
      <c r="BH30">
        <v>39.5</v>
      </c>
      <c r="BI30">
        <v>40</v>
      </c>
      <c r="BJ30">
        <v>40.256410260000003</v>
      </c>
      <c r="BK30">
        <v>40.512820509999997</v>
      </c>
      <c r="BL30">
        <v>40.76923077</v>
      </c>
      <c r="BM30">
        <v>41.025641030000003</v>
      </c>
      <c r="BN30">
        <v>41.282051279999997</v>
      </c>
      <c r="BO30">
        <v>41.53846154</v>
      </c>
      <c r="BP30">
        <v>41.794871790000002</v>
      </c>
      <c r="BQ30">
        <v>42.051282049999998</v>
      </c>
      <c r="BR30">
        <v>42.30769231</v>
      </c>
      <c r="BS30">
        <v>42.564102560000002</v>
      </c>
      <c r="BT30">
        <v>42.820512819999998</v>
      </c>
      <c r="BU30">
        <v>43.07692308</v>
      </c>
      <c r="BV30">
        <v>43.333333330000002</v>
      </c>
      <c r="BW30">
        <v>43.589743589999998</v>
      </c>
      <c r="BX30">
        <v>43.84615385</v>
      </c>
      <c r="BY30">
        <v>44.102564100000002</v>
      </c>
      <c r="BZ30">
        <v>44.358974359999998</v>
      </c>
      <c r="CA30">
        <v>44.61538462</v>
      </c>
      <c r="CB30">
        <v>44.871794870000002</v>
      </c>
      <c r="CC30">
        <v>45.128205129999998</v>
      </c>
      <c r="CD30">
        <v>45.38461538</v>
      </c>
      <c r="CE30">
        <v>45.641025640000002</v>
      </c>
      <c r="CF30">
        <v>45.897435899999998</v>
      </c>
      <c r="CG30">
        <v>46.15384615</v>
      </c>
      <c r="CH30">
        <v>46.410256410000002</v>
      </c>
      <c r="CI30">
        <v>46.666666669999998</v>
      </c>
      <c r="CJ30">
        <v>46.92307692</v>
      </c>
      <c r="CK30">
        <v>47.179487180000002</v>
      </c>
      <c r="CL30">
        <v>47.435897439999998</v>
      </c>
      <c r="CM30">
        <v>47.69230769</v>
      </c>
      <c r="CN30">
        <v>47.948717950000002</v>
      </c>
      <c r="CO30">
        <v>48.205128209999998</v>
      </c>
      <c r="CP30">
        <v>48.46153846</v>
      </c>
      <c r="CQ30">
        <v>48.717948720000003</v>
      </c>
      <c r="CR30">
        <v>48.974358969999997</v>
      </c>
      <c r="CS30">
        <v>49.23076923</v>
      </c>
      <c r="CT30">
        <v>49.487179490000003</v>
      </c>
      <c r="CU30">
        <v>49.743589739999997</v>
      </c>
      <c r="CV30">
        <v>50</v>
      </c>
    </row>
    <row r="31" spans="1:892" x14ac:dyDescent="0.2">
      <c r="A31">
        <v>122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3</v>
      </c>
      <c r="AG31">
        <v>6</v>
      </c>
      <c r="AH31">
        <v>9</v>
      </c>
      <c r="AI31">
        <v>12</v>
      </c>
      <c r="AJ31">
        <v>15</v>
      </c>
      <c r="AK31">
        <v>18</v>
      </c>
      <c r="AL31">
        <v>21</v>
      </c>
      <c r="AM31">
        <v>24</v>
      </c>
      <c r="AN31">
        <v>27</v>
      </c>
      <c r="AO31">
        <v>30</v>
      </c>
      <c r="AP31">
        <v>30.5</v>
      </c>
      <c r="AQ31">
        <v>31</v>
      </c>
      <c r="AR31">
        <v>31.5</v>
      </c>
      <c r="AS31">
        <v>32</v>
      </c>
      <c r="AT31">
        <v>32.5</v>
      </c>
      <c r="AU31">
        <v>33</v>
      </c>
      <c r="AV31">
        <v>33.5</v>
      </c>
      <c r="AW31">
        <v>34</v>
      </c>
      <c r="AX31">
        <v>34.5</v>
      </c>
      <c r="AY31">
        <v>35</v>
      </c>
      <c r="AZ31">
        <v>35.5</v>
      </c>
      <c r="BA31">
        <v>36</v>
      </c>
      <c r="BB31">
        <v>36.5</v>
      </c>
      <c r="BC31">
        <v>37</v>
      </c>
      <c r="BD31">
        <v>37.5</v>
      </c>
      <c r="BE31">
        <v>38</v>
      </c>
      <c r="BF31">
        <v>38.5</v>
      </c>
      <c r="BG31">
        <v>39</v>
      </c>
      <c r="BH31">
        <v>39.5</v>
      </c>
      <c r="BI31">
        <v>40</v>
      </c>
      <c r="BJ31">
        <v>40.256410260000003</v>
      </c>
      <c r="BK31">
        <v>40.512820509999997</v>
      </c>
      <c r="BL31">
        <v>40.76923077</v>
      </c>
      <c r="BM31">
        <v>41.025641030000003</v>
      </c>
      <c r="BN31">
        <v>41.282051279999997</v>
      </c>
      <c r="BO31">
        <v>41.53846154</v>
      </c>
      <c r="BP31">
        <v>41.794871790000002</v>
      </c>
      <c r="BQ31">
        <v>42.051282049999998</v>
      </c>
      <c r="BR31">
        <v>42.30769231</v>
      </c>
      <c r="BS31">
        <v>42.564102560000002</v>
      </c>
      <c r="BT31">
        <v>42.820512819999998</v>
      </c>
      <c r="BU31">
        <v>43.07692308</v>
      </c>
      <c r="BV31">
        <v>43.333333330000002</v>
      </c>
      <c r="BW31">
        <v>43.589743589999998</v>
      </c>
      <c r="BX31">
        <v>43.84615385</v>
      </c>
      <c r="BY31">
        <v>44.102564100000002</v>
      </c>
      <c r="BZ31">
        <v>44.358974359999998</v>
      </c>
      <c r="CA31">
        <v>44.61538462</v>
      </c>
      <c r="CB31">
        <v>44.871794870000002</v>
      </c>
      <c r="CC31">
        <v>45.128205129999998</v>
      </c>
      <c r="CD31">
        <v>45.38461538</v>
      </c>
      <c r="CE31">
        <v>45.641025640000002</v>
      </c>
      <c r="CF31">
        <v>45.897435899999998</v>
      </c>
      <c r="CG31">
        <v>46.15384615</v>
      </c>
      <c r="CH31">
        <v>46.410256410000002</v>
      </c>
      <c r="CI31">
        <v>46.666666669999998</v>
      </c>
      <c r="CJ31">
        <v>46.92307692</v>
      </c>
      <c r="CK31">
        <v>47.179487180000002</v>
      </c>
      <c r="CL31">
        <v>47.435897439999998</v>
      </c>
      <c r="CM31">
        <v>47.69230769</v>
      </c>
      <c r="CN31">
        <v>47.948717950000002</v>
      </c>
      <c r="CO31">
        <v>48.205128209999998</v>
      </c>
      <c r="CP31">
        <v>48.46153846</v>
      </c>
      <c r="CQ31">
        <v>48.717948720000003</v>
      </c>
      <c r="CR31">
        <v>48.974358969999997</v>
      </c>
      <c r="CS31">
        <v>49.23076923</v>
      </c>
      <c r="CT31">
        <v>49.487179490000003</v>
      </c>
      <c r="CU31">
        <v>49.743589739999997</v>
      </c>
      <c r="CV31">
        <v>50</v>
      </c>
    </row>
    <row r="32" spans="1:892" x14ac:dyDescent="0.2">
      <c r="A32">
        <v>123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3</v>
      </c>
      <c r="AG32">
        <v>6</v>
      </c>
      <c r="AH32">
        <v>9</v>
      </c>
      <c r="AI32">
        <v>12</v>
      </c>
      <c r="AJ32">
        <v>15</v>
      </c>
      <c r="AK32">
        <v>18</v>
      </c>
      <c r="AL32">
        <v>21</v>
      </c>
      <c r="AM32">
        <v>24</v>
      </c>
      <c r="AN32">
        <v>27</v>
      </c>
      <c r="AO32">
        <v>30</v>
      </c>
      <c r="AP32">
        <v>30.5</v>
      </c>
      <c r="AQ32">
        <v>31</v>
      </c>
      <c r="AR32">
        <v>31.5</v>
      </c>
      <c r="AS32">
        <v>32</v>
      </c>
      <c r="AT32">
        <v>32.5</v>
      </c>
      <c r="AU32">
        <v>33</v>
      </c>
      <c r="AV32">
        <v>33.5</v>
      </c>
      <c r="AW32">
        <v>34</v>
      </c>
      <c r="AX32">
        <v>34.5</v>
      </c>
      <c r="AY32">
        <v>35</v>
      </c>
      <c r="AZ32">
        <v>35.5</v>
      </c>
      <c r="BA32">
        <v>36</v>
      </c>
      <c r="BB32">
        <v>36.5</v>
      </c>
      <c r="BC32">
        <v>37</v>
      </c>
      <c r="BD32">
        <v>37.5</v>
      </c>
      <c r="BE32">
        <v>38</v>
      </c>
      <c r="BF32">
        <v>38.5</v>
      </c>
      <c r="BG32">
        <v>39</v>
      </c>
      <c r="BH32">
        <v>39.5</v>
      </c>
      <c r="BI32">
        <v>40</v>
      </c>
      <c r="BJ32">
        <v>40.256410260000003</v>
      </c>
      <c r="BK32">
        <v>40.512820509999997</v>
      </c>
      <c r="BL32">
        <v>40.76923077</v>
      </c>
      <c r="BM32">
        <v>41.025641030000003</v>
      </c>
      <c r="BN32">
        <v>41.282051279999997</v>
      </c>
      <c r="BO32">
        <v>41.53846154</v>
      </c>
      <c r="BP32">
        <v>41.794871790000002</v>
      </c>
      <c r="BQ32">
        <v>42.051282049999998</v>
      </c>
      <c r="BR32">
        <v>42.30769231</v>
      </c>
      <c r="BS32">
        <v>42.564102560000002</v>
      </c>
      <c r="BT32">
        <v>42.820512819999998</v>
      </c>
      <c r="BU32">
        <v>43.07692308</v>
      </c>
      <c r="BV32">
        <v>43.333333330000002</v>
      </c>
      <c r="BW32">
        <v>43.589743589999998</v>
      </c>
      <c r="BX32">
        <v>43.84615385</v>
      </c>
      <c r="BY32">
        <v>44.102564100000002</v>
      </c>
      <c r="BZ32">
        <v>44.358974359999998</v>
      </c>
      <c r="CA32">
        <v>44.61538462</v>
      </c>
      <c r="CB32">
        <v>44.871794870000002</v>
      </c>
      <c r="CC32">
        <v>45.128205129999998</v>
      </c>
      <c r="CD32">
        <v>45.38461538</v>
      </c>
      <c r="CE32">
        <v>45.641025640000002</v>
      </c>
      <c r="CF32">
        <v>45.897435899999998</v>
      </c>
      <c r="CG32">
        <v>46.15384615</v>
      </c>
      <c r="CH32">
        <v>46.410256410000002</v>
      </c>
      <c r="CI32">
        <v>46.666666669999998</v>
      </c>
      <c r="CJ32">
        <v>46.92307692</v>
      </c>
      <c r="CK32">
        <v>47.179487180000002</v>
      </c>
      <c r="CL32">
        <v>47.435897439999998</v>
      </c>
      <c r="CM32">
        <v>47.69230769</v>
      </c>
      <c r="CN32">
        <v>47.948717950000002</v>
      </c>
      <c r="CO32">
        <v>48.205128209999998</v>
      </c>
      <c r="CP32">
        <v>48.46153846</v>
      </c>
      <c r="CQ32">
        <v>48.717948720000003</v>
      </c>
      <c r="CR32">
        <v>48.974358969999997</v>
      </c>
      <c r="CS32">
        <v>49.23076923</v>
      </c>
      <c r="CT32">
        <v>49.487179490000003</v>
      </c>
      <c r="CU32">
        <v>49.743589739999997</v>
      </c>
      <c r="CV32">
        <v>50</v>
      </c>
    </row>
    <row r="33" spans="1:100" x14ac:dyDescent="0.2">
      <c r="A33">
        <v>124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3</v>
      </c>
      <c r="AG33">
        <v>6</v>
      </c>
      <c r="AH33">
        <v>9</v>
      </c>
      <c r="AI33">
        <v>12</v>
      </c>
      <c r="AJ33">
        <v>15</v>
      </c>
      <c r="AK33">
        <v>18</v>
      </c>
      <c r="AL33">
        <v>21</v>
      </c>
      <c r="AM33">
        <v>24</v>
      </c>
      <c r="AN33">
        <v>27</v>
      </c>
      <c r="AO33">
        <v>30</v>
      </c>
      <c r="AP33">
        <v>30.5</v>
      </c>
      <c r="AQ33">
        <v>31</v>
      </c>
      <c r="AR33">
        <v>31.5</v>
      </c>
      <c r="AS33">
        <v>32</v>
      </c>
      <c r="AT33">
        <v>32.5</v>
      </c>
      <c r="AU33">
        <v>33</v>
      </c>
      <c r="AV33">
        <v>33.5</v>
      </c>
      <c r="AW33">
        <v>34</v>
      </c>
      <c r="AX33">
        <v>34.5</v>
      </c>
      <c r="AY33">
        <v>35</v>
      </c>
      <c r="AZ33">
        <v>35.5</v>
      </c>
      <c r="BA33">
        <v>36</v>
      </c>
      <c r="BB33">
        <v>36.5</v>
      </c>
      <c r="BC33">
        <v>37</v>
      </c>
      <c r="BD33">
        <v>37.5</v>
      </c>
      <c r="BE33">
        <v>38</v>
      </c>
      <c r="BF33">
        <v>38.5</v>
      </c>
      <c r="BG33">
        <v>39</v>
      </c>
      <c r="BH33">
        <v>39.5</v>
      </c>
      <c r="BI33">
        <v>40</v>
      </c>
      <c r="BJ33">
        <v>40.256410260000003</v>
      </c>
      <c r="BK33">
        <v>40.512820509999997</v>
      </c>
      <c r="BL33">
        <v>40.76923077</v>
      </c>
      <c r="BM33">
        <v>41.025641030000003</v>
      </c>
      <c r="BN33">
        <v>41.282051279999997</v>
      </c>
      <c r="BO33">
        <v>41.53846154</v>
      </c>
      <c r="BP33">
        <v>41.794871790000002</v>
      </c>
      <c r="BQ33">
        <v>42.051282049999998</v>
      </c>
      <c r="BR33">
        <v>42.30769231</v>
      </c>
      <c r="BS33">
        <v>42.564102560000002</v>
      </c>
      <c r="BT33">
        <v>42.820512819999998</v>
      </c>
      <c r="BU33">
        <v>43.07692308</v>
      </c>
      <c r="BV33">
        <v>43.333333330000002</v>
      </c>
      <c r="BW33">
        <v>43.589743589999998</v>
      </c>
      <c r="BX33">
        <v>43.84615385</v>
      </c>
      <c r="BY33">
        <v>44.102564100000002</v>
      </c>
      <c r="BZ33">
        <v>44.358974359999998</v>
      </c>
      <c r="CA33">
        <v>44.61538462</v>
      </c>
      <c r="CB33">
        <v>44.871794870000002</v>
      </c>
      <c r="CC33">
        <v>45.128205129999998</v>
      </c>
      <c r="CD33">
        <v>45.38461538</v>
      </c>
      <c r="CE33">
        <v>45.641025640000002</v>
      </c>
      <c r="CF33">
        <v>45.897435899999998</v>
      </c>
      <c r="CG33">
        <v>46.15384615</v>
      </c>
      <c r="CH33">
        <v>46.410256410000002</v>
      </c>
      <c r="CI33">
        <v>46.666666669999998</v>
      </c>
      <c r="CJ33">
        <v>46.92307692</v>
      </c>
      <c r="CK33">
        <v>47.179487180000002</v>
      </c>
      <c r="CL33">
        <v>47.435897439999998</v>
      </c>
      <c r="CM33">
        <v>47.69230769</v>
      </c>
      <c r="CN33">
        <v>47.948717950000002</v>
      </c>
      <c r="CO33">
        <v>48.205128209999998</v>
      </c>
      <c r="CP33">
        <v>48.46153846</v>
      </c>
      <c r="CQ33">
        <v>48.717948720000003</v>
      </c>
      <c r="CR33">
        <v>48.974358969999997</v>
      </c>
      <c r="CS33">
        <v>49.23076923</v>
      </c>
      <c r="CT33">
        <v>49.487179490000003</v>
      </c>
      <c r="CU33">
        <v>49.743589739999997</v>
      </c>
      <c r="CV33">
        <v>50</v>
      </c>
    </row>
    <row r="34" spans="1:100" x14ac:dyDescent="0.2">
      <c r="A34">
        <v>130</v>
      </c>
      <c r="B34">
        <v>0.33333333329999998</v>
      </c>
      <c r="C34">
        <v>0.66666666669999997</v>
      </c>
      <c r="D34">
        <v>1</v>
      </c>
      <c r="E34">
        <v>1.3333333329999999</v>
      </c>
      <c r="F34">
        <v>1.6666666670000001</v>
      </c>
      <c r="G34">
        <v>2</v>
      </c>
      <c r="H34">
        <v>2.3333333330000001</v>
      </c>
      <c r="I34">
        <v>2.6666666669999999</v>
      </c>
      <c r="J34">
        <v>3</v>
      </c>
      <c r="K34">
        <v>3.3333333330000001</v>
      </c>
      <c r="L34">
        <v>3.6666666669999999</v>
      </c>
      <c r="M34">
        <v>4</v>
      </c>
      <c r="N34">
        <v>4.3333333329999997</v>
      </c>
      <c r="O34">
        <v>4.6666666670000003</v>
      </c>
      <c r="P34">
        <v>5</v>
      </c>
      <c r="Q34">
        <v>5.3333333329999997</v>
      </c>
      <c r="R34">
        <v>5.6666666670000003</v>
      </c>
      <c r="S34">
        <v>6</v>
      </c>
      <c r="T34">
        <v>6.3333333329999997</v>
      </c>
      <c r="U34">
        <v>6.6666666670000003</v>
      </c>
      <c r="V34">
        <v>7</v>
      </c>
      <c r="W34">
        <v>7.3333333329999997</v>
      </c>
      <c r="X34">
        <v>7.6666666670000003</v>
      </c>
      <c r="Y34">
        <v>8</v>
      </c>
      <c r="Z34">
        <v>8.3333333330000006</v>
      </c>
      <c r="AA34">
        <v>8.6666666669999994</v>
      </c>
      <c r="AB34">
        <v>9</v>
      </c>
      <c r="AC34">
        <v>9.3333333330000006</v>
      </c>
      <c r="AD34">
        <v>9.6666666669999994</v>
      </c>
      <c r="AE34">
        <v>10</v>
      </c>
      <c r="AF34">
        <v>10.5</v>
      </c>
      <c r="AG34">
        <v>11</v>
      </c>
      <c r="AH34">
        <v>11.5</v>
      </c>
      <c r="AI34">
        <v>12</v>
      </c>
      <c r="AJ34">
        <v>12.5</v>
      </c>
      <c r="AK34">
        <v>13</v>
      </c>
      <c r="AL34">
        <v>13.5</v>
      </c>
      <c r="AM34">
        <v>14</v>
      </c>
      <c r="AN34">
        <v>14.5</v>
      </c>
      <c r="AO34">
        <v>15</v>
      </c>
      <c r="AP34">
        <v>15.75</v>
      </c>
      <c r="AQ34">
        <v>16.5</v>
      </c>
      <c r="AR34">
        <v>17.25</v>
      </c>
      <c r="AS34">
        <v>18</v>
      </c>
      <c r="AT34">
        <v>18.75</v>
      </c>
      <c r="AU34">
        <v>19.5</v>
      </c>
      <c r="AV34">
        <v>20.25</v>
      </c>
      <c r="AW34">
        <v>21</v>
      </c>
      <c r="AX34">
        <v>21.75</v>
      </c>
      <c r="AY34">
        <v>22.5</v>
      </c>
      <c r="AZ34">
        <v>23.25</v>
      </c>
      <c r="BA34">
        <v>24</v>
      </c>
      <c r="BB34">
        <v>24.75</v>
      </c>
      <c r="BC34">
        <v>25.5</v>
      </c>
      <c r="BD34">
        <v>26.25</v>
      </c>
      <c r="BE34">
        <v>27</v>
      </c>
      <c r="BF34">
        <v>27.75</v>
      </c>
      <c r="BG34">
        <v>28.5</v>
      </c>
      <c r="BH34">
        <v>29.25</v>
      </c>
      <c r="BI34">
        <v>30</v>
      </c>
      <c r="BJ34">
        <v>30.256410259999999</v>
      </c>
      <c r="BK34">
        <v>30.512820510000001</v>
      </c>
      <c r="BL34">
        <v>30.76923077</v>
      </c>
      <c r="BM34">
        <v>31.025641029999999</v>
      </c>
      <c r="BN34">
        <v>31.282051280000001</v>
      </c>
      <c r="BO34">
        <v>31.53846154</v>
      </c>
      <c r="BP34">
        <v>31.794871789999998</v>
      </c>
      <c r="BQ34">
        <v>32.051282049999998</v>
      </c>
      <c r="BR34">
        <v>32.30769231</v>
      </c>
      <c r="BS34">
        <v>32.564102560000002</v>
      </c>
      <c r="BT34">
        <v>32.820512819999998</v>
      </c>
      <c r="BU34">
        <v>33.07692308</v>
      </c>
      <c r="BV34">
        <v>33.333333330000002</v>
      </c>
      <c r="BW34">
        <v>33.589743589999998</v>
      </c>
      <c r="BX34">
        <v>33.84615385</v>
      </c>
      <c r="BY34">
        <v>34.102564100000002</v>
      </c>
      <c r="BZ34">
        <v>34.358974359999998</v>
      </c>
      <c r="CA34">
        <v>34.61538462</v>
      </c>
      <c r="CB34">
        <v>34.871794870000002</v>
      </c>
      <c r="CC34">
        <v>35.128205129999998</v>
      </c>
      <c r="CD34">
        <v>35.38461538</v>
      </c>
      <c r="CE34">
        <v>35.641025640000002</v>
      </c>
      <c r="CF34">
        <v>35.897435899999998</v>
      </c>
      <c r="CG34">
        <v>36.15384615</v>
      </c>
      <c r="CH34">
        <v>36.410256410000002</v>
      </c>
      <c r="CI34">
        <v>36.666666669999998</v>
      </c>
      <c r="CJ34">
        <v>36.92307692</v>
      </c>
      <c r="CK34">
        <v>37.179487180000002</v>
      </c>
      <c r="CL34">
        <v>37.435897439999998</v>
      </c>
      <c r="CM34">
        <v>37.69230769</v>
      </c>
      <c r="CN34">
        <v>37.948717950000002</v>
      </c>
      <c r="CO34">
        <v>38.205128209999998</v>
      </c>
      <c r="CP34">
        <v>38.46153846</v>
      </c>
      <c r="CQ34">
        <v>38.717948720000003</v>
      </c>
      <c r="CR34">
        <v>38.974358969999997</v>
      </c>
      <c r="CS34">
        <v>39.23076923</v>
      </c>
      <c r="CT34">
        <v>39.487179490000003</v>
      </c>
      <c r="CU34">
        <v>39.743589739999997</v>
      </c>
      <c r="CV34">
        <v>40</v>
      </c>
    </row>
    <row r="35" spans="1:100" x14ac:dyDescent="0.2">
      <c r="A35">
        <v>131</v>
      </c>
      <c r="B35">
        <v>0.33333333329999998</v>
      </c>
      <c r="C35">
        <v>0.66666666669999997</v>
      </c>
      <c r="D35">
        <v>1</v>
      </c>
      <c r="E35">
        <v>1.3333333329999999</v>
      </c>
      <c r="F35">
        <v>1.6666666670000001</v>
      </c>
      <c r="G35">
        <v>2</v>
      </c>
      <c r="H35">
        <v>2.3333333330000001</v>
      </c>
      <c r="I35">
        <v>2.6666666669999999</v>
      </c>
      <c r="J35">
        <v>3</v>
      </c>
      <c r="K35">
        <v>3.3333333330000001</v>
      </c>
      <c r="L35">
        <v>3.6666666669999999</v>
      </c>
      <c r="M35">
        <v>4</v>
      </c>
      <c r="N35">
        <v>4.3333333329999997</v>
      </c>
      <c r="O35">
        <v>4.6666666670000003</v>
      </c>
      <c r="P35">
        <v>5</v>
      </c>
      <c r="Q35">
        <v>6.7</v>
      </c>
      <c r="R35">
        <v>8.4</v>
      </c>
      <c r="S35">
        <v>10.1</v>
      </c>
      <c r="T35">
        <v>11.8</v>
      </c>
      <c r="U35">
        <v>13.5</v>
      </c>
      <c r="V35">
        <v>15.2</v>
      </c>
      <c r="W35">
        <v>16.899999999999999</v>
      </c>
      <c r="X35">
        <v>18.600000000000001</v>
      </c>
      <c r="Y35">
        <v>20.3</v>
      </c>
      <c r="Z35">
        <v>22</v>
      </c>
      <c r="AA35">
        <v>23.2</v>
      </c>
      <c r="AB35">
        <v>24.4</v>
      </c>
      <c r="AC35">
        <v>25.6</v>
      </c>
      <c r="AD35">
        <v>26.8</v>
      </c>
      <c r="AE35">
        <v>28</v>
      </c>
      <c r="AF35">
        <v>29.2</v>
      </c>
      <c r="AG35">
        <v>30.4</v>
      </c>
      <c r="AH35">
        <v>31.6</v>
      </c>
      <c r="AI35">
        <v>32.799999999999997</v>
      </c>
      <c r="AJ35">
        <v>34</v>
      </c>
      <c r="AK35">
        <v>35.200000000000003</v>
      </c>
      <c r="AL35">
        <v>36.4</v>
      </c>
      <c r="AM35">
        <v>37.6</v>
      </c>
      <c r="AN35">
        <v>38.799999999999997</v>
      </c>
      <c r="AO35">
        <v>40</v>
      </c>
      <c r="AP35">
        <v>40.338983050000003</v>
      </c>
      <c r="AQ35">
        <v>40.677966099999999</v>
      </c>
      <c r="AR35">
        <v>41.016949150000002</v>
      </c>
      <c r="AS35">
        <v>41.355932199999998</v>
      </c>
      <c r="AT35">
        <v>41.694915250000001</v>
      </c>
      <c r="AU35">
        <v>42.033898309999998</v>
      </c>
      <c r="AV35">
        <v>42.372881360000001</v>
      </c>
      <c r="AW35">
        <v>42.711864409999997</v>
      </c>
      <c r="AX35">
        <v>43.05084746</v>
      </c>
      <c r="AY35">
        <v>43.389830510000003</v>
      </c>
      <c r="AZ35">
        <v>43.728813559999999</v>
      </c>
      <c r="BA35">
        <v>44.067796610000002</v>
      </c>
      <c r="BB35">
        <v>44.406779659999998</v>
      </c>
      <c r="BC35">
        <v>44.745762710000001</v>
      </c>
      <c r="BD35">
        <v>45.084745759999997</v>
      </c>
      <c r="BE35">
        <v>45.42372881</v>
      </c>
      <c r="BF35">
        <v>45.762711860000003</v>
      </c>
      <c r="BG35">
        <v>46.10169492</v>
      </c>
      <c r="BH35">
        <v>46.440677970000003</v>
      </c>
      <c r="BI35">
        <v>46.779661019999999</v>
      </c>
      <c r="BJ35">
        <v>47.118644070000002</v>
      </c>
      <c r="BK35">
        <v>47.457627119999998</v>
      </c>
      <c r="BL35">
        <v>47.796610170000001</v>
      </c>
      <c r="BM35">
        <v>48.135593219999997</v>
      </c>
      <c r="BN35">
        <v>48.47457627</v>
      </c>
      <c r="BO35">
        <v>48.813559320000003</v>
      </c>
      <c r="BP35">
        <v>49.152542369999999</v>
      </c>
      <c r="BQ35">
        <v>49.491525420000002</v>
      </c>
      <c r="BR35">
        <v>49.830508469999998</v>
      </c>
      <c r="BS35">
        <v>50.169491530000002</v>
      </c>
      <c r="BT35">
        <v>50.508474579999998</v>
      </c>
      <c r="BU35">
        <v>50.847457630000001</v>
      </c>
      <c r="BV35">
        <v>51.186440679999997</v>
      </c>
      <c r="BW35">
        <v>51.52542373</v>
      </c>
      <c r="BX35">
        <v>51.864406780000003</v>
      </c>
      <c r="BY35">
        <v>52.203389829999999</v>
      </c>
      <c r="BZ35">
        <v>52.542372880000002</v>
      </c>
      <c r="CA35">
        <v>52.881355929999998</v>
      </c>
      <c r="CB35">
        <v>53.220338980000001</v>
      </c>
      <c r="CC35">
        <v>53.559322029999997</v>
      </c>
      <c r="CD35">
        <v>53.89830508</v>
      </c>
      <c r="CE35">
        <v>54.237288139999997</v>
      </c>
      <c r="CF35">
        <v>54.57627119</v>
      </c>
      <c r="CG35">
        <v>54.915254240000003</v>
      </c>
      <c r="CH35">
        <v>55.254237289999999</v>
      </c>
      <c r="CI35">
        <v>55.593220340000002</v>
      </c>
      <c r="CJ35">
        <v>55.932203389999998</v>
      </c>
      <c r="CK35">
        <v>56.271186440000001</v>
      </c>
      <c r="CL35">
        <v>56.610169489999997</v>
      </c>
      <c r="CM35">
        <v>56.94915254</v>
      </c>
      <c r="CN35">
        <v>57.288135590000003</v>
      </c>
      <c r="CO35">
        <v>57.627118639999999</v>
      </c>
      <c r="CP35">
        <v>57.966101690000002</v>
      </c>
      <c r="CQ35">
        <v>58.305084749999999</v>
      </c>
      <c r="CR35">
        <v>58.644067800000002</v>
      </c>
      <c r="CS35">
        <v>58.983050849999998</v>
      </c>
      <c r="CT35">
        <v>59.322033900000001</v>
      </c>
      <c r="CU35">
        <v>59.661016949999997</v>
      </c>
      <c r="CV35">
        <v>60</v>
      </c>
    </row>
    <row r="36" spans="1:100" x14ac:dyDescent="0.2">
      <c r="A36">
        <v>132</v>
      </c>
      <c r="B36">
        <v>0.66666666669999997</v>
      </c>
      <c r="C36">
        <v>1.3333333329999999</v>
      </c>
      <c r="D36">
        <v>2</v>
      </c>
      <c r="E36">
        <v>2.6666666669999999</v>
      </c>
      <c r="F36">
        <v>3.3333333330000001</v>
      </c>
      <c r="G36">
        <v>4</v>
      </c>
      <c r="H36">
        <v>4.6666666670000003</v>
      </c>
      <c r="I36">
        <v>5.3333333329999997</v>
      </c>
      <c r="J36">
        <v>6</v>
      </c>
      <c r="K36">
        <v>6.6666666670000003</v>
      </c>
      <c r="L36">
        <v>7.3333333329999997</v>
      </c>
      <c r="M36">
        <v>8</v>
      </c>
      <c r="N36">
        <v>8.6666666669999994</v>
      </c>
      <c r="O36">
        <v>9.3333333330000006</v>
      </c>
      <c r="P36">
        <v>10</v>
      </c>
      <c r="Q36">
        <v>10.66666667</v>
      </c>
      <c r="R36">
        <v>11.33333333</v>
      </c>
      <c r="S36">
        <v>12</v>
      </c>
      <c r="T36">
        <v>12.66666667</v>
      </c>
      <c r="U36">
        <v>13.33333333</v>
      </c>
      <c r="V36">
        <v>14</v>
      </c>
      <c r="W36">
        <v>14.66666667</v>
      </c>
      <c r="X36">
        <v>15.33333333</v>
      </c>
      <c r="Y36">
        <v>16</v>
      </c>
      <c r="Z36">
        <v>16.666666670000001</v>
      </c>
      <c r="AA36">
        <v>17.333333329999999</v>
      </c>
      <c r="AB36">
        <v>18</v>
      </c>
      <c r="AC36">
        <v>18.666666670000001</v>
      </c>
      <c r="AD36">
        <v>19.333333329999999</v>
      </c>
      <c r="AE36">
        <v>20</v>
      </c>
      <c r="AF36">
        <v>22</v>
      </c>
      <c r="AG36">
        <v>24</v>
      </c>
      <c r="AH36">
        <v>26</v>
      </c>
      <c r="AI36">
        <v>28</v>
      </c>
      <c r="AJ36">
        <v>30</v>
      </c>
      <c r="AK36">
        <v>32</v>
      </c>
      <c r="AL36">
        <v>34</v>
      </c>
      <c r="AM36">
        <v>36</v>
      </c>
      <c r="AN36">
        <v>38</v>
      </c>
      <c r="AO36">
        <v>40</v>
      </c>
      <c r="AP36">
        <v>41.5</v>
      </c>
      <c r="AQ36">
        <v>43</v>
      </c>
      <c r="AR36">
        <v>44.5</v>
      </c>
      <c r="AS36">
        <v>46</v>
      </c>
      <c r="AT36">
        <v>47.5</v>
      </c>
      <c r="AU36">
        <v>49</v>
      </c>
      <c r="AV36">
        <v>50.5</v>
      </c>
      <c r="AW36">
        <v>52</v>
      </c>
      <c r="AX36">
        <v>53.5</v>
      </c>
      <c r="AY36">
        <v>55</v>
      </c>
      <c r="AZ36">
        <v>56.5</v>
      </c>
      <c r="BA36">
        <v>58</v>
      </c>
      <c r="BB36">
        <v>59.5</v>
      </c>
      <c r="BC36">
        <v>61</v>
      </c>
      <c r="BD36">
        <v>62.5</v>
      </c>
      <c r="BE36">
        <v>64</v>
      </c>
      <c r="BF36">
        <v>65.5</v>
      </c>
      <c r="BG36">
        <v>67</v>
      </c>
      <c r="BH36">
        <v>68.5</v>
      </c>
      <c r="BI36">
        <v>70</v>
      </c>
      <c r="BJ36">
        <v>70.769230769999993</v>
      </c>
      <c r="BK36">
        <v>71.53846154</v>
      </c>
      <c r="BL36">
        <v>72.307692309999993</v>
      </c>
      <c r="BM36">
        <v>73.07692308</v>
      </c>
      <c r="BN36">
        <v>73.846153849999993</v>
      </c>
      <c r="BO36">
        <v>74.61538462</v>
      </c>
      <c r="BP36">
        <v>75.38461538</v>
      </c>
      <c r="BQ36">
        <v>76.153846150000007</v>
      </c>
      <c r="BR36">
        <v>76.92307692</v>
      </c>
      <c r="BS36">
        <v>77.692307690000007</v>
      </c>
      <c r="BT36">
        <v>78.46153846</v>
      </c>
      <c r="BU36">
        <v>79.230769230000007</v>
      </c>
      <c r="BV36">
        <v>80</v>
      </c>
      <c r="BW36">
        <v>80.769230769999993</v>
      </c>
      <c r="BX36">
        <v>81.53846154</v>
      </c>
      <c r="BY36">
        <v>82.307692309999993</v>
      </c>
      <c r="BZ36">
        <v>83.07692308</v>
      </c>
      <c r="CA36">
        <v>83.846153849999993</v>
      </c>
      <c r="CB36">
        <v>84.61538462</v>
      </c>
      <c r="CC36">
        <v>85.38461538</v>
      </c>
      <c r="CD36">
        <v>86.153846150000007</v>
      </c>
      <c r="CE36">
        <v>86.92307692</v>
      </c>
      <c r="CF36">
        <v>87.692307690000007</v>
      </c>
      <c r="CG36">
        <v>88.46153846</v>
      </c>
      <c r="CH36">
        <v>89.230769230000007</v>
      </c>
      <c r="CI36">
        <v>90</v>
      </c>
      <c r="CJ36">
        <v>90.769230769999993</v>
      </c>
      <c r="CK36">
        <v>91.53846154</v>
      </c>
      <c r="CL36">
        <v>92.307692309999993</v>
      </c>
      <c r="CM36">
        <v>93.07692308</v>
      </c>
      <c r="CN36">
        <v>93.846153849999993</v>
      </c>
      <c r="CO36">
        <v>94.61538462</v>
      </c>
      <c r="CP36">
        <v>95.38461538</v>
      </c>
      <c r="CQ36">
        <v>96.153846150000007</v>
      </c>
      <c r="CR36">
        <v>96.92307692</v>
      </c>
      <c r="CS36">
        <v>97.692307690000007</v>
      </c>
      <c r="CT36">
        <v>98.46153846</v>
      </c>
      <c r="CU36">
        <v>99.230769230000007</v>
      </c>
      <c r="CV36">
        <v>100</v>
      </c>
    </row>
    <row r="37" spans="1:100" x14ac:dyDescent="0.2">
      <c r="A37">
        <v>133</v>
      </c>
      <c r="B37">
        <v>0.66666666669999997</v>
      </c>
      <c r="C37">
        <v>1.3333333329999999</v>
      </c>
      <c r="D37">
        <v>2</v>
      </c>
      <c r="E37">
        <v>2.6666666669999999</v>
      </c>
      <c r="F37">
        <v>3.3333333330000001</v>
      </c>
      <c r="G37">
        <v>4</v>
      </c>
      <c r="H37">
        <v>4.6666666670000003</v>
      </c>
      <c r="I37">
        <v>5.3333333329999997</v>
      </c>
      <c r="J37">
        <v>6</v>
      </c>
      <c r="K37">
        <v>6.6666666670000003</v>
      </c>
      <c r="L37">
        <v>7.3333333329999997</v>
      </c>
      <c r="M37">
        <v>8</v>
      </c>
      <c r="N37">
        <v>8.6666666669999994</v>
      </c>
      <c r="O37">
        <v>9.3333333330000006</v>
      </c>
      <c r="P37">
        <v>10</v>
      </c>
      <c r="Q37">
        <v>10.66666667</v>
      </c>
      <c r="R37">
        <v>11.33333333</v>
      </c>
      <c r="S37">
        <v>12</v>
      </c>
      <c r="T37">
        <v>12.66666667</v>
      </c>
      <c r="U37">
        <v>13.33333333</v>
      </c>
      <c r="V37">
        <v>14</v>
      </c>
      <c r="W37">
        <v>14.66666667</v>
      </c>
      <c r="X37">
        <v>15.33333333</v>
      </c>
      <c r="Y37">
        <v>16</v>
      </c>
      <c r="Z37">
        <v>16.666666670000001</v>
      </c>
      <c r="AA37">
        <v>17.333333329999999</v>
      </c>
      <c r="AB37">
        <v>18</v>
      </c>
      <c r="AC37">
        <v>18.666666670000001</v>
      </c>
      <c r="AD37">
        <v>19.333333329999999</v>
      </c>
      <c r="AE37">
        <v>20</v>
      </c>
      <c r="AF37">
        <v>22</v>
      </c>
      <c r="AG37">
        <v>24</v>
      </c>
      <c r="AH37">
        <v>26</v>
      </c>
      <c r="AI37">
        <v>28</v>
      </c>
      <c r="AJ37">
        <v>30</v>
      </c>
      <c r="AK37">
        <v>32</v>
      </c>
      <c r="AL37">
        <v>34</v>
      </c>
      <c r="AM37">
        <v>36</v>
      </c>
      <c r="AN37">
        <v>38</v>
      </c>
      <c r="AO37">
        <v>40</v>
      </c>
      <c r="AP37">
        <v>41.5</v>
      </c>
      <c r="AQ37">
        <v>43</v>
      </c>
      <c r="AR37">
        <v>44.5</v>
      </c>
      <c r="AS37">
        <v>46</v>
      </c>
      <c r="AT37">
        <v>47.5</v>
      </c>
      <c r="AU37">
        <v>49</v>
      </c>
      <c r="AV37">
        <v>50.5</v>
      </c>
      <c r="AW37">
        <v>52</v>
      </c>
      <c r="AX37">
        <v>53.5</v>
      </c>
      <c r="AY37">
        <v>55</v>
      </c>
      <c r="AZ37">
        <v>56.5</v>
      </c>
      <c r="BA37">
        <v>58</v>
      </c>
      <c r="BB37">
        <v>59.5</v>
      </c>
      <c r="BC37">
        <v>61</v>
      </c>
      <c r="BD37">
        <v>62.5</v>
      </c>
      <c r="BE37">
        <v>64</v>
      </c>
      <c r="BF37">
        <v>65.5</v>
      </c>
      <c r="BG37">
        <v>67</v>
      </c>
      <c r="BH37">
        <v>68.5</v>
      </c>
      <c r="BI37">
        <v>70</v>
      </c>
      <c r="BJ37">
        <v>70.769230769999993</v>
      </c>
      <c r="BK37">
        <v>71.53846154</v>
      </c>
      <c r="BL37">
        <v>72.307692309999993</v>
      </c>
      <c r="BM37">
        <v>73.07692308</v>
      </c>
      <c r="BN37">
        <v>73.846153849999993</v>
      </c>
      <c r="BO37">
        <v>74.61538462</v>
      </c>
      <c r="BP37">
        <v>75.38461538</v>
      </c>
      <c r="BQ37">
        <v>76.153846150000007</v>
      </c>
      <c r="BR37">
        <v>76.92307692</v>
      </c>
      <c r="BS37">
        <v>77.692307690000007</v>
      </c>
      <c r="BT37">
        <v>78.46153846</v>
      </c>
      <c r="BU37">
        <v>79.230769230000007</v>
      </c>
      <c r="BV37">
        <v>80</v>
      </c>
      <c r="BW37">
        <v>80.769230769999993</v>
      </c>
      <c r="BX37">
        <v>81.53846154</v>
      </c>
      <c r="BY37">
        <v>82.307692309999993</v>
      </c>
      <c r="BZ37">
        <v>83.07692308</v>
      </c>
      <c r="CA37">
        <v>83.846153849999993</v>
      </c>
      <c r="CB37">
        <v>84.61538462</v>
      </c>
      <c r="CC37">
        <v>85.38461538</v>
      </c>
      <c r="CD37">
        <v>86.153846150000007</v>
      </c>
      <c r="CE37">
        <v>86.92307692</v>
      </c>
      <c r="CF37">
        <v>87.692307690000007</v>
      </c>
      <c r="CG37">
        <v>88.46153846</v>
      </c>
      <c r="CH37">
        <v>89.230769230000007</v>
      </c>
      <c r="CI37">
        <v>90</v>
      </c>
      <c r="CJ37">
        <v>90.769230769999993</v>
      </c>
      <c r="CK37">
        <v>91.53846154</v>
      </c>
      <c r="CL37">
        <v>92.307692309999993</v>
      </c>
      <c r="CM37">
        <v>93.07692308</v>
      </c>
      <c r="CN37">
        <v>93.846153849999993</v>
      </c>
      <c r="CO37">
        <v>94.61538462</v>
      </c>
      <c r="CP37">
        <v>95.38461538</v>
      </c>
      <c r="CQ37">
        <v>96.153846150000007</v>
      </c>
      <c r="CR37">
        <v>96.92307692</v>
      </c>
      <c r="CS37">
        <v>97.692307690000007</v>
      </c>
      <c r="CT37">
        <v>98.46153846</v>
      </c>
      <c r="CU37">
        <v>99.230769230000007</v>
      </c>
      <c r="CV37">
        <v>100</v>
      </c>
    </row>
    <row r="38" spans="1:100" x14ac:dyDescent="0.2">
      <c r="A38">
        <v>134</v>
      </c>
      <c r="B38">
        <v>0.66666666669999997</v>
      </c>
      <c r="C38">
        <v>1.3333333329999999</v>
      </c>
      <c r="D38">
        <v>2</v>
      </c>
      <c r="E38">
        <v>2.6666666669999999</v>
      </c>
      <c r="F38">
        <v>3.3333333330000001</v>
      </c>
      <c r="G38">
        <v>4</v>
      </c>
      <c r="H38">
        <v>4.6666666670000003</v>
      </c>
      <c r="I38">
        <v>5.3333333329999997</v>
      </c>
      <c r="J38">
        <v>6</v>
      </c>
      <c r="K38">
        <v>6.6666666670000003</v>
      </c>
      <c r="L38">
        <v>7.3333333329999997</v>
      </c>
      <c r="M38">
        <v>8</v>
      </c>
      <c r="N38">
        <v>8.6666666669999994</v>
      </c>
      <c r="O38">
        <v>9.3333333330000006</v>
      </c>
      <c r="P38">
        <v>10</v>
      </c>
      <c r="Q38">
        <v>10.66666667</v>
      </c>
      <c r="R38">
        <v>11.33333333</v>
      </c>
      <c r="S38">
        <v>12</v>
      </c>
      <c r="T38">
        <v>12.66666667</v>
      </c>
      <c r="U38">
        <v>13.33333333</v>
      </c>
      <c r="V38">
        <v>14</v>
      </c>
      <c r="W38">
        <v>14.66666667</v>
      </c>
      <c r="X38">
        <v>15.33333333</v>
      </c>
      <c r="Y38">
        <v>16</v>
      </c>
      <c r="Z38">
        <v>16.666666670000001</v>
      </c>
      <c r="AA38">
        <v>17.333333329999999</v>
      </c>
      <c r="AB38">
        <v>18</v>
      </c>
      <c r="AC38">
        <v>18.666666670000001</v>
      </c>
      <c r="AD38">
        <v>19.333333329999999</v>
      </c>
      <c r="AE38">
        <v>20</v>
      </c>
      <c r="AF38">
        <v>22</v>
      </c>
      <c r="AG38">
        <v>24</v>
      </c>
      <c r="AH38">
        <v>26</v>
      </c>
      <c r="AI38">
        <v>28</v>
      </c>
      <c r="AJ38">
        <v>30</v>
      </c>
      <c r="AK38">
        <v>32</v>
      </c>
      <c r="AL38">
        <v>34</v>
      </c>
      <c r="AM38">
        <v>36</v>
      </c>
      <c r="AN38">
        <v>38</v>
      </c>
      <c r="AO38">
        <v>40</v>
      </c>
      <c r="AP38">
        <v>41.5</v>
      </c>
      <c r="AQ38">
        <v>43</v>
      </c>
      <c r="AR38">
        <v>44.5</v>
      </c>
      <c r="AS38">
        <v>46</v>
      </c>
      <c r="AT38">
        <v>47.5</v>
      </c>
      <c r="AU38">
        <v>49</v>
      </c>
      <c r="AV38">
        <v>50.5</v>
      </c>
      <c r="AW38">
        <v>52</v>
      </c>
      <c r="AX38">
        <v>53.5</v>
      </c>
      <c r="AY38">
        <v>55</v>
      </c>
      <c r="AZ38">
        <v>56.5</v>
      </c>
      <c r="BA38">
        <v>58</v>
      </c>
      <c r="BB38">
        <v>59.5</v>
      </c>
      <c r="BC38">
        <v>61</v>
      </c>
      <c r="BD38">
        <v>62.5</v>
      </c>
      <c r="BE38">
        <v>64</v>
      </c>
      <c r="BF38">
        <v>65.5</v>
      </c>
      <c r="BG38">
        <v>67</v>
      </c>
      <c r="BH38">
        <v>68.5</v>
      </c>
      <c r="BI38">
        <v>70</v>
      </c>
      <c r="BJ38">
        <v>70.769230769999993</v>
      </c>
      <c r="BK38">
        <v>71.53846154</v>
      </c>
      <c r="BL38">
        <v>72.307692309999993</v>
      </c>
      <c r="BM38">
        <v>73.07692308</v>
      </c>
      <c r="BN38">
        <v>73.846153849999993</v>
      </c>
      <c r="BO38">
        <v>74.61538462</v>
      </c>
      <c r="BP38">
        <v>75.38461538</v>
      </c>
      <c r="BQ38">
        <v>76.153846150000007</v>
      </c>
      <c r="BR38">
        <v>76.92307692</v>
      </c>
      <c r="BS38">
        <v>77.692307690000007</v>
      </c>
      <c r="BT38">
        <v>78.46153846</v>
      </c>
      <c r="BU38">
        <v>79.230769230000007</v>
      </c>
      <c r="BV38">
        <v>80</v>
      </c>
      <c r="BW38">
        <v>80.769230769999993</v>
      </c>
      <c r="BX38">
        <v>81.53846154</v>
      </c>
      <c r="BY38">
        <v>82.307692309999993</v>
      </c>
      <c r="BZ38">
        <v>83.07692308</v>
      </c>
      <c r="CA38">
        <v>83.846153849999993</v>
      </c>
      <c r="CB38">
        <v>84.61538462</v>
      </c>
      <c r="CC38">
        <v>85.38461538</v>
      </c>
      <c r="CD38">
        <v>86.153846150000007</v>
      </c>
      <c r="CE38">
        <v>86.92307692</v>
      </c>
      <c r="CF38">
        <v>87.692307690000007</v>
      </c>
      <c r="CG38">
        <v>88.46153846</v>
      </c>
      <c r="CH38">
        <v>89.230769230000007</v>
      </c>
      <c r="CI38">
        <v>90</v>
      </c>
      <c r="CJ38">
        <v>90.769230769999993</v>
      </c>
      <c r="CK38">
        <v>91.53846154</v>
      </c>
      <c r="CL38">
        <v>92.307692309999993</v>
      </c>
      <c r="CM38">
        <v>93.07692308</v>
      </c>
      <c r="CN38">
        <v>93.846153849999993</v>
      </c>
      <c r="CO38">
        <v>94.61538462</v>
      </c>
      <c r="CP38">
        <v>95.38461538</v>
      </c>
      <c r="CQ38">
        <v>96.153846150000007</v>
      </c>
      <c r="CR38">
        <v>96.92307692</v>
      </c>
      <c r="CS38">
        <v>97.692307690000007</v>
      </c>
      <c r="CT38">
        <v>98.46153846</v>
      </c>
      <c r="CU38">
        <v>99.230769230000007</v>
      </c>
      <c r="CV38">
        <v>100</v>
      </c>
    </row>
    <row r="39" spans="1:100" x14ac:dyDescent="0.2">
      <c r="A39">
        <v>135</v>
      </c>
      <c r="B39">
        <v>0.66666666669999997</v>
      </c>
      <c r="C39">
        <v>1.3333333329999999</v>
      </c>
      <c r="D39">
        <v>2</v>
      </c>
      <c r="E39">
        <v>2.6666666669999999</v>
      </c>
      <c r="F39">
        <v>3.3333333330000001</v>
      </c>
      <c r="G39">
        <v>4</v>
      </c>
      <c r="H39">
        <v>4.6666666670000003</v>
      </c>
      <c r="I39">
        <v>5.3333333329999997</v>
      </c>
      <c r="J39">
        <v>6</v>
      </c>
      <c r="K39">
        <v>6.6666666670000003</v>
      </c>
      <c r="L39">
        <v>7.3333333329999997</v>
      </c>
      <c r="M39">
        <v>8</v>
      </c>
      <c r="N39">
        <v>8.6666666669999994</v>
      </c>
      <c r="O39">
        <v>9.3333333330000006</v>
      </c>
      <c r="P39">
        <v>10</v>
      </c>
      <c r="Q39">
        <v>10.66666667</v>
      </c>
      <c r="R39">
        <v>11.33333333</v>
      </c>
      <c r="S39">
        <v>12</v>
      </c>
      <c r="T39">
        <v>12.66666667</v>
      </c>
      <c r="U39">
        <v>13.33333333</v>
      </c>
      <c r="V39">
        <v>14</v>
      </c>
      <c r="W39">
        <v>14.66666667</v>
      </c>
      <c r="X39">
        <v>15.33333333</v>
      </c>
      <c r="Y39">
        <v>16</v>
      </c>
      <c r="Z39">
        <v>16.666666670000001</v>
      </c>
      <c r="AA39">
        <v>17.333333329999999</v>
      </c>
      <c r="AB39">
        <v>18</v>
      </c>
      <c r="AC39">
        <v>18.666666670000001</v>
      </c>
      <c r="AD39">
        <v>19.333333329999999</v>
      </c>
      <c r="AE39">
        <v>20</v>
      </c>
      <c r="AF39">
        <v>22</v>
      </c>
      <c r="AG39">
        <v>24</v>
      </c>
      <c r="AH39">
        <v>26</v>
      </c>
      <c r="AI39">
        <v>28</v>
      </c>
      <c r="AJ39">
        <v>30</v>
      </c>
      <c r="AK39">
        <v>32</v>
      </c>
      <c r="AL39">
        <v>34</v>
      </c>
      <c r="AM39">
        <v>36</v>
      </c>
      <c r="AN39">
        <v>38</v>
      </c>
      <c r="AO39">
        <v>40</v>
      </c>
      <c r="AP39">
        <v>41.5</v>
      </c>
      <c r="AQ39">
        <v>43</v>
      </c>
      <c r="AR39">
        <v>44.5</v>
      </c>
      <c r="AS39">
        <v>46</v>
      </c>
      <c r="AT39">
        <v>47.5</v>
      </c>
      <c r="AU39">
        <v>49</v>
      </c>
      <c r="AV39">
        <v>50.5</v>
      </c>
      <c r="AW39">
        <v>52</v>
      </c>
      <c r="AX39">
        <v>53.5</v>
      </c>
      <c r="AY39">
        <v>55</v>
      </c>
      <c r="AZ39">
        <v>56.5</v>
      </c>
      <c r="BA39">
        <v>58</v>
      </c>
      <c r="BB39">
        <v>59.5</v>
      </c>
      <c r="BC39">
        <v>61</v>
      </c>
      <c r="BD39">
        <v>62.5</v>
      </c>
      <c r="BE39">
        <v>64</v>
      </c>
      <c r="BF39">
        <v>65.5</v>
      </c>
      <c r="BG39">
        <v>67</v>
      </c>
      <c r="BH39">
        <v>68.5</v>
      </c>
      <c r="BI39">
        <v>70</v>
      </c>
      <c r="BJ39">
        <v>70.769230769999993</v>
      </c>
      <c r="BK39">
        <v>71.53846154</v>
      </c>
      <c r="BL39">
        <v>72.307692309999993</v>
      </c>
      <c r="BM39">
        <v>73.07692308</v>
      </c>
      <c r="BN39">
        <v>73.846153849999993</v>
      </c>
      <c r="BO39">
        <v>74.61538462</v>
      </c>
      <c r="BP39">
        <v>75.38461538</v>
      </c>
      <c r="BQ39">
        <v>76.153846150000007</v>
      </c>
      <c r="BR39">
        <v>76.92307692</v>
      </c>
      <c r="BS39">
        <v>77.692307690000007</v>
      </c>
      <c r="BT39">
        <v>78.46153846</v>
      </c>
      <c r="BU39">
        <v>79.230769230000007</v>
      </c>
      <c r="BV39">
        <v>80</v>
      </c>
      <c r="BW39">
        <v>80.769230769999993</v>
      </c>
      <c r="BX39">
        <v>81.53846154</v>
      </c>
      <c r="BY39">
        <v>82.307692309999993</v>
      </c>
      <c r="BZ39">
        <v>83.07692308</v>
      </c>
      <c r="CA39">
        <v>83.846153849999993</v>
      </c>
      <c r="CB39">
        <v>84.61538462</v>
      </c>
      <c r="CC39">
        <v>85.38461538</v>
      </c>
      <c r="CD39">
        <v>86.153846150000007</v>
      </c>
      <c r="CE39">
        <v>86.92307692</v>
      </c>
      <c r="CF39">
        <v>87.692307690000007</v>
      </c>
      <c r="CG39">
        <v>88.46153846</v>
      </c>
      <c r="CH39">
        <v>89.230769230000007</v>
      </c>
      <c r="CI39">
        <v>90</v>
      </c>
      <c r="CJ39">
        <v>90.769230769999993</v>
      </c>
      <c r="CK39">
        <v>91.53846154</v>
      </c>
      <c r="CL39">
        <v>92.307692309999993</v>
      </c>
      <c r="CM39">
        <v>93.07692308</v>
      </c>
      <c r="CN39">
        <v>93.846153849999993</v>
      </c>
      <c r="CO39">
        <v>94.61538462</v>
      </c>
      <c r="CP39">
        <v>95.38461538</v>
      </c>
      <c r="CQ39">
        <v>96.153846150000007</v>
      </c>
      <c r="CR39">
        <v>96.92307692</v>
      </c>
      <c r="CS39">
        <v>97.692307690000007</v>
      </c>
      <c r="CT39">
        <v>98.46153846</v>
      </c>
      <c r="CU39">
        <v>99.230769230000007</v>
      </c>
      <c r="CV39">
        <v>100</v>
      </c>
    </row>
    <row r="40" spans="1:100" x14ac:dyDescent="0.2">
      <c r="A40">
        <v>140</v>
      </c>
      <c r="B40">
        <v>1.01</v>
      </c>
      <c r="C40">
        <v>1.02</v>
      </c>
      <c r="D40">
        <v>1.03</v>
      </c>
      <c r="E40">
        <v>1.04</v>
      </c>
      <c r="F40">
        <v>1.05</v>
      </c>
      <c r="G40">
        <v>1.06</v>
      </c>
      <c r="H40">
        <v>1.07</v>
      </c>
      <c r="I40">
        <v>1.08</v>
      </c>
      <c r="J40">
        <v>1.0900000000000001</v>
      </c>
      <c r="K40">
        <v>1.1000000000000001</v>
      </c>
      <c r="L40">
        <v>1.1100000000000001</v>
      </c>
      <c r="M40">
        <v>1.1200000000000001</v>
      </c>
      <c r="N40">
        <v>1.1299999999999999</v>
      </c>
      <c r="O40">
        <v>1.1399999999999999</v>
      </c>
      <c r="P40">
        <v>1.1499999999999999</v>
      </c>
      <c r="Q40">
        <v>1.1599999999999999</v>
      </c>
      <c r="R40">
        <v>1.17</v>
      </c>
      <c r="S40">
        <v>1.18</v>
      </c>
      <c r="T40">
        <v>1.19</v>
      </c>
      <c r="U40">
        <v>1.2</v>
      </c>
      <c r="V40">
        <v>1.21</v>
      </c>
      <c r="W40">
        <v>1.22</v>
      </c>
      <c r="X40">
        <v>1.23</v>
      </c>
      <c r="Y40">
        <v>1.24</v>
      </c>
      <c r="Z40">
        <v>1.25</v>
      </c>
      <c r="AA40">
        <v>1.26</v>
      </c>
      <c r="AB40">
        <v>1.27</v>
      </c>
      <c r="AC40">
        <v>1.28</v>
      </c>
      <c r="AD40">
        <v>1.29</v>
      </c>
      <c r="AE40">
        <v>1.3</v>
      </c>
      <c r="AF40">
        <v>1.31</v>
      </c>
      <c r="AG40">
        <v>1.32</v>
      </c>
      <c r="AH40">
        <v>1.33</v>
      </c>
      <c r="AI40">
        <v>1.34</v>
      </c>
      <c r="AJ40">
        <v>1.35</v>
      </c>
      <c r="AK40">
        <v>1.36</v>
      </c>
      <c r="AL40">
        <v>1.37</v>
      </c>
      <c r="AM40">
        <v>1.38</v>
      </c>
      <c r="AN40">
        <v>1.39</v>
      </c>
      <c r="AO40">
        <v>1.4</v>
      </c>
      <c r="AP40">
        <v>1.41</v>
      </c>
      <c r="AQ40">
        <v>1.42</v>
      </c>
      <c r="AR40">
        <v>1.43</v>
      </c>
      <c r="AS40">
        <v>1.44</v>
      </c>
      <c r="AT40">
        <v>1.45</v>
      </c>
      <c r="AU40">
        <v>1.46</v>
      </c>
      <c r="AV40">
        <v>1.47</v>
      </c>
      <c r="AW40">
        <v>1.48</v>
      </c>
      <c r="AX40">
        <v>1.49</v>
      </c>
      <c r="AY40">
        <v>1.5</v>
      </c>
      <c r="AZ40">
        <v>1.51</v>
      </c>
      <c r="BA40">
        <v>1.52</v>
      </c>
      <c r="BB40">
        <v>1.53</v>
      </c>
      <c r="BC40">
        <v>1.54</v>
      </c>
      <c r="BD40">
        <v>1.55</v>
      </c>
      <c r="BE40">
        <v>1.56</v>
      </c>
      <c r="BF40">
        <v>1.57</v>
      </c>
      <c r="BG40">
        <v>1.58</v>
      </c>
      <c r="BH40">
        <v>1.59</v>
      </c>
      <c r="BI40">
        <v>1.6</v>
      </c>
      <c r="BJ40">
        <v>1.61</v>
      </c>
      <c r="BK40">
        <v>1.62</v>
      </c>
      <c r="BL40">
        <v>1.63</v>
      </c>
      <c r="BM40">
        <v>1.64</v>
      </c>
      <c r="BN40">
        <v>1.65</v>
      </c>
      <c r="BO40">
        <v>1.66</v>
      </c>
      <c r="BP40">
        <v>1.67</v>
      </c>
      <c r="BQ40">
        <v>1.68</v>
      </c>
      <c r="BR40">
        <v>1.69</v>
      </c>
      <c r="BS40">
        <v>1.7</v>
      </c>
      <c r="BT40">
        <v>1.71</v>
      </c>
      <c r="BU40">
        <v>1.72</v>
      </c>
      <c r="BV40">
        <v>1.73</v>
      </c>
      <c r="BW40">
        <v>1.74</v>
      </c>
      <c r="BX40">
        <v>1.75</v>
      </c>
      <c r="BY40">
        <v>1.76</v>
      </c>
      <c r="BZ40">
        <v>1.77</v>
      </c>
      <c r="CA40">
        <v>1.78</v>
      </c>
      <c r="CB40">
        <v>1.79</v>
      </c>
      <c r="CC40">
        <v>1.8</v>
      </c>
      <c r="CD40">
        <v>1.81</v>
      </c>
      <c r="CE40">
        <v>1.82</v>
      </c>
      <c r="CF40">
        <v>1.83</v>
      </c>
      <c r="CG40">
        <v>1.84</v>
      </c>
      <c r="CH40">
        <v>1.85</v>
      </c>
      <c r="CI40">
        <v>1.86</v>
      </c>
      <c r="CJ40">
        <v>1.87</v>
      </c>
      <c r="CK40">
        <v>1.88</v>
      </c>
      <c r="CL40">
        <v>1.89</v>
      </c>
      <c r="CM40">
        <v>1.9</v>
      </c>
      <c r="CN40">
        <v>1.91</v>
      </c>
      <c r="CO40">
        <v>1.92</v>
      </c>
      <c r="CP40">
        <v>1.93</v>
      </c>
      <c r="CQ40">
        <v>1.94</v>
      </c>
      <c r="CR40">
        <v>1.95</v>
      </c>
      <c r="CS40">
        <v>1.96</v>
      </c>
      <c r="CT40">
        <v>1.97</v>
      </c>
      <c r="CU40">
        <v>1.98</v>
      </c>
      <c r="CV40">
        <v>1.99</v>
      </c>
    </row>
    <row r="41" spans="1:100" x14ac:dyDescent="0.2">
      <c r="A41">
        <v>150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</v>
      </c>
      <c r="M41">
        <v>10</v>
      </c>
      <c r="N41">
        <v>10</v>
      </c>
      <c r="O41">
        <v>10</v>
      </c>
      <c r="P41">
        <v>10</v>
      </c>
      <c r="Q41">
        <v>10</v>
      </c>
      <c r="R41">
        <v>10</v>
      </c>
      <c r="S41">
        <v>10</v>
      </c>
      <c r="T41">
        <v>10</v>
      </c>
      <c r="U41">
        <v>10</v>
      </c>
      <c r="V41">
        <v>10</v>
      </c>
      <c r="W41">
        <v>10</v>
      </c>
      <c r="X41">
        <v>10</v>
      </c>
      <c r="Y41">
        <v>10</v>
      </c>
      <c r="Z41">
        <v>10</v>
      </c>
      <c r="AA41">
        <v>10</v>
      </c>
      <c r="AB41">
        <v>10</v>
      </c>
      <c r="AC41">
        <v>10</v>
      </c>
      <c r="AD41">
        <v>10</v>
      </c>
      <c r="AE41">
        <v>10</v>
      </c>
      <c r="AF41">
        <v>15</v>
      </c>
      <c r="AG41">
        <v>15</v>
      </c>
      <c r="AH41">
        <v>15</v>
      </c>
      <c r="AI41">
        <v>15</v>
      </c>
      <c r="AJ41">
        <v>15</v>
      </c>
      <c r="AK41">
        <v>15</v>
      </c>
      <c r="AL41">
        <v>15</v>
      </c>
      <c r="AM41">
        <v>15</v>
      </c>
      <c r="AN41">
        <v>15</v>
      </c>
      <c r="AO41">
        <v>15</v>
      </c>
      <c r="AP41">
        <v>15</v>
      </c>
      <c r="AQ41">
        <v>15</v>
      </c>
      <c r="AR41">
        <v>15</v>
      </c>
      <c r="AS41">
        <v>15</v>
      </c>
      <c r="AT41">
        <v>15</v>
      </c>
      <c r="AU41">
        <v>15</v>
      </c>
      <c r="AV41">
        <v>15</v>
      </c>
      <c r="AW41">
        <v>15</v>
      </c>
      <c r="AX41">
        <v>15</v>
      </c>
      <c r="AY41">
        <v>15</v>
      </c>
      <c r="AZ41">
        <v>15</v>
      </c>
      <c r="BA41">
        <v>15</v>
      </c>
      <c r="BB41">
        <v>15</v>
      </c>
      <c r="BC41">
        <v>15</v>
      </c>
      <c r="BD41">
        <v>15</v>
      </c>
      <c r="BE41">
        <v>15</v>
      </c>
      <c r="BF41">
        <v>15</v>
      </c>
      <c r="BG41">
        <v>15</v>
      </c>
      <c r="BH41">
        <v>15</v>
      </c>
      <c r="BI41">
        <v>15</v>
      </c>
      <c r="BJ41">
        <v>15</v>
      </c>
      <c r="BK41">
        <v>15</v>
      </c>
      <c r="BL41">
        <v>15</v>
      </c>
      <c r="BM41">
        <v>15</v>
      </c>
      <c r="BN41">
        <v>15</v>
      </c>
      <c r="BO41">
        <v>15</v>
      </c>
      <c r="BP41">
        <v>15</v>
      </c>
      <c r="BQ41">
        <v>15</v>
      </c>
      <c r="BR41">
        <v>15</v>
      </c>
      <c r="BS41">
        <v>15</v>
      </c>
      <c r="BT41">
        <v>15</v>
      </c>
      <c r="BU41">
        <v>15</v>
      </c>
      <c r="BV41">
        <v>15</v>
      </c>
      <c r="BW41">
        <v>15</v>
      </c>
      <c r="BX41">
        <v>15</v>
      </c>
      <c r="BY41">
        <v>15</v>
      </c>
      <c r="BZ41">
        <v>15</v>
      </c>
      <c r="CA41">
        <v>15</v>
      </c>
      <c r="CB41">
        <v>15</v>
      </c>
      <c r="CC41">
        <v>15</v>
      </c>
      <c r="CD41">
        <v>15</v>
      </c>
      <c r="CE41">
        <v>15</v>
      </c>
      <c r="CF41">
        <v>15</v>
      </c>
      <c r="CG41">
        <v>15</v>
      </c>
      <c r="CH41">
        <v>15</v>
      </c>
      <c r="CI41">
        <v>15</v>
      </c>
      <c r="CJ41">
        <v>15</v>
      </c>
      <c r="CK41">
        <v>15</v>
      </c>
      <c r="CL41">
        <v>15</v>
      </c>
      <c r="CM41">
        <v>15</v>
      </c>
      <c r="CN41">
        <v>15</v>
      </c>
      <c r="CO41">
        <v>15</v>
      </c>
      <c r="CP41">
        <v>15</v>
      </c>
      <c r="CQ41">
        <v>15</v>
      </c>
      <c r="CR41">
        <v>15</v>
      </c>
      <c r="CS41">
        <v>15</v>
      </c>
      <c r="CT41">
        <v>15</v>
      </c>
      <c r="CU41">
        <v>15</v>
      </c>
      <c r="CV41">
        <v>15</v>
      </c>
    </row>
    <row r="42" spans="1:100" x14ac:dyDescent="0.2">
      <c r="A42">
        <v>160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</row>
    <row r="43" spans="1:100" x14ac:dyDescent="0.2">
      <c r="A43">
        <v>161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</row>
    <row r="44" spans="1:100" x14ac:dyDescent="0.2">
      <c r="A44">
        <v>162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</row>
    <row r="45" spans="1:100" x14ac:dyDescent="0.2">
      <c r="A45">
        <v>163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</row>
    <row r="46" spans="1:100" x14ac:dyDescent="0.2">
      <c r="A46">
        <v>170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</row>
    <row r="47" spans="1:100" x14ac:dyDescent="0.2">
      <c r="A47">
        <v>171</v>
      </c>
      <c r="B47">
        <v>2</v>
      </c>
      <c r="C47">
        <v>4</v>
      </c>
      <c r="D47">
        <v>6</v>
      </c>
      <c r="E47">
        <v>8</v>
      </c>
      <c r="F47">
        <v>10</v>
      </c>
      <c r="G47">
        <v>12</v>
      </c>
      <c r="H47">
        <v>14</v>
      </c>
      <c r="I47">
        <v>16</v>
      </c>
      <c r="J47">
        <v>18</v>
      </c>
      <c r="K47">
        <v>20</v>
      </c>
      <c r="L47">
        <v>20.100000000000001</v>
      </c>
      <c r="M47">
        <v>20.2</v>
      </c>
      <c r="N47">
        <v>20.3</v>
      </c>
      <c r="O47">
        <v>20.399999999999999</v>
      </c>
      <c r="P47">
        <v>20.5</v>
      </c>
      <c r="Q47">
        <v>20.6</v>
      </c>
      <c r="R47">
        <v>20.7</v>
      </c>
      <c r="S47">
        <v>20.8</v>
      </c>
      <c r="T47">
        <v>20.9</v>
      </c>
      <c r="U47">
        <v>21</v>
      </c>
      <c r="V47">
        <v>21.1</v>
      </c>
      <c r="W47">
        <v>21.2</v>
      </c>
      <c r="X47">
        <v>21.3</v>
      </c>
      <c r="Y47">
        <v>21.4</v>
      </c>
      <c r="Z47">
        <v>21.5</v>
      </c>
      <c r="AA47">
        <v>21.6</v>
      </c>
      <c r="AB47">
        <v>21.7</v>
      </c>
      <c r="AC47">
        <v>21.8</v>
      </c>
      <c r="AD47">
        <v>21.9</v>
      </c>
      <c r="AE47">
        <v>22</v>
      </c>
      <c r="AF47">
        <v>22.1</v>
      </c>
      <c r="AG47">
        <v>22.2</v>
      </c>
      <c r="AH47">
        <v>22.3</v>
      </c>
      <c r="AI47">
        <v>22.4</v>
      </c>
      <c r="AJ47">
        <v>22.5</v>
      </c>
      <c r="AK47">
        <v>22.6</v>
      </c>
      <c r="AL47">
        <v>22.7</v>
      </c>
      <c r="AM47">
        <v>22.8</v>
      </c>
      <c r="AN47">
        <v>22.9</v>
      </c>
      <c r="AO47">
        <v>23</v>
      </c>
      <c r="AP47">
        <v>23.1</v>
      </c>
      <c r="AQ47">
        <v>23.2</v>
      </c>
      <c r="AR47">
        <v>23.3</v>
      </c>
      <c r="AS47">
        <v>23.4</v>
      </c>
      <c r="AT47">
        <v>23.5</v>
      </c>
      <c r="AU47">
        <v>23.6</v>
      </c>
      <c r="AV47">
        <v>23.7</v>
      </c>
      <c r="AW47">
        <v>23.8</v>
      </c>
      <c r="AX47">
        <v>23.9</v>
      </c>
      <c r="AY47">
        <v>24</v>
      </c>
      <c r="AZ47">
        <v>24.1</v>
      </c>
      <c r="BA47">
        <v>24.2</v>
      </c>
      <c r="BB47">
        <v>24.3</v>
      </c>
      <c r="BC47">
        <v>24.4</v>
      </c>
      <c r="BD47">
        <v>24.5</v>
      </c>
      <c r="BE47">
        <v>24.6</v>
      </c>
      <c r="BF47">
        <v>24.7</v>
      </c>
      <c r="BG47">
        <v>24.8</v>
      </c>
      <c r="BH47">
        <v>24.9</v>
      </c>
      <c r="BI47">
        <v>25</v>
      </c>
      <c r="BJ47">
        <v>25.128205130000001</v>
      </c>
      <c r="BK47">
        <v>25.256410259999999</v>
      </c>
      <c r="BL47">
        <v>25.38461538</v>
      </c>
      <c r="BM47">
        <v>25.512820510000001</v>
      </c>
      <c r="BN47">
        <v>25.641025639999999</v>
      </c>
      <c r="BO47">
        <v>25.76923077</v>
      </c>
      <c r="BP47">
        <v>25.897435900000001</v>
      </c>
      <c r="BQ47">
        <v>26.025641029999999</v>
      </c>
      <c r="BR47">
        <v>26.15384615</v>
      </c>
      <c r="BS47">
        <v>26.282051280000001</v>
      </c>
      <c r="BT47">
        <v>26.410256409999999</v>
      </c>
      <c r="BU47">
        <v>26.53846154</v>
      </c>
      <c r="BV47">
        <v>26.666666670000001</v>
      </c>
      <c r="BW47">
        <v>26.794871789999998</v>
      </c>
      <c r="BX47">
        <v>26.92307692</v>
      </c>
      <c r="BY47">
        <v>27.051282050000001</v>
      </c>
      <c r="BZ47">
        <v>27.179487179999999</v>
      </c>
      <c r="CA47">
        <v>27.30769231</v>
      </c>
      <c r="CB47">
        <v>27.435897440000002</v>
      </c>
      <c r="CC47">
        <v>27.564102559999998</v>
      </c>
      <c r="CD47">
        <v>27.69230769</v>
      </c>
      <c r="CE47">
        <v>27.820512820000001</v>
      </c>
      <c r="CF47">
        <v>27.948717949999999</v>
      </c>
      <c r="CG47">
        <v>28.07692308</v>
      </c>
      <c r="CH47">
        <v>28.205128210000002</v>
      </c>
      <c r="CI47">
        <v>28.333333329999999</v>
      </c>
      <c r="CJ47">
        <v>28.46153846</v>
      </c>
      <c r="CK47">
        <v>28.589743590000001</v>
      </c>
      <c r="CL47">
        <v>28.717948719999999</v>
      </c>
      <c r="CM47">
        <v>28.84615385</v>
      </c>
      <c r="CN47">
        <v>28.974358970000001</v>
      </c>
      <c r="CO47">
        <v>29.102564099999999</v>
      </c>
      <c r="CP47">
        <v>29.23076923</v>
      </c>
      <c r="CQ47">
        <v>29.358974360000001</v>
      </c>
      <c r="CR47">
        <v>29.487179489999999</v>
      </c>
      <c r="CS47">
        <v>29.61538462</v>
      </c>
      <c r="CT47">
        <v>29.743589740000001</v>
      </c>
      <c r="CU47">
        <v>29.871794869999999</v>
      </c>
      <c r="CV47">
        <v>30</v>
      </c>
    </row>
    <row r="48" spans="1:100" x14ac:dyDescent="0.2">
      <c r="A48">
        <v>172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</row>
    <row r="49" spans="1:100" x14ac:dyDescent="0.2">
      <c r="A49">
        <v>173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</row>
    <row r="50" spans="1:100" x14ac:dyDescent="0.2">
      <c r="A50">
        <v>200</v>
      </c>
      <c r="B50" t="e">
        <v>#DIV/0!</v>
      </c>
      <c r="C50" t="e">
        <v>#DIV/0!</v>
      </c>
      <c r="D50" t="e">
        <v>#DIV/0!</v>
      </c>
      <c r="E50" t="e">
        <v>#DIV/0!</v>
      </c>
      <c r="F50" t="e">
        <v>#DIV/0!</v>
      </c>
      <c r="G50" t="e">
        <v>#DIV/0!</v>
      </c>
      <c r="H50" t="e">
        <v>#DIV/0!</v>
      </c>
      <c r="I50" t="e">
        <v>#DIV/0!</v>
      </c>
      <c r="J50" t="e">
        <v>#DIV/0!</v>
      </c>
      <c r="K50" t="e">
        <v>#DIV/0!</v>
      </c>
      <c r="L50" t="e">
        <v>#DIV/0!</v>
      </c>
      <c r="M50" t="e">
        <v>#DIV/0!</v>
      </c>
      <c r="N50" t="e">
        <v>#DIV/0!</v>
      </c>
      <c r="O50" t="e">
        <v>#DIV/0!</v>
      </c>
      <c r="P50" t="e">
        <v>#DIV/0!</v>
      </c>
      <c r="Q50" t="e">
        <v>#DIV/0!</v>
      </c>
      <c r="R50" t="e">
        <v>#DIV/0!</v>
      </c>
      <c r="S50" t="e">
        <v>#DIV/0!</v>
      </c>
      <c r="T50" t="e">
        <v>#DIV/0!</v>
      </c>
      <c r="U50" t="e">
        <v>#DIV/0!</v>
      </c>
      <c r="V50" t="e">
        <v>#DIV/0!</v>
      </c>
      <c r="W50" t="e">
        <v>#DIV/0!</v>
      </c>
      <c r="X50" t="e">
        <v>#DIV/0!</v>
      </c>
      <c r="Y50" t="e">
        <v>#DIV/0!</v>
      </c>
      <c r="Z50" t="e">
        <v>#DIV/0!</v>
      </c>
      <c r="AA50" t="e">
        <v>#DIV/0!</v>
      </c>
      <c r="AB50" t="e">
        <v>#DIV/0!</v>
      </c>
      <c r="AC50" t="e">
        <v>#DIV/0!</v>
      </c>
      <c r="AD50" t="e">
        <v>#DIV/0!</v>
      </c>
      <c r="AE50" t="e">
        <v>#DIV/0!</v>
      </c>
      <c r="AF50" t="e">
        <v>#DIV/0!</v>
      </c>
      <c r="AG50" t="e">
        <v>#DIV/0!</v>
      </c>
      <c r="AH50" t="e">
        <v>#DIV/0!</v>
      </c>
      <c r="AI50" t="e">
        <v>#DIV/0!</v>
      </c>
      <c r="AJ50" t="e">
        <v>#DIV/0!</v>
      </c>
      <c r="AK50" t="e">
        <v>#DIV/0!</v>
      </c>
      <c r="AL50" t="e">
        <v>#DIV/0!</v>
      </c>
      <c r="AM50" t="e">
        <v>#DIV/0!</v>
      </c>
      <c r="AN50" t="e">
        <v>#DIV/0!</v>
      </c>
      <c r="AO50" t="e">
        <v>#DIV/0!</v>
      </c>
      <c r="AP50" t="e">
        <v>#DIV/0!</v>
      </c>
      <c r="AQ50" t="e">
        <v>#DIV/0!</v>
      </c>
      <c r="AR50" t="e">
        <v>#DIV/0!</v>
      </c>
      <c r="AS50" t="e">
        <v>#DIV/0!</v>
      </c>
      <c r="AT50" t="e">
        <v>#DIV/0!</v>
      </c>
      <c r="AU50" t="e">
        <v>#DIV/0!</v>
      </c>
      <c r="AV50" t="e">
        <v>#DIV/0!</v>
      </c>
      <c r="AW50" t="e">
        <v>#DIV/0!</v>
      </c>
      <c r="AX50" t="e">
        <v>#DIV/0!</v>
      </c>
      <c r="AY50" t="e">
        <v>#DIV/0!</v>
      </c>
      <c r="AZ50" t="e">
        <v>#DIV/0!</v>
      </c>
      <c r="BA50" t="e">
        <v>#DIV/0!</v>
      </c>
      <c r="BB50" t="e">
        <v>#DIV/0!</v>
      </c>
      <c r="BC50" t="e">
        <v>#DIV/0!</v>
      </c>
      <c r="BD50" t="e">
        <v>#DIV/0!</v>
      </c>
      <c r="BE50" t="e">
        <v>#DIV/0!</v>
      </c>
      <c r="BF50" t="e">
        <v>#DIV/0!</v>
      </c>
      <c r="BG50" t="e">
        <v>#DIV/0!</v>
      </c>
      <c r="BH50" t="e">
        <v>#DIV/0!</v>
      </c>
      <c r="BI50" t="e">
        <v>#DIV/0!</v>
      </c>
      <c r="BJ50" t="e">
        <v>#DIV/0!</v>
      </c>
      <c r="BK50" t="e">
        <v>#DIV/0!</v>
      </c>
      <c r="BL50" t="e">
        <v>#DIV/0!</v>
      </c>
      <c r="BM50" t="e">
        <v>#DIV/0!</v>
      </c>
      <c r="BN50" t="e">
        <v>#DIV/0!</v>
      </c>
      <c r="BO50" t="e">
        <v>#DIV/0!</v>
      </c>
      <c r="BP50" t="e">
        <v>#DIV/0!</v>
      </c>
      <c r="BQ50" t="e">
        <v>#DIV/0!</v>
      </c>
      <c r="BR50" t="e">
        <v>#DIV/0!</v>
      </c>
      <c r="BS50" t="e">
        <v>#DIV/0!</v>
      </c>
      <c r="BT50" t="e">
        <v>#DIV/0!</v>
      </c>
      <c r="BU50" t="e">
        <v>#DIV/0!</v>
      </c>
      <c r="BV50" t="e">
        <v>#DIV/0!</v>
      </c>
      <c r="BW50" t="e">
        <v>#DIV/0!</v>
      </c>
      <c r="BX50" t="e">
        <v>#DIV/0!</v>
      </c>
      <c r="BY50" t="e">
        <v>#DIV/0!</v>
      </c>
      <c r="BZ50" t="e">
        <v>#DIV/0!</v>
      </c>
      <c r="CA50" t="e">
        <v>#DIV/0!</v>
      </c>
      <c r="CB50" t="e">
        <v>#DIV/0!</v>
      </c>
      <c r="CC50" t="e">
        <v>#DIV/0!</v>
      </c>
      <c r="CD50" t="e">
        <v>#DIV/0!</v>
      </c>
      <c r="CE50" t="e">
        <v>#DIV/0!</v>
      </c>
      <c r="CF50" t="e">
        <v>#DIV/0!</v>
      </c>
      <c r="CG50" t="e">
        <v>#DIV/0!</v>
      </c>
      <c r="CH50" t="e">
        <v>#DIV/0!</v>
      </c>
      <c r="CI50" t="e">
        <v>#DIV/0!</v>
      </c>
      <c r="CJ50" t="e">
        <v>#DIV/0!</v>
      </c>
      <c r="CK50" t="e">
        <v>#DIV/0!</v>
      </c>
      <c r="CL50" t="e">
        <v>#DIV/0!</v>
      </c>
      <c r="CM50" t="e">
        <v>#DIV/0!</v>
      </c>
      <c r="CN50" t="e">
        <v>#DIV/0!</v>
      </c>
      <c r="CO50" t="e">
        <v>#DIV/0!</v>
      </c>
      <c r="CP50" t="e">
        <v>#DIV/0!</v>
      </c>
      <c r="CQ50" t="e">
        <v>#DIV/0!</v>
      </c>
      <c r="CR50" t="e">
        <v>#DIV/0!</v>
      </c>
      <c r="CS50" t="e">
        <v>#DIV/0!</v>
      </c>
      <c r="CT50" t="e">
        <v>#DIV/0!</v>
      </c>
      <c r="CU50" t="e">
        <v>#DIV/0!</v>
      </c>
      <c r="CV50" t="e">
        <v>#DIV/0!</v>
      </c>
    </row>
    <row r="51" spans="1:100" x14ac:dyDescent="0.2">
      <c r="A51">
        <v>210</v>
      </c>
      <c r="B51">
        <v>-1.3333333329999999</v>
      </c>
      <c r="C51">
        <v>1</v>
      </c>
      <c r="D51">
        <v>3.3333333330000001</v>
      </c>
      <c r="E51">
        <v>5.6666666670000003</v>
      </c>
      <c r="F51">
        <v>8</v>
      </c>
      <c r="G51">
        <v>10.33333333</v>
      </c>
      <c r="H51">
        <v>12.66666667</v>
      </c>
      <c r="I51">
        <v>15</v>
      </c>
      <c r="J51">
        <v>23.75</v>
      </c>
      <c r="K51">
        <v>32.5</v>
      </c>
      <c r="L51">
        <v>41.25</v>
      </c>
      <c r="M51">
        <v>50</v>
      </c>
      <c r="N51">
        <v>60</v>
      </c>
      <c r="O51">
        <v>70</v>
      </c>
      <c r="P51">
        <v>80</v>
      </c>
      <c r="Q51">
        <v>90</v>
      </c>
      <c r="R51">
        <v>92.5</v>
      </c>
      <c r="S51">
        <v>95</v>
      </c>
      <c r="T51">
        <v>97.5</v>
      </c>
      <c r="U51">
        <v>100</v>
      </c>
      <c r="V51">
        <v>102.5</v>
      </c>
      <c r="W51">
        <v>105</v>
      </c>
      <c r="X51">
        <v>107.5</v>
      </c>
      <c r="Y51">
        <v>110</v>
      </c>
      <c r="Z51">
        <v>112.5</v>
      </c>
      <c r="AA51">
        <v>115</v>
      </c>
      <c r="AB51">
        <v>117.5</v>
      </c>
      <c r="AC51">
        <v>120</v>
      </c>
      <c r="AD51">
        <v>122.5</v>
      </c>
      <c r="AE51">
        <v>125</v>
      </c>
      <c r="AF51">
        <v>127.5</v>
      </c>
      <c r="AG51">
        <v>130</v>
      </c>
      <c r="AH51">
        <v>132.5</v>
      </c>
      <c r="AI51">
        <v>135</v>
      </c>
      <c r="AJ51">
        <v>137.5</v>
      </c>
      <c r="AK51">
        <v>140</v>
      </c>
      <c r="AL51">
        <v>142.5</v>
      </c>
      <c r="AM51">
        <v>145</v>
      </c>
      <c r="AN51">
        <v>147.5</v>
      </c>
      <c r="AO51">
        <v>150</v>
      </c>
      <c r="AP51">
        <v>152.5</v>
      </c>
      <c r="AQ51">
        <v>155</v>
      </c>
      <c r="AR51">
        <v>157.5</v>
      </c>
      <c r="AS51">
        <v>160</v>
      </c>
      <c r="AT51">
        <v>162.5</v>
      </c>
      <c r="AU51">
        <v>165</v>
      </c>
      <c r="AV51">
        <v>167.5</v>
      </c>
      <c r="AW51">
        <v>170</v>
      </c>
      <c r="AX51">
        <v>172.5</v>
      </c>
      <c r="AY51">
        <v>175</v>
      </c>
      <c r="AZ51">
        <v>177.5</v>
      </c>
      <c r="BA51">
        <v>180</v>
      </c>
      <c r="BB51">
        <v>182.5</v>
      </c>
      <c r="BC51">
        <v>185</v>
      </c>
      <c r="BD51">
        <v>187.5</v>
      </c>
      <c r="BE51">
        <v>190</v>
      </c>
      <c r="BF51">
        <v>192.5</v>
      </c>
      <c r="BG51">
        <v>195</v>
      </c>
      <c r="BH51">
        <v>197.5</v>
      </c>
      <c r="BI51">
        <v>200</v>
      </c>
      <c r="BJ51">
        <v>202.5</v>
      </c>
      <c r="BK51">
        <v>205</v>
      </c>
      <c r="BL51">
        <v>207.5</v>
      </c>
      <c r="BM51">
        <v>210</v>
      </c>
      <c r="BN51">
        <v>212.5</v>
      </c>
      <c r="BO51">
        <v>215</v>
      </c>
      <c r="BP51">
        <v>217.5</v>
      </c>
      <c r="BQ51">
        <v>220</v>
      </c>
      <c r="BR51">
        <v>222.5</v>
      </c>
      <c r="BS51">
        <v>225</v>
      </c>
      <c r="BT51">
        <v>227.5</v>
      </c>
      <c r="BU51">
        <v>230</v>
      </c>
      <c r="BV51">
        <v>232.5</v>
      </c>
      <c r="BW51">
        <v>235</v>
      </c>
      <c r="BX51">
        <v>237.5</v>
      </c>
      <c r="BY51">
        <v>240</v>
      </c>
      <c r="BZ51">
        <v>242.5</v>
      </c>
      <c r="CA51">
        <v>245</v>
      </c>
      <c r="CB51">
        <v>247.5</v>
      </c>
      <c r="CC51">
        <v>250</v>
      </c>
      <c r="CD51">
        <v>252.5</v>
      </c>
      <c r="CE51">
        <v>255</v>
      </c>
      <c r="CF51">
        <v>257.5</v>
      </c>
      <c r="CG51">
        <v>260</v>
      </c>
      <c r="CH51">
        <v>262.5</v>
      </c>
      <c r="CI51">
        <v>265</v>
      </c>
      <c r="CJ51">
        <v>267.5</v>
      </c>
      <c r="CK51">
        <v>270</v>
      </c>
      <c r="CL51">
        <v>272.5</v>
      </c>
      <c r="CM51">
        <v>275</v>
      </c>
      <c r="CN51">
        <v>277.5</v>
      </c>
      <c r="CO51">
        <v>280</v>
      </c>
      <c r="CP51">
        <v>282.5</v>
      </c>
      <c r="CQ51">
        <v>285</v>
      </c>
      <c r="CR51">
        <v>287.5</v>
      </c>
      <c r="CS51">
        <v>290</v>
      </c>
      <c r="CT51">
        <v>292.5</v>
      </c>
      <c r="CU51">
        <v>295</v>
      </c>
      <c r="CV51">
        <v>297.5</v>
      </c>
    </row>
    <row r="52" spans="1:100" x14ac:dyDescent="0.2">
      <c r="A52">
        <v>211</v>
      </c>
      <c r="B52">
        <v>80.25</v>
      </c>
      <c r="C52">
        <v>80.5</v>
      </c>
      <c r="D52">
        <v>80.75</v>
      </c>
      <c r="E52">
        <v>81</v>
      </c>
      <c r="F52">
        <v>81.25</v>
      </c>
      <c r="G52">
        <v>81.5</v>
      </c>
      <c r="H52">
        <v>81.75</v>
      </c>
      <c r="I52">
        <v>82</v>
      </c>
      <c r="J52">
        <v>82.25</v>
      </c>
      <c r="K52">
        <v>82.5</v>
      </c>
      <c r="L52">
        <v>82.75</v>
      </c>
      <c r="M52">
        <v>83</v>
      </c>
      <c r="N52">
        <v>83.25</v>
      </c>
      <c r="O52">
        <v>83.5</v>
      </c>
      <c r="P52">
        <v>83.75</v>
      </c>
      <c r="Q52">
        <v>84</v>
      </c>
      <c r="R52">
        <v>84.25</v>
      </c>
      <c r="S52">
        <v>84.5</v>
      </c>
      <c r="T52">
        <v>84.75</v>
      </c>
      <c r="U52">
        <v>85</v>
      </c>
      <c r="V52">
        <v>85.25</v>
      </c>
      <c r="W52">
        <v>85.5</v>
      </c>
      <c r="X52">
        <v>85.75</v>
      </c>
      <c r="Y52">
        <v>86</v>
      </c>
      <c r="Z52">
        <v>86.25</v>
      </c>
      <c r="AA52">
        <v>86.5</v>
      </c>
      <c r="AB52">
        <v>86.75</v>
      </c>
      <c r="AC52">
        <v>87</v>
      </c>
      <c r="AD52">
        <v>87.25</v>
      </c>
      <c r="AE52">
        <v>87.5</v>
      </c>
      <c r="AF52">
        <v>87.75</v>
      </c>
      <c r="AG52">
        <v>88</v>
      </c>
      <c r="AH52">
        <v>88.25</v>
      </c>
      <c r="AI52">
        <v>88.5</v>
      </c>
      <c r="AJ52">
        <v>88.75</v>
      </c>
      <c r="AK52">
        <v>89</v>
      </c>
      <c r="AL52">
        <v>89.25</v>
      </c>
      <c r="AM52">
        <v>89.5</v>
      </c>
      <c r="AN52">
        <v>89.75</v>
      </c>
      <c r="AO52">
        <v>90</v>
      </c>
      <c r="AP52">
        <v>90.333333330000002</v>
      </c>
      <c r="AQ52">
        <v>90.666666669999998</v>
      </c>
      <c r="AR52">
        <v>91</v>
      </c>
      <c r="AS52">
        <v>91.333333330000002</v>
      </c>
      <c r="AT52">
        <v>91.666666669999998</v>
      </c>
      <c r="AU52">
        <v>92</v>
      </c>
      <c r="AV52">
        <v>92.333333330000002</v>
      </c>
      <c r="AW52">
        <v>92.666666669999998</v>
      </c>
      <c r="AX52">
        <v>93</v>
      </c>
      <c r="AY52">
        <v>93.333333330000002</v>
      </c>
      <c r="AZ52">
        <v>93.666666669999998</v>
      </c>
      <c r="BA52">
        <v>94</v>
      </c>
      <c r="BB52">
        <v>94.333333330000002</v>
      </c>
      <c r="BC52">
        <v>94.666666669999998</v>
      </c>
      <c r="BD52">
        <v>95</v>
      </c>
      <c r="BE52">
        <v>95.333333330000002</v>
      </c>
      <c r="BF52">
        <v>95.666666669999998</v>
      </c>
      <c r="BG52">
        <v>96</v>
      </c>
      <c r="BH52">
        <v>96.333333330000002</v>
      </c>
      <c r="BI52">
        <v>96.666666669999998</v>
      </c>
      <c r="BJ52">
        <v>97</v>
      </c>
      <c r="BK52">
        <v>97.333333330000002</v>
      </c>
      <c r="BL52">
        <v>97.666666669999998</v>
      </c>
      <c r="BM52">
        <v>98</v>
      </c>
      <c r="BN52">
        <v>98.333333330000002</v>
      </c>
      <c r="BO52">
        <v>98.666666669999998</v>
      </c>
      <c r="BP52">
        <v>99</v>
      </c>
      <c r="BQ52">
        <v>99.333333330000002</v>
      </c>
      <c r="BR52">
        <v>99.666666669999998</v>
      </c>
      <c r="BS52">
        <v>100</v>
      </c>
      <c r="BT52">
        <v>100.33333330000001</v>
      </c>
      <c r="BU52">
        <v>100.66666669999999</v>
      </c>
      <c r="BV52">
        <v>101</v>
      </c>
      <c r="BW52">
        <v>101.33333330000001</v>
      </c>
      <c r="BX52">
        <v>101.66666669999999</v>
      </c>
      <c r="BY52">
        <v>102</v>
      </c>
      <c r="BZ52">
        <v>102.33333330000001</v>
      </c>
      <c r="CA52">
        <v>102.66666669999999</v>
      </c>
      <c r="CB52">
        <v>103</v>
      </c>
      <c r="CC52">
        <v>103.33333330000001</v>
      </c>
      <c r="CD52">
        <v>103.66666669999999</v>
      </c>
      <c r="CE52">
        <v>104</v>
      </c>
      <c r="CF52">
        <v>104.33333330000001</v>
      </c>
      <c r="CG52">
        <v>104.66666669999999</v>
      </c>
      <c r="CH52">
        <v>105</v>
      </c>
      <c r="CI52">
        <v>105.33333330000001</v>
      </c>
      <c r="CJ52">
        <v>105.66666669999999</v>
      </c>
      <c r="CK52">
        <v>106</v>
      </c>
      <c r="CL52">
        <v>106.33333330000001</v>
      </c>
      <c r="CM52">
        <v>106.66666669999999</v>
      </c>
      <c r="CN52">
        <v>107</v>
      </c>
      <c r="CO52">
        <v>107.33333330000001</v>
      </c>
      <c r="CP52">
        <v>107.66666669999999</v>
      </c>
      <c r="CQ52">
        <v>108</v>
      </c>
      <c r="CR52">
        <v>108.33333330000001</v>
      </c>
      <c r="CS52">
        <v>108.66666669999999</v>
      </c>
      <c r="CT52">
        <v>109</v>
      </c>
      <c r="CU52">
        <v>109.33333330000001</v>
      </c>
      <c r="CV52">
        <v>109.66666669999999</v>
      </c>
    </row>
    <row r="53" spans="1:100" x14ac:dyDescent="0.2">
      <c r="A53">
        <v>212</v>
      </c>
      <c r="B53">
        <v>135</v>
      </c>
      <c r="C53">
        <v>135</v>
      </c>
      <c r="D53">
        <v>135</v>
      </c>
      <c r="E53">
        <v>135</v>
      </c>
      <c r="F53">
        <v>135</v>
      </c>
      <c r="G53">
        <v>135</v>
      </c>
      <c r="H53">
        <v>135</v>
      </c>
      <c r="I53">
        <v>135</v>
      </c>
      <c r="J53">
        <v>135</v>
      </c>
      <c r="K53">
        <v>135</v>
      </c>
      <c r="L53">
        <v>133</v>
      </c>
      <c r="M53">
        <v>131</v>
      </c>
      <c r="N53">
        <v>129</v>
      </c>
      <c r="O53">
        <v>127</v>
      </c>
      <c r="P53">
        <v>125</v>
      </c>
      <c r="Q53">
        <v>123</v>
      </c>
      <c r="R53">
        <v>121</v>
      </c>
      <c r="S53">
        <v>119</v>
      </c>
      <c r="T53">
        <v>117</v>
      </c>
      <c r="U53">
        <v>115</v>
      </c>
      <c r="V53">
        <v>114</v>
      </c>
      <c r="W53">
        <v>113</v>
      </c>
      <c r="X53">
        <v>112</v>
      </c>
      <c r="Y53">
        <v>111</v>
      </c>
      <c r="Z53">
        <v>110</v>
      </c>
      <c r="AA53">
        <v>109</v>
      </c>
      <c r="AB53">
        <v>108</v>
      </c>
      <c r="AC53">
        <v>107</v>
      </c>
      <c r="AD53">
        <v>106</v>
      </c>
      <c r="AE53">
        <v>105</v>
      </c>
      <c r="AF53">
        <v>104</v>
      </c>
      <c r="AG53">
        <v>103</v>
      </c>
      <c r="AH53">
        <v>102</v>
      </c>
      <c r="AI53">
        <v>101</v>
      </c>
      <c r="AJ53">
        <v>100</v>
      </c>
      <c r="AK53">
        <v>99.875</v>
      </c>
      <c r="AL53">
        <v>99.75</v>
      </c>
      <c r="AM53">
        <v>99.625</v>
      </c>
      <c r="AN53">
        <v>99.5</v>
      </c>
      <c r="AO53">
        <v>99.375</v>
      </c>
      <c r="AP53">
        <v>99.25</v>
      </c>
      <c r="AQ53">
        <v>99.125</v>
      </c>
      <c r="AR53">
        <v>99</v>
      </c>
      <c r="AS53">
        <v>98.875</v>
      </c>
      <c r="AT53">
        <v>98.75</v>
      </c>
      <c r="AU53">
        <v>98.625</v>
      </c>
      <c r="AV53">
        <v>98.5</v>
      </c>
      <c r="AW53">
        <v>98.375</v>
      </c>
      <c r="AX53">
        <v>98.25</v>
      </c>
      <c r="AY53">
        <v>98.125</v>
      </c>
      <c r="AZ53">
        <v>98</v>
      </c>
      <c r="BA53">
        <v>97.875</v>
      </c>
      <c r="BB53">
        <v>97.75</v>
      </c>
      <c r="BC53">
        <v>97.625</v>
      </c>
      <c r="BD53">
        <v>97.5</v>
      </c>
      <c r="BE53">
        <v>97.375</v>
      </c>
      <c r="BF53">
        <v>97.25</v>
      </c>
      <c r="BG53">
        <v>97.125</v>
      </c>
      <c r="BH53">
        <v>97</v>
      </c>
      <c r="BI53">
        <v>96.875</v>
      </c>
      <c r="BJ53">
        <v>96.75</v>
      </c>
      <c r="BK53">
        <v>96.625</v>
      </c>
      <c r="BL53">
        <v>96.5</v>
      </c>
      <c r="BM53">
        <v>96.375</v>
      </c>
      <c r="BN53">
        <v>96.25</v>
      </c>
      <c r="BO53">
        <v>96.125</v>
      </c>
      <c r="BP53">
        <v>96</v>
      </c>
      <c r="BQ53">
        <v>95.875</v>
      </c>
      <c r="BR53">
        <v>95.75</v>
      </c>
      <c r="BS53">
        <v>95.625</v>
      </c>
      <c r="BT53">
        <v>95.5</v>
      </c>
      <c r="BU53">
        <v>95.375</v>
      </c>
      <c r="BV53">
        <v>95.25</v>
      </c>
      <c r="BW53">
        <v>95.125</v>
      </c>
      <c r="BX53">
        <v>95</v>
      </c>
      <c r="BY53">
        <v>94.875</v>
      </c>
      <c r="BZ53">
        <v>94.75</v>
      </c>
      <c r="CA53">
        <v>94.625</v>
      </c>
      <c r="CB53">
        <v>94.5</v>
      </c>
      <c r="CC53">
        <v>94.375</v>
      </c>
      <c r="CD53">
        <v>94.25</v>
      </c>
      <c r="CE53">
        <v>94.125</v>
      </c>
      <c r="CF53">
        <v>94</v>
      </c>
      <c r="CG53">
        <v>93.875</v>
      </c>
      <c r="CH53">
        <v>93.75</v>
      </c>
      <c r="CI53">
        <v>93.625</v>
      </c>
      <c r="CJ53">
        <v>93.5</v>
      </c>
      <c r="CK53">
        <v>93.375</v>
      </c>
      <c r="CL53">
        <v>93.25</v>
      </c>
      <c r="CM53">
        <v>93.125</v>
      </c>
      <c r="CN53">
        <v>93</v>
      </c>
      <c r="CO53">
        <v>92.875</v>
      </c>
      <c r="CP53">
        <v>92.75</v>
      </c>
      <c r="CQ53">
        <v>92.625</v>
      </c>
      <c r="CR53">
        <v>92.5</v>
      </c>
      <c r="CS53">
        <v>92.375</v>
      </c>
      <c r="CT53">
        <v>92.25</v>
      </c>
      <c r="CU53">
        <v>92.125</v>
      </c>
      <c r="CV53">
        <v>92</v>
      </c>
    </row>
    <row r="54" spans="1:100" x14ac:dyDescent="0.2">
      <c r="A54">
        <v>213</v>
      </c>
      <c r="B54">
        <v>120</v>
      </c>
      <c r="C54">
        <v>120</v>
      </c>
      <c r="D54">
        <v>120</v>
      </c>
      <c r="E54">
        <v>120</v>
      </c>
      <c r="F54">
        <v>120</v>
      </c>
      <c r="G54">
        <v>118.66666669999999</v>
      </c>
      <c r="H54">
        <v>117.33333330000001</v>
      </c>
      <c r="I54">
        <v>116</v>
      </c>
      <c r="J54">
        <v>114.66666669999999</v>
      </c>
      <c r="K54">
        <v>113.33333330000001</v>
      </c>
      <c r="L54">
        <v>112</v>
      </c>
      <c r="M54">
        <v>110.66666669999999</v>
      </c>
      <c r="N54">
        <v>109.33333330000001</v>
      </c>
      <c r="O54">
        <v>108</v>
      </c>
      <c r="P54">
        <v>106.66666669999999</v>
      </c>
      <c r="Q54">
        <v>105.33333330000001</v>
      </c>
      <c r="R54">
        <v>104</v>
      </c>
      <c r="S54">
        <v>102.66666669999999</v>
      </c>
      <c r="T54">
        <v>101.33333330000001</v>
      </c>
      <c r="U54">
        <v>100</v>
      </c>
      <c r="V54">
        <v>99.8</v>
      </c>
      <c r="W54">
        <v>99.6</v>
      </c>
      <c r="X54">
        <v>99.4</v>
      </c>
      <c r="Y54">
        <v>99.2</v>
      </c>
      <c r="Z54">
        <v>99</v>
      </c>
      <c r="AA54">
        <v>98.8</v>
      </c>
      <c r="AB54">
        <v>98.6</v>
      </c>
      <c r="AC54">
        <v>98.4</v>
      </c>
      <c r="AD54">
        <v>98.2</v>
      </c>
      <c r="AE54">
        <v>98</v>
      </c>
      <c r="AF54">
        <v>97.8</v>
      </c>
      <c r="AG54">
        <v>97.6</v>
      </c>
      <c r="AH54">
        <v>97.4</v>
      </c>
      <c r="AI54">
        <v>97.2</v>
      </c>
      <c r="AJ54">
        <v>97</v>
      </c>
      <c r="AK54">
        <v>96.96875</v>
      </c>
      <c r="AL54">
        <v>96.9375</v>
      </c>
      <c r="AM54">
        <v>96.90625</v>
      </c>
      <c r="AN54">
        <v>96.875</v>
      </c>
      <c r="AO54">
        <v>96.84375</v>
      </c>
      <c r="AP54">
        <v>96.8125</v>
      </c>
      <c r="AQ54">
        <v>96.78125</v>
      </c>
      <c r="AR54">
        <v>96.75</v>
      </c>
      <c r="AS54">
        <v>96.71875</v>
      </c>
      <c r="AT54">
        <v>96.6875</v>
      </c>
      <c r="AU54">
        <v>96.65625</v>
      </c>
      <c r="AV54">
        <v>96.625</v>
      </c>
      <c r="AW54">
        <v>96.59375</v>
      </c>
      <c r="AX54">
        <v>96.5625</v>
      </c>
      <c r="AY54">
        <v>96.53125</v>
      </c>
      <c r="AZ54">
        <v>96.5</v>
      </c>
      <c r="BA54">
        <v>96.46875</v>
      </c>
      <c r="BB54">
        <v>96.4375</v>
      </c>
      <c r="BC54">
        <v>96.40625</v>
      </c>
      <c r="BD54">
        <v>96.375</v>
      </c>
      <c r="BE54">
        <v>96.34375</v>
      </c>
      <c r="BF54">
        <v>96.3125</v>
      </c>
      <c r="BG54">
        <v>96.28125</v>
      </c>
      <c r="BH54">
        <v>96.25</v>
      </c>
      <c r="BI54">
        <v>96.21875</v>
      </c>
      <c r="BJ54">
        <v>96.1875</v>
      </c>
      <c r="BK54">
        <v>96.15625</v>
      </c>
      <c r="BL54">
        <v>96.125</v>
      </c>
      <c r="BM54">
        <v>96.09375</v>
      </c>
      <c r="BN54">
        <v>96.0625</v>
      </c>
      <c r="BO54">
        <v>96.03125</v>
      </c>
      <c r="BP54">
        <v>96</v>
      </c>
      <c r="BQ54">
        <v>95.96875</v>
      </c>
      <c r="BR54">
        <v>95.9375</v>
      </c>
      <c r="BS54">
        <v>95.90625</v>
      </c>
      <c r="BT54">
        <v>95.875</v>
      </c>
      <c r="BU54">
        <v>95.84375</v>
      </c>
      <c r="BV54">
        <v>95.8125</v>
      </c>
      <c r="BW54">
        <v>95.78125</v>
      </c>
      <c r="BX54">
        <v>95.75</v>
      </c>
      <c r="BY54">
        <v>95.71875</v>
      </c>
      <c r="BZ54">
        <v>95.6875</v>
      </c>
      <c r="CA54">
        <v>95.65625</v>
      </c>
      <c r="CB54">
        <v>95.625</v>
      </c>
      <c r="CC54">
        <v>95.59375</v>
      </c>
      <c r="CD54">
        <v>95.5625</v>
      </c>
      <c r="CE54">
        <v>95.53125</v>
      </c>
      <c r="CF54">
        <v>95.5</v>
      </c>
      <c r="CG54">
        <v>95.46875</v>
      </c>
      <c r="CH54">
        <v>95.4375</v>
      </c>
      <c r="CI54">
        <v>95.40625</v>
      </c>
      <c r="CJ54">
        <v>95.375</v>
      </c>
      <c r="CK54">
        <v>95.34375</v>
      </c>
      <c r="CL54">
        <v>95.3125</v>
      </c>
      <c r="CM54">
        <v>95.28125</v>
      </c>
      <c r="CN54">
        <v>95.25</v>
      </c>
      <c r="CO54">
        <v>95.21875</v>
      </c>
      <c r="CP54">
        <v>95.1875</v>
      </c>
      <c r="CQ54">
        <v>95.15625</v>
      </c>
      <c r="CR54">
        <v>95.125</v>
      </c>
      <c r="CS54">
        <v>95.09375</v>
      </c>
      <c r="CT54">
        <v>95.0625</v>
      </c>
      <c r="CU54">
        <v>95.03125</v>
      </c>
      <c r="CV54">
        <v>95</v>
      </c>
    </row>
    <row r="55" spans="1:100" x14ac:dyDescent="0.2">
      <c r="A55">
        <v>300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1.0069444439999999</v>
      </c>
      <c r="CA55">
        <v>1.013888889</v>
      </c>
      <c r="CB55">
        <v>1.0208333329999999</v>
      </c>
      <c r="CC55">
        <v>1.0277777779999999</v>
      </c>
      <c r="CD55">
        <v>1.0347222220000001</v>
      </c>
      <c r="CE55">
        <v>1.0416666670000001</v>
      </c>
      <c r="CF55">
        <v>1.048611111</v>
      </c>
      <c r="CG55">
        <v>1.0555555560000001</v>
      </c>
      <c r="CH55">
        <v>1.0625</v>
      </c>
      <c r="CI55">
        <v>1.0694444439999999</v>
      </c>
      <c r="CJ55">
        <v>1.076388889</v>
      </c>
      <c r="CK55">
        <v>1.0833333329999999</v>
      </c>
      <c r="CL55">
        <v>1.0902777779999999</v>
      </c>
      <c r="CM55">
        <v>1.0972222220000001</v>
      </c>
      <c r="CN55">
        <v>1.1041666670000001</v>
      </c>
      <c r="CO55">
        <v>1.111111111</v>
      </c>
      <c r="CP55">
        <v>1.1180555560000001</v>
      </c>
      <c r="CQ55">
        <v>1.125</v>
      </c>
      <c r="CR55">
        <v>1.1319444439999999</v>
      </c>
      <c r="CS55">
        <v>1.138888889</v>
      </c>
      <c r="CT55">
        <v>1.1458333329999999</v>
      </c>
      <c r="CU55">
        <v>1.1527777779999999</v>
      </c>
      <c r="CV55">
        <v>1.1597222220000001</v>
      </c>
    </row>
    <row r="56" spans="1:100" x14ac:dyDescent="0.2">
      <c r="A56">
        <v>301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1.0006944440000001</v>
      </c>
      <c r="CA56">
        <v>1.001388889</v>
      </c>
      <c r="CB56">
        <v>1.0020833330000001</v>
      </c>
      <c r="CC56">
        <v>1.002777778</v>
      </c>
      <c r="CD56">
        <v>1.0034722220000001</v>
      </c>
      <c r="CE56">
        <v>1.004166667</v>
      </c>
      <c r="CF56">
        <v>1.0048611110000001</v>
      </c>
      <c r="CG56">
        <v>1.005555556</v>
      </c>
      <c r="CH56">
        <v>1.0062500000000001</v>
      </c>
      <c r="CI56">
        <v>1.0069444439999999</v>
      </c>
      <c r="CJ56">
        <v>1.0076388890000001</v>
      </c>
      <c r="CK56">
        <v>1.0083333329999999</v>
      </c>
      <c r="CL56">
        <v>1.0090277780000001</v>
      </c>
      <c r="CM56">
        <v>1.0097222219999999</v>
      </c>
      <c r="CN56">
        <v>1.0104166670000001</v>
      </c>
      <c r="CO56">
        <v>1.011111111</v>
      </c>
      <c r="CP56">
        <v>1.0118055560000001</v>
      </c>
      <c r="CQ56">
        <v>1.0125</v>
      </c>
      <c r="CR56">
        <v>1.013194444</v>
      </c>
      <c r="CS56">
        <v>1.013888889</v>
      </c>
      <c r="CT56">
        <v>1.014583333</v>
      </c>
      <c r="CU56">
        <v>1.015277778</v>
      </c>
      <c r="CV56">
        <v>1.015972222</v>
      </c>
    </row>
    <row r="57" spans="1:100" x14ac:dyDescent="0.2">
      <c r="A57">
        <v>302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1.0006944440000001</v>
      </c>
      <c r="CA57">
        <v>1.001388889</v>
      </c>
      <c r="CB57">
        <v>1.0020833330000001</v>
      </c>
      <c r="CC57">
        <v>1.002777778</v>
      </c>
      <c r="CD57">
        <v>1.0034722220000001</v>
      </c>
      <c r="CE57">
        <v>1.004166667</v>
      </c>
      <c r="CF57">
        <v>1.0048611110000001</v>
      </c>
      <c r="CG57">
        <v>1.005555556</v>
      </c>
      <c r="CH57">
        <v>1.0062500000000001</v>
      </c>
      <c r="CI57">
        <v>1.0069444439999999</v>
      </c>
      <c r="CJ57">
        <v>1.0076388890000001</v>
      </c>
      <c r="CK57">
        <v>1.0083333329999999</v>
      </c>
      <c r="CL57">
        <v>1.0090277780000001</v>
      </c>
      <c r="CM57">
        <v>1.0097222219999999</v>
      </c>
      <c r="CN57">
        <v>1.0104166670000001</v>
      </c>
      <c r="CO57">
        <v>1.011111111</v>
      </c>
      <c r="CP57">
        <v>1.0118055560000001</v>
      </c>
      <c r="CQ57">
        <v>1.0125</v>
      </c>
      <c r="CR57">
        <v>1.013194444</v>
      </c>
      <c r="CS57">
        <v>1.013888889</v>
      </c>
      <c r="CT57">
        <v>1.014583333</v>
      </c>
      <c r="CU57">
        <v>1.015277778</v>
      </c>
      <c r="CV57">
        <v>1.015972222</v>
      </c>
    </row>
    <row r="58" spans="1:100" x14ac:dyDescent="0.2">
      <c r="A58">
        <v>303</v>
      </c>
      <c r="B58">
        <v>93</v>
      </c>
      <c r="C58">
        <v>93.28</v>
      </c>
      <c r="D58">
        <v>93.56</v>
      </c>
      <c r="E58">
        <v>93.84</v>
      </c>
      <c r="F58">
        <v>94.12</v>
      </c>
      <c r="G58">
        <v>94.4</v>
      </c>
      <c r="H58">
        <v>94.68</v>
      </c>
      <c r="I58">
        <v>94.96</v>
      </c>
      <c r="J58">
        <v>95.24</v>
      </c>
      <c r="K58">
        <v>95.52</v>
      </c>
      <c r="L58">
        <v>95.8</v>
      </c>
      <c r="M58">
        <v>96.08</v>
      </c>
      <c r="N58">
        <v>96.36</v>
      </c>
      <c r="O58">
        <v>96.64</v>
      </c>
      <c r="P58">
        <v>96.92</v>
      </c>
      <c r="Q58">
        <v>97.2</v>
      </c>
      <c r="R58">
        <v>97.48</v>
      </c>
      <c r="S58">
        <v>97.76</v>
      </c>
      <c r="T58">
        <v>98.04</v>
      </c>
      <c r="U58">
        <v>98.32</v>
      </c>
      <c r="V58">
        <v>98.6</v>
      </c>
      <c r="W58">
        <v>98.88</v>
      </c>
      <c r="X58">
        <v>99.16</v>
      </c>
      <c r="Y58">
        <v>99.44</v>
      </c>
      <c r="Z58">
        <v>99.72</v>
      </c>
      <c r="AA58">
        <v>100</v>
      </c>
      <c r="AB58">
        <v>100.28</v>
      </c>
      <c r="AC58">
        <v>100.56</v>
      </c>
      <c r="AD58">
        <v>100.84</v>
      </c>
      <c r="AE58">
        <v>101.12</v>
      </c>
      <c r="AF58">
        <v>101.4</v>
      </c>
      <c r="AG58">
        <v>101.68</v>
      </c>
      <c r="AH58">
        <v>101.96</v>
      </c>
      <c r="AI58">
        <v>102.24</v>
      </c>
      <c r="AJ58">
        <v>102.52</v>
      </c>
      <c r="AK58">
        <v>102.8</v>
      </c>
      <c r="AL58">
        <v>103.08</v>
      </c>
      <c r="AM58">
        <v>103.36</v>
      </c>
      <c r="AN58">
        <v>103.64</v>
      </c>
      <c r="AO58">
        <v>103.92</v>
      </c>
      <c r="AP58">
        <v>104.2</v>
      </c>
      <c r="AQ58">
        <v>104.48</v>
      </c>
      <c r="AR58">
        <v>104.76</v>
      </c>
      <c r="AS58">
        <v>105.04</v>
      </c>
      <c r="AT58">
        <v>105.32</v>
      </c>
      <c r="AU58">
        <v>105.6</v>
      </c>
      <c r="AV58">
        <v>105.88</v>
      </c>
      <c r="AW58">
        <v>106.16</v>
      </c>
      <c r="AX58">
        <v>106.44</v>
      </c>
      <c r="AY58">
        <v>106.72</v>
      </c>
      <c r="AZ58">
        <v>107</v>
      </c>
      <c r="BA58">
        <v>107.28</v>
      </c>
      <c r="BB58">
        <v>107.56</v>
      </c>
      <c r="BC58">
        <v>107.84</v>
      </c>
      <c r="BD58">
        <v>108.12</v>
      </c>
      <c r="BE58">
        <v>108.4</v>
      </c>
      <c r="BF58">
        <v>108.68</v>
      </c>
      <c r="BG58">
        <v>108.96</v>
      </c>
      <c r="BH58">
        <v>109.24</v>
      </c>
      <c r="BI58">
        <v>109.52</v>
      </c>
      <c r="BJ58">
        <v>109.8</v>
      </c>
      <c r="BK58">
        <v>110.08</v>
      </c>
      <c r="BL58">
        <v>110.36</v>
      </c>
      <c r="BM58">
        <v>110.64</v>
      </c>
      <c r="BN58">
        <v>110.92</v>
      </c>
      <c r="BO58">
        <v>111.2</v>
      </c>
      <c r="BP58">
        <v>111.48</v>
      </c>
      <c r="BQ58">
        <v>111.76</v>
      </c>
      <c r="BR58">
        <v>112.04</v>
      </c>
      <c r="BS58">
        <v>112.32</v>
      </c>
      <c r="BT58">
        <v>112.6</v>
      </c>
      <c r="BU58">
        <v>112.88</v>
      </c>
      <c r="BV58">
        <v>113.16</v>
      </c>
      <c r="BW58">
        <v>113.44</v>
      </c>
      <c r="BX58">
        <v>113.72</v>
      </c>
      <c r="BY58">
        <v>114</v>
      </c>
      <c r="BZ58">
        <v>114.25</v>
      </c>
      <c r="CA58">
        <v>114.5</v>
      </c>
      <c r="CB58">
        <v>114.75</v>
      </c>
      <c r="CC58">
        <v>115</v>
      </c>
      <c r="CD58">
        <v>115.25</v>
      </c>
      <c r="CE58">
        <v>115.5</v>
      </c>
      <c r="CF58">
        <v>115.75</v>
      </c>
      <c r="CG58">
        <v>116</v>
      </c>
      <c r="CH58">
        <v>116.25</v>
      </c>
      <c r="CI58">
        <v>116.5</v>
      </c>
      <c r="CJ58">
        <v>116.75</v>
      </c>
      <c r="CK58">
        <v>117</v>
      </c>
      <c r="CL58">
        <v>117.25</v>
      </c>
      <c r="CM58">
        <v>117.5</v>
      </c>
      <c r="CN58">
        <v>117.75</v>
      </c>
      <c r="CO58">
        <v>118</v>
      </c>
      <c r="CP58">
        <v>118.25</v>
      </c>
      <c r="CQ58">
        <v>118.5</v>
      </c>
      <c r="CR58">
        <v>118.75</v>
      </c>
      <c r="CS58">
        <v>119</v>
      </c>
      <c r="CT58">
        <v>119.25</v>
      </c>
      <c r="CU58">
        <v>119.5</v>
      </c>
      <c r="CV58">
        <v>119.75</v>
      </c>
    </row>
    <row r="59" spans="1:100" x14ac:dyDescent="0.2">
      <c r="A59">
        <v>304</v>
      </c>
      <c r="B59">
        <v>100</v>
      </c>
      <c r="C59">
        <v>100.2666667</v>
      </c>
      <c r="D59">
        <v>100.5333333</v>
      </c>
      <c r="E59">
        <v>100.8</v>
      </c>
      <c r="F59">
        <v>101.0666667</v>
      </c>
      <c r="G59">
        <v>101.33333330000001</v>
      </c>
      <c r="H59">
        <v>101.6</v>
      </c>
      <c r="I59">
        <v>101.8666667</v>
      </c>
      <c r="J59">
        <v>102.1333333</v>
      </c>
      <c r="K59">
        <v>102.4</v>
      </c>
      <c r="L59">
        <v>102.66666669999999</v>
      </c>
      <c r="M59">
        <v>102.9333333</v>
      </c>
      <c r="N59">
        <v>103.2</v>
      </c>
      <c r="O59">
        <v>103.4666667</v>
      </c>
      <c r="P59">
        <v>103.7333333</v>
      </c>
      <c r="Q59">
        <v>104</v>
      </c>
      <c r="R59">
        <v>104.2666667</v>
      </c>
      <c r="S59">
        <v>104.5333333</v>
      </c>
      <c r="T59">
        <v>104.8</v>
      </c>
      <c r="U59">
        <v>105.0666667</v>
      </c>
      <c r="V59">
        <v>105.33333330000001</v>
      </c>
      <c r="W59">
        <v>105.6</v>
      </c>
      <c r="X59">
        <v>105.8666667</v>
      </c>
      <c r="Y59">
        <v>106.1333333</v>
      </c>
      <c r="Z59">
        <v>106.4</v>
      </c>
      <c r="AA59">
        <v>106.66666669999999</v>
      </c>
      <c r="AB59">
        <v>106.9333333</v>
      </c>
      <c r="AC59">
        <v>107.2</v>
      </c>
      <c r="AD59">
        <v>107.4666667</v>
      </c>
      <c r="AE59">
        <v>107.7333333</v>
      </c>
      <c r="AF59">
        <v>108</v>
      </c>
      <c r="AG59">
        <v>108.2666667</v>
      </c>
      <c r="AH59">
        <v>108.5333333</v>
      </c>
      <c r="AI59">
        <v>108.8</v>
      </c>
      <c r="AJ59">
        <v>109.0666667</v>
      </c>
      <c r="AK59">
        <v>109.33333330000001</v>
      </c>
      <c r="AL59">
        <v>109.6</v>
      </c>
      <c r="AM59">
        <v>109.8666667</v>
      </c>
      <c r="AN59">
        <v>110.1333333</v>
      </c>
      <c r="AO59">
        <v>110.4</v>
      </c>
      <c r="AP59">
        <v>110.66666669999999</v>
      </c>
      <c r="AQ59">
        <v>110.9333333</v>
      </c>
      <c r="AR59">
        <v>111.2</v>
      </c>
      <c r="AS59">
        <v>111.4666667</v>
      </c>
      <c r="AT59">
        <v>111.7333333</v>
      </c>
      <c r="AU59">
        <v>112</v>
      </c>
      <c r="AV59">
        <v>112.2666667</v>
      </c>
      <c r="AW59">
        <v>112.5333333</v>
      </c>
      <c r="AX59">
        <v>112.8</v>
      </c>
      <c r="AY59">
        <v>113.0666667</v>
      </c>
      <c r="AZ59">
        <v>113.33333330000001</v>
      </c>
      <c r="BA59">
        <v>113.6</v>
      </c>
      <c r="BB59">
        <v>113.8666667</v>
      </c>
      <c r="BC59">
        <v>114.1333333</v>
      </c>
      <c r="BD59">
        <v>114.4</v>
      </c>
      <c r="BE59">
        <v>114.66666669999999</v>
      </c>
      <c r="BF59">
        <v>114.9333333</v>
      </c>
      <c r="BG59">
        <v>115.2</v>
      </c>
      <c r="BH59">
        <v>115.4666667</v>
      </c>
      <c r="BI59">
        <v>115.7333333</v>
      </c>
      <c r="BJ59">
        <v>116</v>
      </c>
      <c r="BK59">
        <v>116.2666667</v>
      </c>
      <c r="BL59">
        <v>116.5333333</v>
      </c>
      <c r="BM59">
        <v>116.8</v>
      </c>
      <c r="BN59">
        <v>117.0666667</v>
      </c>
      <c r="BO59">
        <v>117.33333330000001</v>
      </c>
      <c r="BP59">
        <v>117.6</v>
      </c>
      <c r="BQ59">
        <v>117.8666667</v>
      </c>
      <c r="BR59">
        <v>118.1333333</v>
      </c>
      <c r="BS59">
        <v>118.4</v>
      </c>
      <c r="BT59">
        <v>118.66666669999999</v>
      </c>
      <c r="BU59">
        <v>118.9333333</v>
      </c>
      <c r="BV59">
        <v>119.2</v>
      </c>
      <c r="BW59">
        <v>119.4666667</v>
      </c>
      <c r="BX59">
        <v>119.7333333</v>
      </c>
      <c r="BY59">
        <v>120</v>
      </c>
      <c r="BZ59">
        <v>120.2777778</v>
      </c>
      <c r="CA59">
        <v>120.55555560000001</v>
      </c>
      <c r="CB59">
        <v>120.83333330000001</v>
      </c>
      <c r="CC59">
        <v>121.1111111</v>
      </c>
      <c r="CD59">
        <v>121.3888889</v>
      </c>
      <c r="CE59">
        <v>121.66666669999999</v>
      </c>
      <c r="CF59">
        <v>121.94444439999999</v>
      </c>
      <c r="CG59">
        <v>122.2222222</v>
      </c>
      <c r="CH59">
        <v>122.5</v>
      </c>
      <c r="CI59">
        <v>122.7777778</v>
      </c>
      <c r="CJ59">
        <v>123.05555560000001</v>
      </c>
      <c r="CK59">
        <v>123.33333330000001</v>
      </c>
      <c r="CL59">
        <v>123.6111111</v>
      </c>
      <c r="CM59">
        <v>123.8888889</v>
      </c>
      <c r="CN59">
        <v>124.16666669999999</v>
      </c>
      <c r="CO59">
        <v>124.44444439999999</v>
      </c>
      <c r="CP59">
        <v>124.7222222</v>
      </c>
      <c r="CQ59">
        <v>125</v>
      </c>
      <c r="CR59">
        <v>125.2777778</v>
      </c>
      <c r="CS59">
        <v>125.55555560000001</v>
      </c>
      <c r="CT59">
        <v>125.83333330000001</v>
      </c>
      <c r="CU59">
        <v>126.1111111</v>
      </c>
      <c r="CV59">
        <v>126.3888889</v>
      </c>
    </row>
    <row r="60" spans="1:100" x14ac:dyDescent="0.2">
      <c r="A60">
        <v>310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1.0189189190000001</v>
      </c>
      <c r="AG60">
        <v>1.037837838</v>
      </c>
      <c r="AH60">
        <v>1.056756757</v>
      </c>
      <c r="AI60">
        <v>1.0756756759999999</v>
      </c>
      <c r="AJ60">
        <v>1.094594595</v>
      </c>
      <c r="AK60">
        <v>1.1135135140000001</v>
      </c>
      <c r="AL60">
        <v>1.1324324320000001</v>
      </c>
      <c r="AM60">
        <v>1.151351351</v>
      </c>
      <c r="AN60">
        <v>1.1702702700000001</v>
      </c>
      <c r="AO60">
        <v>1.1891891889999999</v>
      </c>
      <c r="AP60">
        <v>1.208108108</v>
      </c>
      <c r="AQ60">
        <v>1.2270270270000001</v>
      </c>
      <c r="AR60">
        <v>1.245945946</v>
      </c>
      <c r="AS60">
        <v>1.2648648650000001</v>
      </c>
      <c r="AT60">
        <v>1.2837837839999999</v>
      </c>
      <c r="AU60">
        <v>1.302702703</v>
      </c>
      <c r="AV60">
        <v>1.3216216220000001</v>
      </c>
      <c r="AW60">
        <v>1.340540541</v>
      </c>
      <c r="AX60">
        <v>1.359459459</v>
      </c>
      <c r="AY60">
        <v>1.3783783780000001</v>
      </c>
      <c r="AZ60">
        <v>1.3972972969999999</v>
      </c>
      <c r="BA60">
        <v>1.416216216</v>
      </c>
      <c r="BB60">
        <v>1.4351351349999999</v>
      </c>
      <c r="BC60">
        <v>1.454054054</v>
      </c>
      <c r="BD60">
        <v>1.4729729730000001</v>
      </c>
      <c r="BE60">
        <v>1.4918918919999999</v>
      </c>
      <c r="BF60">
        <v>1.510810811</v>
      </c>
      <c r="BG60">
        <v>1.5297297299999999</v>
      </c>
      <c r="BH60">
        <v>1.548648649</v>
      </c>
      <c r="BI60">
        <v>1.5675675680000001</v>
      </c>
      <c r="BJ60">
        <v>1.5864864860000001</v>
      </c>
      <c r="BK60">
        <v>1.605405405</v>
      </c>
      <c r="BL60">
        <v>1.624324324</v>
      </c>
      <c r="BM60">
        <v>1.6432432429999999</v>
      </c>
      <c r="BN60">
        <v>1.662162162</v>
      </c>
      <c r="BO60">
        <v>1.6810810810000001</v>
      </c>
      <c r="BP60">
        <v>1.7</v>
      </c>
      <c r="BQ60">
        <v>1.718918919</v>
      </c>
      <c r="BR60">
        <v>1.7378378379999999</v>
      </c>
      <c r="BS60">
        <v>1.756756757</v>
      </c>
      <c r="BT60">
        <v>1.7756756760000001</v>
      </c>
      <c r="BU60">
        <v>1.794594595</v>
      </c>
      <c r="BV60">
        <v>1.813513514</v>
      </c>
      <c r="BW60">
        <v>1.8324324320000001</v>
      </c>
      <c r="BX60">
        <v>1.8513513509999999</v>
      </c>
      <c r="BY60">
        <v>1.87027027</v>
      </c>
      <c r="BZ60">
        <v>1.8891891890000001</v>
      </c>
      <c r="CA60">
        <v>1.908108108</v>
      </c>
      <c r="CB60">
        <v>1.9270270270000001</v>
      </c>
      <c r="CC60">
        <v>1.9459459459999999</v>
      </c>
      <c r="CD60">
        <v>1.964864865</v>
      </c>
      <c r="CE60">
        <v>1.9837837840000001</v>
      </c>
      <c r="CF60">
        <v>2.0027027030000002</v>
      </c>
      <c r="CG60">
        <v>2.0216216220000001</v>
      </c>
      <c r="CH60">
        <v>2.0405405409999999</v>
      </c>
      <c r="CI60">
        <v>2.0594594590000002</v>
      </c>
      <c r="CJ60">
        <v>2.078378378</v>
      </c>
      <c r="CK60">
        <v>2.0972972969999999</v>
      </c>
      <c r="CL60">
        <v>2.1162162160000002</v>
      </c>
      <c r="CM60">
        <v>2.1351351350000001</v>
      </c>
      <c r="CN60">
        <v>2.1540540539999999</v>
      </c>
      <c r="CO60">
        <v>2.1729729729999998</v>
      </c>
      <c r="CP60">
        <v>2.1918918920000001</v>
      </c>
      <c r="CQ60">
        <v>2.210810811</v>
      </c>
      <c r="CR60">
        <v>2.2297297299999999</v>
      </c>
      <c r="CS60">
        <v>2.2486486490000002</v>
      </c>
      <c r="CT60">
        <v>2.267567568</v>
      </c>
      <c r="CU60">
        <v>2.2864864859999998</v>
      </c>
      <c r="CV60">
        <v>2.3054054050000001</v>
      </c>
    </row>
    <row r="61" spans="1:100" x14ac:dyDescent="0.2">
      <c r="A61">
        <v>320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1.024324324</v>
      </c>
      <c r="AG61">
        <v>1.048648649</v>
      </c>
      <c r="AH61">
        <v>1.0729729729999999</v>
      </c>
      <c r="AI61">
        <v>1.0972972969999999</v>
      </c>
      <c r="AJ61">
        <v>1.1216216219999999</v>
      </c>
      <c r="AK61">
        <v>1.1459459460000001</v>
      </c>
      <c r="AL61">
        <v>1.1702702700000001</v>
      </c>
      <c r="AM61">
        <v>1.1945945950000001</v>
      </c>
      <c r="AN61">
        <v>1.218918919</v>
      </c>
      <c r="AO61">
        <v>1.243243243</v>
      </c>
      <c r="AP61">
        <v>1.267567568</v>
      </c>
      <c r="AQ61">
        <v>1.291891892</v>
      </c>
      <c r="AR61">
        <v>1.3162162159999999</v>
      </c>
      <c r="AS61">
        <v>1.340540541</v>
      </c>
      <c r="AT61">
        <v>1.3648648649999999</v>
      </c>
      <c r="AU61">
        <v>1.3891891890000001</v>
      </c>
      <c r="AV61">
        <v>1.4135135139999999</v>
      </c>
      <c r="AW61">
        <v>1.4378378380000001</v>
      </c>
      <c r="AX61">
        <v>1.462162162</v>
      </c>
      <c r="AY61">
        <v>1.486486486</v>
      </c>
      <c r="AZ61">
        <v>1.510810811</v>
      </c>
      <c r="BA61">
        <v>1.535135135</v>
      </c>
      <c r="BB61">
        <v>1.5594594589999999</v>
      </c>
      <c r="BC61">
        <v>1.583783784</v>
      </c>
      <c r="BD61">
        <v>1.6081081079999999</v>
      </c>
      <c r="BE61">
        <v>1.6324324320000001</v>
      </c>
      <c r="BF61">
        <v>1.6567567569999999</v>
      </c>
      <c r="BG61">
        <v>1.6810810810000001</v>
      </c>
      <c r="BH61">
        <v>1.705405405</v>
      </c>
      <c r="BI61">
        <v>1.7297297300000001</v>
      </c>
      <c r="BJ61">
        <v>1.754054054</v>
      </c>
      <c r="BK61">
        <v>1.778378378</v>
      </c>
      <c r="BL61">
        <v>1.802702703</v>
      </c>
      <c r="BM61">
        <v>1.827027027</v>
      </c>
      <c r="BN61">
        <v>1.8513513509999999</v>
      </c>
      <c r="BO61">
        <v>1.875675676</v>
      </c>
      <c r="BP61">
        <v>1.9</v>
      </c>
      <c r="BQ61">
        <v>1.9243243240000001</v>
      </c>
      <c r="BR61">
        <v>1.9486486489999999</v>
      </c>
      <c r="BS61">
        <v>1.9729729730000001</v>
      </c>
      <c r="BT61">
        <v>1.997297297</v>
      </c>
      <c r="BU61">
        <v>2.0216216220000001</v>
      </c>
      <c r="BV61">
        <v>2.0459459459999998</v>
      </c>
      <c r="BW61">
        <v>2.07027027</v>
      </c>
      <c r="BX61">
        <v>2.0945945949999998</v>
      </c>
      <c r="BY61">
        <v>2.118918919</v>
      </c>
      <c r="BZ61">
        <v>2.1432432430000001</v>
      </c>
      <c r="CA61">
        <v>2.1675675679999999</v>
      </c>
      <c r="CB61">
        <v>2.1918918920000001</v>
      </c>
      <c r="CC61">
        <v>2.2162162159999999</v>
      </c>
      <c r="CD61">
        <v>2.2405405410000001</v>
      </c>
      <c r="CE61">
        <v>2.2648648649999998</v>
      </c>
      <c r="CF61">
        <v>2.289189189</v>
      </c>
      <c r="CG61">
        <v>2.3135135139999998</v>
      </c>
      <c r="CH61">
        <v>2.337837838</v>
      </c>
      <c r="CI61">
        <v>2.3621621620000002</v>
      </c>
      <c r="CJ61">
        <v>2.3864864859999999</v>
      </c>
      <c r="CK61">
        <v>2.4108108110000002</v>
      </c>
      <c r="CL61">
        <v>2.4351351349999999</v>
      </c>
      <c r="CM61">
        <v>2.4594594590000001</v>
      </c>
      <c r="CN61">
        <v>2.4837837839999999</v>
      </c>
      <c r="CO61">
        <v>2.5081081080000001</v>
      </c>
      <c r="CP61">
        <v>2.5324324319999998</v>
      </c>
      <c r="CQ61">
        <v>2.556756757</v>
      </c>
      <c r="CR61">
        <v>2.5810810810000002</v>
      </c>
      <c r="CS61">
        <v>2.605405405</v>
      </c>
      <c r="CT61">
        <v>2.6297297300000002</v>
      </c>
      <c r="CU61">
        <v>2.6540540539999999</v>
      </c>
      <c r="CV61">
        <v>2.6783783780000001</v>
      </c>
    </row>
    <row r="62" spans="1:100" x14ac:dyDescent="0.2">
      <c r="A62">
        <v>330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1.0189189190000001</v>
      </c>
      <c r="AG62">
        <v>1.037837838</v>
      </c>
      <c r="AH62">
        <v>1.056756757</v>
      </c>
      <c r="AI62">
        <v>1.0756756759999999</v>
      </c>
      <c r="AJ62">
        <v>1.094594595</v>
      </c>
      <c r="AK62">
        <v>1.1135135140000001</v>
      </c>
      <c r="AL62">
        <v>1.1324324320000001</v>
      </c>
      <c r="AM62">
        <v>1.151351351</v>
      </c>
      <c r="AN62">
        <v>1.1702702700000001</v>
      </c>
      <c r="AO62">
        <v>1.1891891889999999</v>
      </c>
      <c r="AP62">
        <v>1.208108108</v>
      </c>
      <c r="AQ62">
        <v>1.2270270270000001</v>
      </c>
      <c r="AR62">
        <v>1.245945946</v>
      </c>
      <c r="AS62">
        <v>1.2648648650000001</v>
      </c>
      <c r="AT62">
        <v>1.2837837839999999</v>
      </c>
      <c r="AU62">
        <v>1.302702703</v>
      </c>
      <c r="AV62">
        <v>1.3216216220000001</v>
      </c>
      <c r="AW62">
        <v>1.340540541</v>
      </c>
      <c r="AX62">
        <v>1.359459459</v>
      </c>
      <c r="AY62">
        <v>1.3783783780000001</v>
      </c>
      <c r="AZ62">
        <v>1.3972972969999999</v>
      </c>
      <c r="BA62">
        <v>1.416216216</v>
      </c>
      <c r="BB62">
        <v>1.4351351349999999</v>
      </c>
      <c r="BC62">
        <v>1.454054054</v>
      </c>
      <c r="BD62">
        <v>1.4729729730000001</v>
      </c>
      <c r="BE62">
        <v>1.4918918919999999</v>
      </c>
      <c r="BF62">
        <v>1.510810811</v>
      </c>
      <c r="BG62">
        <v>1.5297297299999999</v>
      </c>
      <c r="BH62">
        <v>1.548648649</v>
      </c>
      <c r="BI62">
        <v>1.5675675680000001</v>
      </c>
      <c r="BJ62">
        <v>1.5864864860000001</v>
      </c>
      <c r="BK62">
        <v>1.605405405</v>
      </c>
      <c r="BL62">
        <v>1.624324324</v>
      </c>
      <c r="BM62">
        <v>1.6432432429999999</v>
      </c>
      <c r="BN62">
        <v>1.662162162</v>
      </c>
      <c r="BO62">
        <v>1.6810810810000001</v>
      </c>
      <c r="BP62">
        <v>1.7</v>
      </c>
      <c r="BQ62">
        <v>1.718918919</v>
      </c>
      <c r="BR62">
        <v>1.7378378379999999</v>
      </c>
      <c r="BS62">
        <v>1.756756757</v>
      </c>
      <c r="BT62">
        <v>1.7756756760000001</v>
      </c>
      <c r="BU62">
        <v>1.794594595</v>
      </c>
      <c r="BV62">
        <v>1.813513514</v>
      </c>
      <c r="BW62">
        <v>1.8324324320000001</v>
      </c>
      <c r="BX62">
        <v>1.8513513509999999</v>
      </c>
      <c r="BY62">
        <v>1.87027027</v>
      </c>
      <c r="BZ62">
        <v>1.8891891890000001</v>
      </c>
      <c r="CA62">
        <v>1.908108108</v>
      </c>
      <c r="CB62">
        <v>1.9270270270000001</v>
      </c>
      <c r="CC62">
        <v>1.9459459459999999</v>
      </c>
      <c r="CD62">
        <v>1.964864865</v>
      </c>
      <c r="CE62">
        <v>1.9837837840000001</v>
      </c>
      <c r="CF62">
        <v>2.0027027030000002</v>
      </c>
      <c r="CG62">
        <v>2.0216216220000001</v>
      </c>
      <c r="CH62">
        <v>2.0405405409999999</v>
      </c>
      <c r="CI62">
        <v>2.0594594590000002</v>
      </c>
      <c r="CJ62">
        <v>2.078378378</v>
      </c>
      <c r="CK62">
        <v>2.0972972969999999</v>
      </c>
      <c r="CL62">
        <v>2.1162162160000002</v>
      </c>
      <c r="CM62">
        <v>2.1351351350000001</v>
      </c>
      <c r="CN62">
        <v>2.1540540539999999</v>
      </c>
      <c r="CO62">
        <v>2.1729729729999998</v>
      </c>
      <c r="CP62">
        <v>2.1918918920000001</v>
      </c>
      <c r="CQ62">
        <v>2.210810811</v>
      </c>
      <c r="CR62">
        <v>2.2297297299999999</v>
      </c>
      <c r="CS62">
        <v>2.2486486490000002</v>
      </c>
      <c r="CT62">
        <v>2.267567568</v>
      </c>
      <c r="CU62">
        <v>2.2864864859999998</v>
      </c>
      <c r="CV62">
        <v>2.3054054050000001</v>
      </c>
    </row>
    <row r="63" spans="1:100" x14ac:dyDescent="0.2">
      <c r="A63">
        <v>340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1.010810811</v>
      </c>
      <c r="AG63">
        <v>1.0216216220000001</v>
      </c>
      <c r="AH63">
        <v>1.032432432</v>
      </c>
      <c r="AI63">
        <v>1.043243243</v>
      </c>
      <c r="AJ63">
        <v>1.0540540540000001</v>
      </c>
      <c r="AK63">
        <v>1.0648648650000001</v>
      </c>
      <c r="AL63">
        <v>1.0756756759999999</v>
      </c>
      <c r="AM63">
        <v>1.0864864860000001</v>
      </c>
      <c r="AN63">
        <v>1.0972972969999999</v>
      </c>
      <c r="AO63">
        <v>1.1081081079999999</v>
      </c>
      <c r="AP63">
        <v>1.118918919</v>
      </c>
      <c r="AQ63">
        <v>1.12972973</v>
      </c>
      <c r="AR63">
        <v>1.140540541</v>
      </c>
      <c r="AS63">
        <v>1.151351351</v>
      </c>
      <c r="AT63">
        <v>1.162162162</v>
      </c>
      <c r="AU63">
        <v>1.172972973</v>
      </c>
      <c r="AV63">
        <v>1.1837837840000001</v>
      </c>
      <c r="AW63">
        <v>1.1945945950000001</v>
      </c>
      <c r="AX63">
        <v>1.205405405</v>
      </c>
      <c r="AY63">
        <v>1.2162162160000001</v>
      </c>
      <c r="AZ63">
        <v>1.2270270270000001</v>
      </c>
      <c r="BA63">
        <v>1.2378378379999999</v>
      </c>
      <c r="BB63">
        <v>1.2486486489999999</v>
      </c>
      <c r="BC63">
        <v>1.2594594589999999</v>
      </c>
      <c r="BD63">
        <v>1.2702702699999999</v>
      </c>
      <c r="BE63">
        <v>1.281081081</v>
      </c>
      <c r="BF63">
        <v>1.291891892</v>
      </c>
      <c r="BG63">
        <v>1.302702703</v>
      </c>
      <c r="BH63">
        <v>1.313513514</v>
      </c>
      <c r="BI63">
        <v>1.324324324</v>
      </c>
      <c r="BJ63">
        <v>1.335135135</v>
      </c>
      <c r="BK63">
        <v>1.3459459460000001</v>
      </c>
      <c r="BL63">
        <v>1.3567567570000001</v>
      </c>
      <c r="BM63">
        <v>1.3675675679999999</v>
      </c>
      <c r="BN63">
        <v>1.3783783780000001</v>
      </c>
      <c r="BO63">
        <v>1.3891891890000001</v>
      </c>
      <c r="BP63">
        <v>1.4</v>
      </c>
      <c r="BQ63">
        <v>1.4108108109999999</v>
      </c>
      <c r="BR63">
        <v>1.421621622</v>
      </c>
      <c r="BS63">
        <v>1.4324324319999999</v>
      </c>
      <c r="BT63">
        <v>1.443243243</v>
      </c>
      <c r="BU63">
        <v>1.454054054</v>
      </c>
      <c r="BV63">
        <v>1.464864865</v>
      </c>
      <c r="BW63">
        <v>1.475675676</v>
      </c>
      <c r="BX63">
        <v>1.486486486</v>
      </c>
      <c r="BY63">
        <v>1.497297297</v>
      </c>
      <c r="BZ63">
        <v>1.5081081080000001</v>
      </c>
      <c r="CA63">
        <v>1.5189189190000001</v>
      </c>
      <c r="CB63">
        <v>1.5297297299999999</v>
      </c>
      <c r="CC63">
        <v>1.5405405409999999</v>
      </c>
      <c r="CD63">
        <v>1.5513513510000001</v>
      </c>
      <c r="CE63">
        <v>1.5621621619999999</v>
      </c>
      <c r="CF63">
        <v>1.5729729729999999</v>
      </c>
      <c r="CG63">
        <v>1.583783784</v>
      </c>
      <c r="CH63">
        <v>1.594594595</v>
      </c>
      <c r="CI63">
        <v>1.605405405</v>
      </c>
      <c r="CJ63">
        <v>1.616216216</v>
      </c>
      <c r="CK63">
        <v>1.627027027</v>
      </c>
      <c r="CL63">
        <v>1.637837838</v>
      </c>
      <c r="CM63">
        <v>1.6486486490000001</v>
      </c>
      <c r="CN63">
        <v>1.659459459</v>
      </c>
      <c r="CO63">
        <v>1.6702702700000001</v>
      </c>
      <c r="CP63">
        <v>1.6810810810000001</v>
      </c>
      <c r="CQ63">
        <v>1.6918918919999999</v>
      </c>
      <c r="CR63">
        <v>1.7027027029999999</v>
      </c>
      <c r="CS63">
        <v>1.713513514</v>
      </c>
      <c r="CT63">
        <v>1.7243243239999999</v>
      </c>
      <c r="CU63">
        <v>1.7351351349999999</v>
      </c>
      <c r="CV63">
        <v>1.745945946</v>
      </c>
    </row>
    <row r="64" spans="1:100" x14ac:dyDescent="0.2">
      <c r="A64">
        <v>341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1.0189189190000001</v>
      </c>
      <c r="AG64">
        <v>1.037837838</v>
      </c>
      <c r="AH64">
        <v>1.056756757</v>
      </c>
      <c r="AI64">
        <v>1.0756756759999999</v>
      </c>
      <c r="AJ64">
        <v>1.094594595</v>
      </c>
      <c r="AK64">
        <v>1.1135135140000001</v>
      </c>
      <c r="AL64">
        <v>1.1324324320000001</v>
      </c>
      <c r="AM64">
        <v>1.151351351</v>
      </c>
      <c r="AN64">
        <v>1.1702702700000001</v>
      </c>
      <c r="AO64">
        <v>1.1891891889999999</v>
      </c>
      <c r="AP64">
        <v>1.208108108</v>
      </c>
      <c r="AQ64">
        <v>1.2270270270000001</v>
      </c>
      <c r="AR64">
        <v>1.245945946</v>
      </c>
      <c r="AS64">
        <v>1.2648648650000001</v>
      </c>
      <c r="AT64">
        <v>1.2837837839999999</v>
      </c>
      <c r="AU64">
        <v>1.302702703</v>
      </c>
      <c r="AV64">
        <v>1.3216216220000001</v>
      </c>
      <c r="AW64">
        <v>1.340540541</v>
      </c>
      <c r="AX64">
        <v>1.359459459</v>
      </c>
      <c r="AY64">
        <v>1.3783783780000001</v>
      </c>
      <c r="AZ64">
        <v>1.3972972969999999</v>
      </c>
      <c r="BA64">
        <v>1.416216216</v>
      </c>
      <c r="BB64">
        <v>1.4351351349999999</v>
      </c>
      <c r="BC64">
        <v>1.454054054</v>
      </c>
      <c r="BD64">
        <v>1.4729729730000001</v>
      </c>
      <c r="BE64">
        <v>1.4918918919999999</v>
      </c>
      <c r="BF64">
        <v>1.510810811</v>
      </c>
      <c r="BG64">
        <v>1.5297297299999999</v>
      </c>
      <c r="BH64">
        <v>1.548648649</v>
      </c>
      <c r="BI64">
        <v>1.5675675680000001</v>
      </c>
      <c r="BJ64">
        <v>1.5864864860000001</v>
      </c>
      <c r="BK64">
        <v>1.605405405</v>
      </c>
      <c r="BL64">
        <v>1.624324324</v>
      </c>
      <c r="BM64">
        <v>1.6432432429999999</v>
      </c>
      <c r="BN64">
        <v>1.662162162</v>
      </c>
      <c r="BO64">
        <v>1.6810810810000001</v>
      </c>
      <c r="BP64">
        <v>1.7</v>
      </c>
      <c r="BQ64">
        <v>1.718918919</v>
      </c>
      <c r="BR64">
        <v>1.7378378379999999</v>
      </c>
      <c r="BS64">
        <v>1.756756757</v>
      </c>
      <c r="BT64">
        <v>1.7756756760000001</v>
      </c>
      <c r="BU64">
        <v>1.794594595</v>
      </c>
      <c r="BV64">
        <v>1.813513514</v>
      </c>
      <c r="BW64">
        <v>1.8324324320000001</v>
      </c>
      <c r="BX64">
        <v>1.8513513509999999</v>
      </c>
      <c r="BY64">
        <v>1.87027027</v>
      </c>
      <c r="BZ64">
        <v>1.8891891890000001</v>
      </c>
      <c r="CA64">
        <v>1.908108108</v>
      </c>
      <c r="CB64">
        <v>1.9270270270000001</v>
      </c>
      <c r="CC64">
        <v>1.9459459459999999</v>
      </c>
      <c r="CD64">
        <v>1.964864865</v>
      </c>
      <c r="CE64">
        <v>1.9837837840000001</v>
      </c>
      <c r="CF64">
        <v>2.0027027030000002</v>
      </c>
      <c r="CG64">
        <v>2.0216216220000001</v>
      </c>
      <c r="CH64">
        <v>2.0405405409999999</v>
      </c>
      <c r="CI64">
        <v>2.0594594590000002</v>
      </c>
      <c r="CJ64">
        <v>2.078378378</v>
      </c>
      <c r="CK64">
        <v>2.0972972969999999</v>
      </c>
      <c r="CL64">
        <v>2.1162162160000002</v>
      </c>
      <c r="CM64">
        <v>2.1351351350000001</v>
      </c>
      <c r="CN64">
        <v>2.1540540539999999</v>
      </c>
      <c r="CO64">
        <v>2.1729729729999998</v>
      </c>
      <c r="CP64">
        <v>2.1918918920000001</v>
      </c>
      <c r="CQ64">
        <v>2.210810811</v>
      </c>
      <c r="CR64">
        <v>2.2297297299999999</v>
      </c>
      <c r="CS64">
        <v>2.2486486490000002</v>
      </c>
      <c r="CT64">
        <v>2.267567568</v>
      </c>
      <c r="CU64">
        <v>2.2864864859999998</v>
      </c>
      <c r="CV64">
        <v>2.3054054050000001</v>
      </c>
    </row>
    <row r="65" spans="1:100" x14ac:dyDescent="0.2">
      <c r="A65">
        <v>342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1.0114285709999999</v>
      </c>
      <c r="AG65">
        <v>1.022857143</v>
      </c>
      <c r="AH65">
        <v>1.0342857139999999</v>
      </c>
      <c r="AI65">
        <v>1.0457142859999999</v>
      </c>
      <c r="AJ65">
        <v>1.0571428570000001</v>
      </c>
      <c r="AK65">
        <v>1.0685714289999999</v>
      </c>
      <c r="AL65">
        <v>1.08</v>
      </c>
      <c r="AM65">
        <v>1.091428571</v>
      </c>
      <c r="AN65">
        <v>1.102857143</v>
      </c>
      <c r="AO65">
        <v>1.114285714</v>
      </c>
      <c r="AP65">
        <v>1.125714286</v>
      </c>
      <c r="AQ65">
        <v>1.137142857</v>
      </c>
      <c r="AR65">
        <v>1.148571429</v>
      </c>
      <c r="AS65">
        <v>1.1599999999999999</v>
      </c>
      <c r="AT65">
        <v>1.1714285710000001</v>
      </c>
      <c r="AU65">
        <v>1.1828571430000001</v>
      </c>
      <c r="AV65">
        <v>1.1942857140000001</v>
      </c>
      <c r="AW65">
        <v>1.2057142860000001</v>
      </c>
      <c r="AX65">
        <v>1.217142857</v>
      </c>
      <c r="AY65">
        <v>1.228571429</v>
      </c>
      <c r="AZ65">
        <v>1.24</v>
      </c>
      <c r="BA65">
        <v>1.2514285709999999</v>
      </c>
      <c r="BB65">
        <v>1.262857143</v>
      </c>
      <c r="BC65">
        <v>1.2742857139999999</v>
      </c>
      <c r="BD65">
        <v>1.2857142859999999</v>
      </c>
      <c r="BE65">
        <v>1.2971428570000001</v>
      </c>
      <c r="BF65">
        <v>1.3085714289999999</v>
      </c>
      <c r="BG65">
        <v>1.32</v>
      </c>
      <c r="BH65">
        <v>1.331428571</v>
      </c>
      <c r="BI65">
        <v>1.342857143</v>
      </c>
      <c r="BJ65">
        <v>1.354285714</v>
      </c>
      <c r="BK65">
        <v>1.365714286</v>
      </c>
      <c r="BL65">
        <v>1.3771428569999999</v>
      </c>
      <c r="BM65">
        <v>1.388571429</v>
      </c>
      <c r="BN65">
        <v>1.4</v>
      </c>
      <c r="BO65">
        <v>1.4114285710000001</v>
      </c>
      <c r="BP65">
        <v>1.4228571430000001</v>
      </c>
      <c r="BQ65">
        <v>1.434285714</v>
      </c>
      <c r="BR65">
        <v>1.4457142860000001</v>
      </c>
      <c r="BS65">
        <v>1.457142857</v>
      </c>
      <c r="BT65">
        <v>1.468571429</v>
      </c>
      <c r="BU65">
        <v>1.48</v>
      </c>
      <c r="BV65">
        <v>1.4914285709999999</v>
      </c>
      <c r="BW65">
        <v>1.502857143</v>
      </c>
      <c r="BX65">
        <v>1.5142857139999999</v>
      </c>
      <c r="BY65">
        <v>1.5257142859999999</v>
      </c>
      <c r="BZ65">
        <v>1.5371428570000001</v>
      </c>
      <c r="CA65">
        <v>1.5485714290000001</v>
      </c>
      <c r="CB65">
        <v>1.56</v>
      </c>
      <c r="CC65">
        <v>1.571428571</v>
      </c>
      <c r="CD65">
        <v>1.582857143</v>
      </c>
      <c r="CE65">
        <v>1.594285714</v>
      </c>
      <c r="CF65">
        <v>1.605714286</v>
      </c>
      <c r="CG65">
        <v>1.6171428569999999</v>
      </c>
      <c r="CH65">
        <v>1.628571429</v>
      </c>
      <c r="CI65">
        <v>1.64</v>
      </c>
      <c r="CJ65">
        <v>1.6514285710000001</v>
      </c>
      <c r="CK65">
        <v>1.6628571430000001</v>
      </c>
      <c r="CL65">
        <v>1.674285714</v>
      </c>
      <c r="CM65">
        <v>1.6857142860000001</v>
      </c>
      <c r="CN65">
        <v>1.697142857</v>
      </c>
      <c r="CO65">
        <v>1.708571429</v>
      </c>
      <c r="CP65">
        <v>1.72</v>
      </c>
      <c r="CQ65">
        <v>1.7314285709999999</v>
      </c>
      <c r="CR65">
        <v>1.7428571429999999</v>
      </c>
      <c r="CS65">
        <v>1.7542857140000001</v>
      </c>
      <c r="CT65">
        <v>1.7657142859999999</v>
      </c>
      <c r="CU65">
        <v>1.7771428570000001</v>
      </c>
      <c r="CV65">
        <v>1.7885714290000001</v>
      </c>
    </row>
    <row r="66" spans="1:100" x14ac:dyDescent="0.2">
      <c r="A66">
        <v>350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1.010810811</v>
      </c>
      <c r="AG66">
        <v>1.0216216220000001</v>
      </c>
      <c r="AH66">
        <v>1.032432432</v>
      </c>
      <c r="AI66">
        <v>1.043243243</v>
      </c>
      <c r="AJ66">
        <v>1.0540540540000001</v>
      </c>
      <c r="AK66">
        <v>1.0648648650000001</v>
      </c>
      <c r="AL66">
        <v>1.0756756759999999</v>
      </c>
      <c r="AM66">
        <v>1.0864864860000001</v>
      </c>
      <c r="AN66">
        <v>1.0972972969999999</v>
      </c>
      <c r="AO66">
        <v>1.1081081079999999</v>
      </c>
      <c r="AP66">
        <v>1.118918919</v>
      </c>
      <c r="AQ66">
        <v>1.12972973</v>
      </c>
      <c r="AR66">
        <v>1.140540541</v>
      </c>
      <c r="AS66">
        <v>1.151351351</v>
      </c>
      <c r="AT66">
        <v>1.162162162</v>
      </c>
      <c r="AU66">
        <v>1.172972973</v>
      </c>
      <c r="AV66">
        <v>1.1837837840000001</v>
      </c>
      <c r="AW66">
        <v>1.1945945950000001</v>
      </c>
      <c r="AX66">
        <v>1.205405405</v>
      </c>
      <c r="AY66">
        <v>1.2162162160000001</v>
      </c>
      <c r="AZ66">
        <v>1.2270270270000001</v>
      </c>
      <c r="BA66">
        <v>1.2378378379999999</v>
      </c>
      <c r="BB66">
        <v>1.2486486489999999</v>
      </c>
      <c r="BC66">
        <v>1.2594594589999999</v>
      </c>
      <c r="BD66">
        <v>1.2702702699999999</v>
      </c>
      <c r="BE66">
        <v>1.281081081</v>
      </c>
      <c r="BF66">
        <v>1.291891892</v>
      </c>
      <c r="BG66">
        <v>1.302702703</v>
      </c>
      <c r="BH66">
        <v>1.313513514</v>
      </c>
      <c r="BI66">
        <v>1.324324324</v>
      </c>
      <c r="BJ66">
        <v>1.335135135</v>
      </c>
      <c r="BK66">
        <v>1.3459459460000001</v>
      </c>
      <c r="BL66">
        <v>1.3567567570000001</v>
      </c>
      <c r="BM66">
        <v>1.3675675679999999</v>
      </c>
      <c r="BN66">
        <v>1.3783783780000001</v>
      </c>
      <c r="BO66">
        <v>1.3891891890000001</v>
      </c>
      <c r="BP66">
        <v>1.4</v>
      </c>
      <c r="BQ66">
        <v>1.4108108109999999</v>
      </c>
      <c r="BR66">
        <v>1.421621622</v>
      </c>
      <c r="BS66">
        <v>1.4324324319999999</v>
      </c>
      <c r="BT66">
        <v>1.443243243</v>
      </c>
      <c r="BU66">
        <v>1.454054054</v>
      </c>
      <c r="BV66">
        <v>1.464864865</v>
      </c>
      <c r="BW66">
        <v>1.475675676</v>
      </c>
      <c r="BX66">
        <v>1.486486486</v>
      </c>
      <c r="BY66">
        <v>1.497297297</v>
      </c>
      <c r="BZ66">
        <v>1.5081081080000001</v>
      </c>
      <c r="CA66">
        <v>1.5189189190000001</v>
      </c>
      <c r="CB66">
        <v>1.5297297299999999</v>
      </c>
      <c r="CC66">
        <v>1.5405405409999999</v>
      </c>
      <c r="CD66">
        <v>1.5513513510000001</v>
      </c>
      <c r="CE66">
        <v>1.5621621619999999</v>
      </c>
      <c r="CF66">
        <v>1.5729729729999999</v>
      </c>
      <c r="CG66">
        <v>1.583783784</v>
      </c>
      <c r="CH66">
        <v>1.594594595</v>
      </c>
      <c r="CI66">
        <v>1.605405405</v>
      </c>
      <c r="CJ66">
        <v>1.616216216</v>
      </c>
      <c r="CK66">
        <v>1.627027027</v>
      </c>
      <c r="CL66">
        <v>1.637837838</v>
      </c>
      <c r="CM66">
        <v>1.6486486490000001</v>
      </c>
      <c r="CN66">
        <v>1.659459459</v>
      </c>
      <c r="CO66">
        <v>1.6702702700000001</v>
      </c>
      <c r="CP66">
        <v>1.6810810810000001</v>
      </c>
      <c r="CQ66">
        <v>1.6918918919999999</v>
      </c>
      <c r="CR66">
        <v>1.7027027029999999</v>
      </c>
      <c r="CS66">
        <v>1.713513514</v>
      </c>
      <c r="CT66">
        <v>1.7243243239999999</v>
      </c>
      <c r="CU66">
        <v>1.7351351349999999</v>
      </c>
      <c r="CV66">
        <v>1.745945946</v>
      </c>
    </row>
    <row r="67" spans="1:100" x14ac:dyDescent="0.2">
      <c r="A67">
        <v>351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1.010810811</v>
      </c>
      <c r="AG67">
        <v>1.0216216220000001</v>
      </c>
      <c r="AH67">
        <v>1.032432432</v>
      </c>
      <c r="AI67">
        <v>1.043243243</v>
      </c>
      <c r="AJ67">
        <v>1.0540540540000001</v>
      </c>
      <c r="AK67">
        <v>1.0648648650000001</v>
      </c>
      <c r="AL67">
        <v>1.0756756759999999</v>
      </c>
      <c r="AM67">
        <v>1.0864864860000001</v>
      </c>
      <c r="AN67">
        <v>1.0972972969999999</v>
      </c>
      <c r="AO67">
        <v>1.1081081079999999</v>
      </c>
      <c r="AP67">
        <v>1.118918919</v>
      </c>
      <c r="AQ67">
        <v>1.12972973</v>
      </c>
      <c r="AR67">
        <v>1.140540541</v>
      </c>
      <c r="AS67">
        <v>1.151351351</v>
      </c>
      <c r="AT67">
        <v>1.162162162</v>
      </c>
      <c r="AU67">
        <v>1.172972973</v>
      </c>
      <c r="AV67">
        <v>1.1837837840000001</v>
      </c>
      <c r="AW67">
        <v>1.1945945950000001</v>
      </c>
      <c r="AX67">
        <v>1.205405405</v>
      </c>
      <c r="AY67">
        <v>1.2162162160000001</v>
      </c>
      <c r="AZ67">
        <v>1.2270270270000001</v>
      </c>
      <c r="BA67">
        <v>1.2378378379999999</v>
      </c>
      <c r="BB67">
        <v>1.2486486489999999</v>
      </c>
      <c r="BC67">
        <v>1.2594594589999999</v>
      </c>
      <c r="BD67">
        <v>1.2702702699999999</v>
      </c>
      <c r="BE67">
        <v>1.281081081</v>
      </c>
      <c r="BF67">
        <v>1.291891892</v>
      </c>
      <c r="BG67">
        <v>1.302702703</v>
      </c>
      <c r="BH67">
        <v>1.313513514</v>
      </c>
      <c r="BI67">
        <v>1.324324324</v>
      </c>
      <c r="BJ67">
        <v>1.335135135</v>
      </c>
      <c r="BK67">
        <v>1.3459459460000001</v>
      </c>
      <c r="BL67">
        <v>1.3567567570000001</v>
      </c>
      <c r="BM67">
        <v>1.3675675679999999</v>
      </c>
      <c r="BN67">
        <v>1.3783783780000001</v>
      </c>
      <c r="BO67">
        <v>1.3891891890000001</v>
      </c>
      <c r="BP67">
        <v>1.4</v>
      </c>
      <c r="BQ67">
        <v>1.4108108109999999</v>
      </c>
      <c r="BR67">
        <v>1.421621622</v>
      </c>
      <c r="BS67">
        <v>1.4324324319999999</v>
      </c>
      <c r="BT67">
        <v>1.443243243</v>
      </c>
      <c r="BU67">
        <v>1.454054054</v>
      </c>
      <c r="BV67">
        <v>1.464864865</v>
      </c>
      <c r="BW67">
        <v>1.475675676</v>
      </c>
      <c r="BX67">
        <v>1.486486486</v>
      </c>
      <c r="BY67">
        <v>1.497297297</v>
      </c>
      <c r="BZ67">
        <v>1.5081081080000001</v>
      </c>
      <c r="CA67">
        <v>1.5189189190000001</v>
      </c>
      <c r="CB67">
        <v>1.5297297299999999</v>
      </c>
      <c r="CC67">
        <v>1.5405405409999999</v>
      </c>
      <c r="CD67">
        <v>1.5513513510000001</v>
      </c>
      <c r="CE67">
        <v>1.5621621619999999</v>
      </c>
      <c r="CF67">
        <v>1.5729729729999999</v>
      </c>
      <c r="CG67">
        <v>1.583783784</v>
      </c>
      <c r="CH67">
        <v>1.594594595</v>
      </c>
      <c r="CI67">
        <v>1.605405405</v>
      </c>
      <c r="CJ67">
        <v>1.616216216</v>
      </c>
      <c r="CK67">
        <v>1.627027027</v>
      </c>
      <c r="CL67">
        <v>1.637837838</v>
      </c>
      <c r="CM67">
        <v>1.6486486490000001</v>
      </c>
      <c r="CN67">
        <v>1.659459459</v>
      </c>
      <c r="CO67">
        <v>1.6702702700000001</v>
      </c>
      <c r="CP67">
        <v>1.6810810810000001</v>
      </c>
      <c r="CQ67">
        <v>1.6918918919999999</v>
      </c>
      <c r="CR67">
        <v>1.7027027029999999</v>
      </c>
      <c r="CS67">
        <v>1.713513514</v>
      </c>
      <c r="CT67">
        <v>1.7243243239999999</v>
      </c>
      <c r="CU67">
        <v>1.7351351349999999</v>
      </c>
      <c r="CV67">
        <v>1.745945946</v>
      </c>
    </row>
    <row r="68" spans="1:100" x14ac:dyDescent="0.2">
      <c r="A68">
        <v>352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1.010526316</v>
      </c>
      <c r="AG68">
        <v>1.021052632</v>
      </c>
      <c r="AH68">
        <v>1.0315789470000001</v>
      </c>
      <c r="AI68">
        <v>1.0421052630000001</v>
      </c>
      <c r="AJ68">
        <v>1.052631579</v>
      </c>
      <c r="AK68">
        <v>1.063157895</v>
      </c>
      <c r="AL68">
        <v>1.073684211</v>
      </c>
      <c r="AM68">
        <v>1.0842105259999999</v>
      </c>
      <c r="AN68">
        <v>1.0947368420000001</v>
      </c>
      <c r="AO68">
        <v>1.1052631580000001</v>
      </c>
      <c r="AP68">
        <v>1.1157894740000001</v>
      </c>
      <c r="AQ68">
        <v>1.126315789</v>
      </c>
      <c r="AR68">
        <v>1.1368421049999999</v>
      </c>
      <c r="AS68">
        <v>1.1473684209999999</v>
      </c>
      <c r="AT68">
        <v>1.1578947369999999</v>
      </c>
      <c r="AU68">
        <v>1.1684210530000001</v>
      </c>
      <c r="AV68">
        <v>1.178947368</v>
      </c>
      <c r="AW68">
        <v>1.189473684</v>
      </c>
      <c r="AX68">
        <v>1.2</v>
      </c>
      <c r="AY68">
        <v>1.2105263159999999</v>
      </c>
      <c r="AZ68">
        <v>1.2210526319999999</v>
      </c>
      <c r="BA68">
        <v>1.231578947</v>
      </c>
      <c r="BB68">
        <v>1.242105263</v>
      </c>
      <c r="BC68">
        <v>1.252631579</v>
      </c>
      <c r="BD68">
        <v>1.263157895</v>
      </c>
      <c r="BE68">
        <v>1.273684211</v>
      </c>
      <c r="BF68">
        <v>1.2842105260000001</v>
      </c>
      <c r="BG68">
        <v>1.2947368420000001</v>
      </c>
      <c r="BH68">
        <v>1.305263158</v>
      </c>
      <c r="BI68">
        <v>1.315789474</v>
      </c>
      <c r="BJ68">
        <v>1.3263157889999999</v>
      </c>
      <c r="BK68">
        <v>1.3368421049999999</v>
      </c>
      <c r="BL68">
        <v>1.3473684210000001</v>
      </c>
      <c r="BM68">
        <v>1.3578947370000001</v>
      </c>
      <c r="BN68">
        <v>1.3684210530000001</v>
      </c>
      <c r="BO68">
        <v>1.378947368</v>
      </c>
      <c r="BP68">
        <v>1.3894736839999999</v>
      </c>
      <c r="BQ68">
        <v>1.4</v>
      </c>
      <c r="BR68">
        <v>1.4105263159999999</v>
      </c>
      <c r="BS68">
        <v>1.4210526320000001</v>
      </c>
      <c r="BT68">
        <v>1.431578947</v>
      </c>
      <c r="BU68">
        <v>1.442105263</v>
      </c>
      <c r="BV68">
        <v>1.452631579</v>
      </c>
      <c r="BW68">
        <v>1.4631578949999999</v>
      </c>
      <c r="BX68">
        <v>1.4736842109999999</v>
      </c>
      <c r="BY68">
        <v>1.484210526</v>
      </c>
      <c r="BZ68">
        <v>1.494736842</v>
      </c>
      <c r="CA68">
        <v>1.505263158</v>
      </c>
      <c r="CB68">
        <v>1.515789474</v>
      </c>
      <c r="CC68">
        <v>1.5263157890000001</v>
      </c>
      <c r="CD68">
        <v>1.5368421050000001</v>
      </c>
      <c r="CE68">
        <v>1.547368421</v>
      </c>
      <c r="CF68">
        <v>1.557894737</v>
      </c>
      <c r="CG68">
        <v>1.568421053</v>
      </c>
      <c r="CH68">
        <v>1.5789473679999999</v>
      </c>
      <c r="CI68">
        <v>1.5894736840000001</v>
      </c>
      <c r="CJ68">
        <v>1.6</v>
      </c>
      <c r="CK68">
        <v>1.6105263160000001</v>
      </c>
      <c r="CL68">
        <v>1.621052632</v>
      </c>
      <c r="CM68">
        <v>1.6315789469999999</v>
      </c>
      <c r="CN68">
        <v>1.6421052629999999</v>
      </c>
      <c r="CO68">
        <v>1.6526315789999999</v>
      </c>
      <c r="CP68">
        <v>1.6631578950000001</v>
      </c>
      <c r="CQ68">
        <v>1.6736842110000001</v>
      </c>
      <c r="CR68">
        <v>1.684210526</v>
      </c>
      <c r="CS68">
        <v>1.694736842</v>
      </c>
      <c r="CT68">
        <v>1.7052631579999999</v>
      </c>
      <c r="CU68">
        <v>1.7157894739999999</v>
      </c>
      <c r="CV68">
        <v>1.726315789</v>
      </c>
    </row>
    <row r="69" spans="1:100" x14ac:dyDescent="0.2">
      <c r="A69">
        <v>400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1.013513514</v>
      </c>
      <c r="AG69">
        <v>1.0270270269999999</v>
      </c>
      <c r="AH69">
        <v>1.0405405409999999</v>
      </c>
      <c r="AI69">
        <v>1.0540540540000001</v>
      </c>
      <c r="AJ69">
        <v>1.0675675680000001</v>
      </c>
      <c r="AK69">
        <v>1.081081081</v>
      </c>
      <c r="AL69">
        <v>1.094594595</v>
      </c>
      <c r="AM69">
        <v>1.1081081079999999</v>
      </c>
      <c r="AN69">
        <v>1.1216216219999999</v>
      </c>
      <c r="AO69">
        <v>1.1351351350000001</v>
      </c>
      <c r="AP69">
        <v>1.1486486490000001</v>
      </c>
      <c r="AQ69">
        <v>1.162162162</v>
      </c>
      <c r="AR69">
        <v>1.175675676</v>
      </c>
      <c r="AS69">
        <v>1.1891891889999999</v>
      </c>
      <c r="AT69">
        <v>1.2027027029999999</v>
      </c>
      <c r="AU69">
        <v>1.2162162160000001</v>
      </c>
      <c r="AV69">
        <v>1.2297297300000001</v>
      </c>
      <c r="AW69">
        <v>1.243243243</v>
      </c>
      <c r="AX69">
        <v>1.256756757</v>
      </c>
      <c r="AY69">
        <v>1.2702702699999999</v>
      </c>
      <c r="AZ69">
        <v>1.2837837839999999</v>
      </c>
      <c r="BA69">
        <v>1.2972972970000001</v>
      </c>
      <c r="BB69">
        <v>1.3108108110000001</v>
      </c>
      <c r="BC69">
        <v>1.324324324</v>
      </c>
      <c r="BD69">
        <v>1.337837838</v>
      </c>
      <c r="BE69">
        <v>1.3513513509999999</v>
      </c>
      <c r="BF69">
        <v>1.3648648649999999</v>
      </c>
      <c r="BG69">
        <v>1.3783783780000001</v>
      </c>
      <c r="BH69">
        <v>1.3918918920000001</v>
      </c>
      <c r="BI69">
        <v>1.405405405</v>
      </c>
      <c r="BJ69">
        <v>1.418918919</v>
      </c>
      <c r="BK69">
        <v>1.4324324319999999</v>
      </c>
      <c r="BL69">
        <v>1.4459459459999999</v>
      </c>
      <c r="BM69">
        <v>1.4594594590000001</v>
      </c>
      <c r="BN69">
        <v>1.4729729730000001</v>
      </c>
      <c r="BO69">
        <v>1.486486486</v>
      </c>
      <c r="BP69">
        <v>1.5</v>
      </c>
      <c r="BQ69">
        <v>1.513513514</v>
      </c>
      <c r="BR69">
        <v>1.5270270269999999</v>
      </c>
      <c r="BS69">
        <v>1.5405405409999999</v>
      </c>
      <c r="BT69">
        <v>1.5540540540000001</v>
      </c>
      <c r="BU69">
        <v>1.5675675680000001</v>
      </c>
      <c r="BV69">
        <v>1.581081081</v>
      </c>
      <c r="BW69">
        <v>1.594594595</v>
      </c>
      <c r="BX69">
        <v>1.6081081079999999</v>
      </c>
      <c r="BY69">
        <v>1.6216216219999999</v>
      </c>
      <c r="BZ69">
        <v>1.6351351350000001</v>
      </c>
      <c r="CA69">
        <v>1.6486486490000001</v>
      </c>
      <c r="CB69">
        <v>1.662162162</v>
      </c>
      <c r="CC69">
        <v>1.675675676</v>
      </c>
      <c r="CD69">
        <v>1.6891891889999999</v>
      </c>
      <c r="CE69">
        <v>1.7027027029999999</v>
      </c>
      <c r="CF69">
        <v>1.7162162160000001</v>
      </c>
      <c r="CG69">
        <v>1.7297297300000001</v>
      </c>
      <c r="CH69">
        <v>1.743243243</v>
      </c>
      <c r="CI69">
        <v>1.756756757</v>
      </c>
      <c r="CJ69">
        <v>1.7702702699999999</v>
      </c>
      <c r="CK69">
        <v>1.7837837839999999</v>
      </c>
      <c r="CL69">
        <v>1.7972972970000001</v>
      </c>
      <c r="CM69">
        <v>1.8108108110000001</v>
      </c>
      <c r="CN69">
        <v>1.824324324</v>
      </c>
      <c r="CO69">
        <v>1.837837838</v>
      </c>
      <c r="CP69">
        <v>1.8513513509999999</v>
      </c>
      <c r="CQ69">
        <v>1.8648648649999999</v>
      </c>
      <c r="CR69">
        <v>1.8783783780000001</v>
      </c>
      <c r="CS69">
        <v>1.8918918920000001</v>
      </c>
      <c r="CT69">
        <v>1.905405405</v>
      </c>
      <c r="CU69">
        <v>1.918918919</v>
      </c>
      <c r="CV69">
        <v>1.9324324319999999</v>
      </c>
    </row>
    <row r="70" spans="1:100" x14ac:dyDescent="0.2">
      <c r="A70">
        <v>401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1.0054054050000001</v>
      </c>
      <c r="AG70">
        <v>1.010810811</v>
      </c>
      <c r="AH70">
        <v>1.0162162159999999</v>
      </c>
      <c r="AI70">
        <v>1.0216216220000001</v>
      </c>
      <c r="AJ70">
        <v>1.0270270269999999</v>
      </c>
      <c r="AK70">
        <v>1.032432432</v>
      </c>
      <c r="AL70">
        <v>1.037837838</v>
      </c>
      <c r="AM70">
        <v>1.043243243</v>
      </c>
      <c r="AN70">
        <v>1.048648649</v>
      </c>
      <c r="AO70">
        <v>1.0540540540000001</v>
      </c>
      <c r="AP70">
        <v>1.0594594589999999</v>
      </c>
      <c r="AQ70">
        <v>1.0648648650000001</v>
      </c>
      <c r="AR70">
        <v>1.07027027</v>
      </c>
      <c r="AS70">
        <v>1.0756756759999999</v>
      </c>
      <c r="AT70">
        <v>1.081081081</v>
      </c>
      <c r="AU70">
        <v>1.0864864860000001</v>
      </c>
      <c r="AV70">
        <v>1.091891892</v>
      </c>
      <c r="AW70">
        <v>1.0972972969999999</v>
      </c>
      <c r="AX70">
        <v>1.1027027030000001</v>
      </c>
      <c r="AY70">
        <v>1.1081081079999999</v>
      </c>
      <c r="AZ70">
        <v>1.1135135140000001</v>
      </c>
      <c r="BA70">
        <v>1.118918919</v>
      </c>
      <c r="BB70">
        <v>1.124324324</v>
      </c>
      <c r="BC70">
        <v>1.12972973</v>
      </c>
      <c r="BD70">
        <v>1.1351351350000001</v>
      </c>
      <c r="BE70">
        <v>1.140540541</v>
      </c>
      <c r="BF70">
        <v>1.1459459460000001</v>
      </c>
      <c r="BG70">
        <v>1.151351351</v>
      </c>
      <c r="BH70">
        <v>1.1567567569999999</v>
      </c>
      <c r="BI70">
        <v>1.162162162</v>
      </c>
      <c r="BJ70">
        <v>1.1675675679999999</v>
      </c>
      <c r="BK70">
        <v>1.172972973</v>
      </c>
      <c r="BL70">
        <v>1.1783783779999999</v>
      </c>
      <c r="BM70">
        <v>1.1837837840000001</v>
      </c>
      <c r="BN70">
        <v>1.1891891889999999</v>
      </c>
      <c r="BO70">
        <v>1.1945945950000001</v>
      </c>
      <c r="BP70">
        <v>1.2</v>
      </c>
      <c r="BQ70">
        <v>1.205405405</v>
      </c>
      <c r="BR70">
        <v>1.210810811</v>
      </c>
      <c r="BS70">
        <v>1.2162162160000001</v>
      </c>
      <c r="BT70">
        <v>1.221621622</v>
      </c>
      <c r="BU70">
        <v>1.2270270270000001</v>
      </c>
      <c r="BV70">
        <v>1.232432432</v>
      </c>
      <c r="BW70">
        <v>1.2378378379999999</v>
      </c>
      <c r="BX70">
        <v>1.243243243</v>
      </c>
      <c r="BY70">
        <v>1.2486486489999999</v>
      </c>
      <c r="BZ70">
        <v>1.254054054</v>
      </c>
      <c r="CA70">
        <v>1.2594594589999999</v>
      </c>
      <c r="CB70">
        <v>1.2648648650000001</v>
      </c>
      <c r="CC70">
        <v>1.2702702699999999</v>
      </c>
      <c r="CD70">
        <v>1.2756756760000001</v>
      </c>
      <c r="CE70">
        <v>1.281081081</v>
      </c>
      <c r="CF70">
        <v>1.286486486</v>
      </c>
      <c r="CG70">
        <v>1.291891892</v>
      </c>
      <c r="CH70">
        <v>1.2972972970000001</v>
      </c>
      <c r="CI70">
        <v>1.302702703</v>
      </c>
      <c r="CJ70">
        <v>1.3081081080000001</v>
      </c>
      <c r="CK70">
        <v>1.313513514</v>
      </c>
      <c r="CL70">
        <v>1.3189189189999999</v>
      </c>
      <c r="CM70">
        <v>1.324324324</v>
      </c>
      <c r="CN70">
        <v>1.3297297299999999</v>
      </c>
      <c r="CO70">
        <v>1.335135135</v>
      </c>
      <c r="CP70">
        <v>1.340540541</v>
      </c>
      <c r="CQ70">
        <v>1.3459459460000001</v>
      </c>
      <c r="CR70">
        <v>1.3513513509999999</v>
      </c>
      <c r="CS70">
        <v>1.3567567570000001</v>
      </c>
      <c r="CT70">
        <v>1.362162162</v>
      </c>
      <c r="CU70">
        <v>1.3675675679999999</v>
      </c>
      <c r="CV70">
        <v>1.372972973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2691B-6A48-4775-B609-41D4D6412CA5}">
  <sheetPr codeName="Sheet7"/>
  <dimension ref="A1:M58"/>
  <sheetViews>
    <sheetView workbookViewId="0">
      <selection activeCell="B11" sqref="B11"/>
    </sheetView>
  </sheetViews>
  <sheetFormatPr defaultRowHeight="14.25" x14ac:dyDescent="0.2"/>
  <cols>
    <col min="1" max="1" width="9.75" customWidth="1"/>
    <col min="9" max="10" width="9" customWidth="1"/>
  </cols>
  <sheetData>
    <row r="1" spans="1:13" x14ac:dyDescent="0.2">
      <c r="A1" t="s">
        <v>2419</v>
      </c>
      <c r="B1" t="s">
        <v>2432</v>
      </c>
      <c r="C1" t="s">
        <v>2433</v>
      </c>
      <c r="D1" t="s">
        <v>2434</v>
      </c>
      <c r="E1" t="s">
        <v>2435</v>
      </c>
      <c r="F1" t="s">
        <v>2436</v>
      </c>
      <c r="I1" t="s">
        <v>2455</v>
      </c>
    </row>
    <row r="2" spans="1:13" x14ac:dyDescent="0.2">
      <c r="A2">
        <v>0</v>
      </c>
      <c r="B2" t="s">
        <v>2437</v>
      </c>
      <c r="C2" t="s">
        <v>2437</v>
      </c>
      <c r="D2" t="s">
        <v>2437</v>
      </c>
      <c r="E2" t="s">
        <v>2437</v>
      </c>
      <c r="F2" t="s">
        <v>2437</v>
      </c>
      <c r="I2" t="s">
        <v>2450</v>
      </c>
      <c r="J2" t="s">
        <v>2451</v>
      </c>
      <c r="K2" t="s">
        <v>2453</v>
      </c>
      <c r="L2" t="s">
        <v>2452</v>
      </c>
      <c r="M2" t="s">
        <v>2454</v>
      </c>
    </row>
    <row r="3" spans="1:13" x14ac:dyDescent="0.2">
      <c r="A3">
        <v>10</v>
      </c>
      <c r="B3" t="s">
        <v>2437</v>
      </c>
      <c r="C3" t="s">
        <v>2437</v>
      </c>
      <c r="D3" t="s">
        <v>2437</v>
      </c>
      <c r="E3" t="s">
        <v>2438</v>
      </c>
      <c r="F3" t="s">
        <v>2437</v>
      </c>
      <c r="I3" t="s">
        <v>2456</v>
      </c>
    </row>
    <row r="4" spans="1:13" x14ac:dyDescent="0.2">
      <c r="A4">
        <v>1000</v>
      </c>
      <c r="B4" t="s">
        <v>2437</v>
      </c>
      <c r="C4" t="s">
        <v>2437</v>
      </c>
      <c r="D4" t="s">
        <v>2439</v>
      </c>
      <c r="E4" t="s">
        <v>2437</v>
      </c>
      <c r="F4" t="s">
        <v>2437</v>
      </c>
      <c r="I4" t="s">
        <v>2457</v>
      </c>
    </row>
    <row r="5" spans="1:13" x14ac:dyDescent="0.2">
      <c r="A5">
        <v>1001</v>
      </c>
      <c r="B5" t="s">
        <v>2437</v>
      </c>
      <c r="C5" t="s">
        <v>2437</v>
      </c>
      <c r="D5" t="s">
        <v>2437</v>
      </c>
      <c r="E5" t="s">
        <v>2440</v>
      </c>
      <c r="F5" t="s">
        <v>2437</v>
      </c>
    </row>
    <row r="6" spans="1:13" x14ac:dyDescent="0.2">
      <c r="A6">
        <v>1002</v>
      </c>
      <c r="B6" t="s">
        <v>2441</v>
      </c>
      <c r="C6" t="s">
        <v>2437</v>
      </c>
      <c r="D6" t="s">
        <v>2437</v>
      </c>
      <c r="E6" t="s">
        <v>2437</v>
      </c>
      <c r="F6" t="s">
        <v>2437</v>
      </c>
    </row>
    <row r="7" spans="1:13" x14ac:dyDescent="0.2">
      <c r="A7">
        <v>1010</v>
      </c>
      <c r="B7" t="s">
        <v>2438</v>
      </c>
      <c r="C7" t="s">
        <v>2437</v>
      </c>
      <c r="D7" t="s">
        <v>2437</v>
      </c>
      <c r="E7" t="s">
        <v>2437</v>
      </c>
      <c r="F7" t="s">
        <v>2437</v>
      </c>
    </row>
    <row r="8" spans="1:13" x14ac:dyDescent="0.2">
      <c r="A8">
        <v>1020</v>
      </c>
      <c r="B8" t="s">
        <v>2437</v>
      </c>
      <c r="C8" t="s">
        <v>2437</v>
      </c>
      <c r="D8" t="s">
        <v>2440</v>
      </c>
      <c r="E8" t="s">
        <v>2437</v>
      </c>
      <c r="F8" t="s">
        <v>2437</v>
      </c>
    </row>
    <row r="9" spans="1:13" x14ac:dyDescent="0.2">
      <c r="A9">
        <v>1030</v>
      </c>
      <c r="B9" t="s">
        <v>2440</v>
      </c>
      <c r="C9" t="s">
        <v>2437</v>
      </c>
      <c r="D9" t="s">
        <v>2437</v>
      </c>
      <c r="E9" t="s">
        <v>2437</v>
      </c>
      <c r="F9" t="s">
        <v>2437</v>
      </c>
    </row>
    <row r="10" spans="1:13" x14ac:dyDescent="0.2">
      <c r="A10">
        <v>10000</v>
      </c>
      <c r="B10" t="s">
        <v>2438</v>
      </c>
      <c r="C10" t="s">
        <v>2442</v>
      </c>
      <c r="D10" t="s">
        <v>2440</v>
      </c>
      <c r="E10" t="s">
        <v>2441</v>
      </c>
      <c r="F10" t="s">
        <v>2440</v>
      </c>
    </row>
    <row r="11" spans="1:13" x14ac:dyDescent="0.2">
      <c r="A11">
        <v>10014</v>
      </c>
      <c r="B11" t="s">
        <v>2443</v>
      </c>
      <c r="C11" t="s">
        <v>2442</v>
      </c>
      <c r="D11" t="s">
        <v>2440</v>
      </c>
      <c r="E11" t="s">
        <v>2441</v>
      </c>
      <c r="F11" t="s">
        <v>2440</v>
      </c>
    </row>
    <row r="12" spans="1:13" x14ac:dyDescent="0.2">
      <c r="A12">
        <v>10015</v>
      </c>
      <c r="B12" t="s">
        <v>2444</v>
      </c>
      <c r="C12" t="s">
        <v>2442</v>
      </c>
      <c r="D12" t="s">
        <v>2440</v>
      </c>
      <c r="E12" t="s">
        <v>2441</v>
      </c>
      <c r="F12" t="s">
        <v>2440</v>
      </c>
    </row>
    <row r="13" spans="1:13" x14ac:dyDescent="0.2">
      <c r="A13">
        <v>12000</v>
      </c>
      <c r="B13" t="s">
        <v>2443</v>
      </c>
      <c r="C13" t="s">
        <v>2442</v>
      </c>
      <c r="D13" t="s">
        <v>2440</v>
      </c>
      <c r="E13" t="s">
        <v>2441</v>
      </c>
      <c r="F13" t="s">
        <v>2440</v>
      </c>
    </row>
    <row r="14" spans="1:13" x14ac:dyDescent="0.2">
      <c r="A14">
        <v>13000</v>
      </c>
      <c r="B14" t="s">
        <v>2439</v>
      </c>
      <c r="C14" t="s">
        <v>2442</v>
      </c>
      <c r="D14" t="s">
        <v>2440</v>
      </c>
      <c r="E14" t="s">
        <v>2441</v>
      </c>
      <c r="F14" t="s">
        <v>2440</v>
      </c>
    </row>
    <row r="15" spans="1:13" x14ac:dyDescent="0.2">
      <c r="A15">
        <v>15000</v>
      </c>
      <c r="B15" t="s">
        <v>2445</v>
      </c>
      <c r="C15" t="s">
        <v>2442</v>
      </c>
      <c r="D15" t="s">
        <v>2440</v>
      </c>
      <c r="E15" t="s">
        <v>2441</v>
      </c>
      <c r="F15" t="s">
        <v>2440</v>
      </c>
    </row>
    <row r="16" spans="1:13" x14ac:dyDescent="0.2">
      <c r="A16">
        <v>16000</v>
      </c>
      <c r="B16" t="s">
        <v>2438</v>
      </c>
      <c r="C16" t="s">
        <v>2442</v>
      </c>
      <c r="D16" t="s">
        <v>2446</v>
      </c>
      <c r="E16" t="s">
        <v>2441</v>
      </c>
      <c r="F16" t="s">
        <v>2440</v>
      </c>
    </row>
    <row r="17" spans="1:6" x14ac:dyDescent="0.2">
      <c r="A17">
        <v>20000</v>
      </c>
      <c r="B17" t="s">
        <v>2437</v>
      </c>
      <c r="C17" t="s">
        <v>2447</v>
      </c>
      <c r="D17" t="s">
        <v>2437</v>
      </c>
      <c r="E17" t="s">
        <v>2437</v>
      </c>
      <c r="F17" t="s">
        <v>2447</v>
      </c>
    </row>
    <row r="18" spans="1:6" x14ac:dyDescent="0.2">
      <c r="A18">
        <v>20100</v>
      </c>
      <c r="B18" t="s">
        <v>2437</v>
      </c>
      <c r="C18" t="s">
        <v>2447</v>
      </c>
      <c r="D18" t="s">
        <v>2437</v>
      </c>
      <c r="E18" t="s">
        <v>2437</v>
      </c>
      <c r="F18" t="s">
        <v>2447</v>
      </c>
    </row>
    <row r="19" spans="1:6" x14ac:dyDescent="0.2">
      <c r="A19">
        <v>20110</v>
      </c>
      <c r="B19" t="s">
        <v>2437</v>
      </c>
      <c r="C19" t="s">
        <v>2447</v>
      </c>
      <c r="D19" t="s">
        <v>2437</v>
      </c>
      <c r="E19" t="s">
        <v>2437</v>
      </c>
      <c r="F19" t="s">
        <v>2447</v>
      </c>
    </row>
    <row r="20" spans="1:6" x14ac:dyDescent="0.2">
      <c r="A20">
        <v>20120</v>
      </c>
      <c r="B20" t="s">
        <v>2437</v>
      </c>
      <c r="C20" t="s">
        <v>2447</v>
      </c>
      <c r="D20" t="s">
        <v>2437</v>
      </c>
      <c r="E20" t="s">
        <v>2437</v>
      </c>
      <c r="F20" t="s">
        <v>2447</v>
      </c>
    </row>
    <row r="21" spans="1:6" x14ac:dyDescent="0.2">
      <c r="A21">
        <v>20200</v>
      </c>
      <c r="B21" t="s">
        <v>2437</v>
      </c>
      <c r="C21" t="s">
        <v>2447</v>
      </c>
      <c r="D21" t="s">
        <v>2437</v>
      </c>
      <c r="E21" t="s">
        <v>2437</v>
      </c>
      <c r="F21" t="s">
        <v>2447</v>
      </c>
    </row>
    <row r="22" spans="1:6" x14ac:dyDescent="0.2">
      <c r="A22">
        <v>20210</v>
      </c>
      <c r="B22" t="s">
        <v>2437</v>
      </c>
      <c r="C22" t="s">
        <v>2447</v>
      </c>
      <c r="D22" t="s">
        <v>2437</v>
      </c>
      <c r="E22" t="s">
        <v>2437</v>
      </c>
      <c r="F22" t="s">
        <v>2447</v>
      </c>
    </row>
    <row r="23" spans="1:6" x14ac:dyDescent="0.2">
      <c r="A23">
        <v>30000</v>
      </c>
      <c r="B23" t="s">
        <v>2437</v>
      </c>
      <c r="C23" t="s">
        <v>2437</v>
      </c>
      <c r="D23" t="s">
        <v>2440</v>
      </c>
      <c r="E23" t="s">
        <v>2437</v>
      </c>
      <c r="F23" t="s">
        <v>2440</v>
      </c>
    </row>
    <row r="24" spans="1:6" x14ac:dyDescent="0.2">
      <c r="A24">
        <v>32010</v>
      </c>
      <c r="B24" t="s">
        <v>2440</v>
      </c>
      <c r="C24" t="s">
        <v>2437</v>
      </c>
      <c r="D24" t="s">
        <v>2437</v>
      </c>
      <c r="E24" t="s">
        <v>2437</v>
      </c>
      <c r="F24" t="s">
        <v>2437</v>
      </c>
    </row>
    <row r="25" spans="1:6" x14ac:dyDescent="0.2">
      <c r="A25">
        <v>42060</v>
      </c>
      <c r="B25" t="s">
        <v>2441</v>
      </c>
      <c r="C25" t="s">
        <v>2437</v>
      </c>
      <c r="D25" t="s">
        <v>2437</v>
      </c>
      <c r="E25" t="s">
        <v>2437</v>
      </c>
      <c r="F25" t="s">
        <v>2437</v>
      </c>
    </row>
    <row r="26" spans="1:6" x14ac:dyDescent="0.2">
      <c r="A26">
        <v>42070</v>
      </c>
      <c r="B26" t="s">
        <v>2441</v>
      </c>
      <c r="C26" t="s">
        <v>2437</v>
      </c>
      <c r="D26" t="s">
        <v>2437</v>
      </c>
      <c r="E26" t="s">
        <v>2437</v>
      </c>
      <c r="F26" t="s">
        <v>2437</v>
      </c>
    </row>
    <row r="27" spans="1:6" x14ac:dyDescent="0.2">
      <c r="A27">
        <v>42080</v>
      </c>
      <c r="B27" t="s">
        <v>2441</v>
      </c>
      <c r="C27" t="s">
        <v>2437</v>
      </c>
      <c r="D27" t="s">
        <v>2437</v>
      </c>
      <c r="E27" t="s">
        <v>2437</v>
      </c>
      <c r="F27" t="s">
        <v>2437</v>
      </c>
    </row>
    <row r="28" spans="1:6" x14ac:dyDescent="0.2">
      <c r="A28">
        <v>10010000</v>
      </c>
      <c r="B28" t="s">
        <v>2438</v>
      </c>
      <c r="C28" t="s">
        <v>2442</v>
      </c>
      <c r="D28" t="s">
        <v>2440</v>
      </c>
      <c r="E28" t="s">
        <v>2441</v>
      </c>
      <c r="F28" t="s">
        <v>2440</v>
      </c>
    </row>
    <row r="29" spans="1:6" x14ac:dyDescent="0.2">
      <c r="A29">
        <v>10010010</v>
      </c>
      <c r="B29" t="s">
        <v>2438</v>
      </c>
      <c r="C29" t="s">
        <v>2442</v>
      </c>
      <c r="D29" t="s">
        <v>2440</v>
      </c>
      <c r="E29" t="s">
        <v>2441</v>
      </c>
      <c r="F29" t="s">
        <v>2440</v>
      </c>
    </row>
    <row r="30" spans="1:6" x14ac:dyDescent="0.2">
      <c r="A30">
        <v>10010020</v>
      </c>
      <c r="B30" t="s">
        <v>2438</v>
      </c>
      <c r="C30" t="s">
        <v>2442</v>
      </c>
      <c r="D30" t="s">
        <v>2440</v>
      </c>
      <c r="E30" t="s">
        <v>2441</v>
      </c>
      <c r="F30" t="s">
        <v>2440</v>
      </c>
    </row>
    <row r="31" spans="1:6" x14ac:dyDescent="0.2">
      <c r="A31">
        <v>10010030</v>
      </c>
      <c r="B31" t="s">
        <v>2438</v>
      </c>
      <c r="C31" t="s">
        <v>2440</v>
      </c>
      <c r="D31" t="s">
        <v>2440</v>
      </c>
      <c r="E31" t="s">
        <v>2440</v>
      </c>
      <c r="F31" t="s">
        <v>2440</v>
      </c>
    </row>
    <row r="32" spans="1:6" x14ac:dyDescent="0.2">
      <c r="A32">
        <v>10041000</v>
      </c>
      <c r="B32" t="s">
        <v>2437</v>
      </c>
      <c r="C32" t="s">
        <v>2439</v>
      </c>
      <c r="D32" t="s">
        <v>2437</v>
      </c>
      <c r="E32" t="s">
        <v>2437</v>
      </c>
      <c r="F32" t="s">
        <v>2437</v>
      </c>
    </row>
    <row r="33" spans="1:6" x14ac:dyDescent="0.2">
      <c r="A33">
        <v>10061700</v>
      </c>
      <c r="B33" t="s">
        <v>2437</v>
      </c>
      <c r="C33" t="s">
        <v>2439</v>
      </c>
      <c r="D33" t="s">
        <v>2437</v>
      </c>
      <c r="E33" t="s">
        <v>2437</v>
      </c>
      <c r="F33" t="s">
        <v>2437</v>
      </c>
    </row>
    <row r="34" spans="1:6" x14ac:dyDescent="0.2">
      <c r="A34">
        <v>10062600</v>
      </c>
      <c r="B34" t="s">
        <v>2437</v>
      </c>
      <c r="C34" t="s">
        <v>2437</v>
      </c>
      <c r="D34" t="s">
        <v>2448</v>
      </c>
      <c r="E34" t="s">
        <v>2437</v>
      </c>
      <c r="F34" t="s">
        <v>2437</v>
      </c>
    </row>
    <row r="35" spans="1:6" x14ac:dyDescent="0.2">
      <c r="A35">
        <v>10062700</v>
      </c>
      <c r="B35" t="s">
        <v>2437</v>
      </c>
      <c r="C35" t="s">
        <v>2437</v>
      </c>
      <c r="D35" t="s">
        <v>2448</v>
      </c>
      <c r="E35" t="s">
        <v>2437</v>
      </c>
      <c r="F35" t="s">
        <v>2437</v>
      </c>
    </row>
    <row r="36" spans="1:6" x14ac:dyDescent="0.2">
      <c r="A36">
        <v>10063200</v>
      </c>
      <c r="B36" t="s">
        <v>2437</v>
      </c>
      <c r="C36" t="s">
        <v>2439</v>
      </c>
      <c r="D36" t="s">
        <v>2437</v>
      </c>
      <c r="E36" t="s">
        <v>2437</v>
      </c>
      <c r="F36" t="s">
        <v>2437</v>
      </c>
    </row>
    <row r="37" spans="1:6" x14ac:dyDescent="0.2">
      <c r="A37">
        <v>10063210</v>
      </c>
      <c r="B37" t="s">
        <v>2437</v>
      </c>
      <c r="C37" t="s">
        <v>2439</v>
      </c>
      <c r="D37" t="s">
        <v>2437</v>
      </c>
      <c r="E37" t="s">
        <v>2437</v>
      </c>
      <c r="F37" t="s">
        <v>2437</v>
      </c>
    </row>
    <row r="38" spans="1:6" x14ac:dyDescent="0.2">
      <c r="A38">
        <v>10063400</v>
      </c>
      <c r="B38" t="s">
        <v>2437</v>
      </c>
      <c r="C38" t="s">
        <v>2437</v>
      </c>
      <c r="D38" t="s">
        <v>2438</v>
      </c>
      <c r="E38" t="s">
        <v>2437</v>
      </c>
      <c r="F38" t="s">
        <v>2437</v>
      </c>
    </row>
    <row r="39" spans="1:6" x14ac:dyDescent="0.2">
      <c r="A39">
        <v>10071100</v>
      </c>
      <c r="B39" t="s">
        <v>2437</v>
      </c>
      <c r="C39" t="s">
        <v>2437</v>
      </c>
      <c r="D39" t="s">
        <v>2437</v>
      </c>
      <c r="E39" t="s">
        <v>2443</v>
      </c>
      <c r="F39" t="s">
        <v>2437</v>
      </c>
    </row>
    <row r="40" spans="1:6" x14ac:dyDescent="0.2">
      <c r="A40">
        <v>10071200</v>
      </c>
      <c r="B40" t="s">
        <v>2437</v>
      </c>
      <c r="C40" t="s">
        <v>2437</v>
      </c>
      <c r="D40" t="s">
        <v>2448</v>
      </c>
      <c r="E40" t="s">
        <v>2437</v>
      </c>
      <c r="F40" t="s">
        <v>2437</v>
      </c>
    </row>
    <row r="41" spans="1:6" x14ac:dyDescent="0.2">
      <c r="A41">
        <v>10081700</v>
      </c>
      <c r="B41" t="s">
        <v>2437</v>
      </c>
      <c r="C41" t="s">
        <v>2437</v>
      </c>
      <c r="D41" t="s">
        <v>2448</v>
      </c>
      <c r="E41" t="s">
        <v>2437</v>
      </c>
      <c r="F41" t="s">
        <v>2437</v>
      </c>
    </row>
    <row r="42" spans="1:6" x14ac:dyDescent="0.2">
      <c r="A42">
        <v>10081900</v>
      </c>
      <c r="B42" t="s">
        <v>2437</v>
      </c>
      <c r="C42" t="s">
        <v>2437</v>
      </c>
      <c r="D42" t="s">
        <v>2448</v>
      </c>
      <c r="E42" t="s">
        <v>2437</v>
      </c>
      <c r="F42" t="s">
        <v>2437</v>
      </c>
    </row>
    <row r="43" spans="1:6" x14ac:dyDescent="0.2">
      <c r="A43">
        <v>10091100</v>
      </c>
      <c r="B43" t="s">
        <v>2437</v>
      </c>
      <c r="C43" t="s">
        <v>2437</v>
      </c>
      <c r="D43" t="s">
        <v>2448</v>
      </c>
      <c r="E43" t="s">
        <v>2437</v>
      </c>
      <c r="F43" t="s">
        <v>2437</v>
      </c>
    </row>
    <row r="44" spans="1:6" x14ac:dyDescent="0.2">
      <c r="A44">
        <v>10091600</v>
      </c>
      <c r="B44" t="s">
        <v>2437</v>
      </c>
      <c r="C44" t="s">
        <v>2437</v>
      </c>
      <c r="D44" t="s">
        <v>2437</v>
      </c>
      <c r="E44" t="s">
        <v>2443</v>
      </c>
      <c r="F44" t="s">
        <v>2437</v>
      </c>
    </row>
    <row r="45" spans="1:6" x14ac:dyDescent="0.2">
      <c r="A45">
        <v>10091800</v>
      </c>
      <c r="B45" t="s">
        <v>2443</v>
      </c>
      <c r="C45" t="s">
        <v>2442</v>
      </c>
      <c r="D45" t="s">
        <v>2440</v>
      </c>
      <c r="E45" t="s">
        <v>2441</v>
      </c>
      <c r="F45" t="s">
        <v>2440</v>
      </c>
    </row>
    <row r="46" spans="1:6" x14ac:dyDescent="0.2">
      <c r="A46">
        <v>10091814</v>
      </c>
      <c r="B46" t="s">
        <v>2443</v>
      </c>
      <c r="C46" t="s">
        <v>2442</v>
      </c>
      <c r="D46" t="s">
        <v>2440</v>
      </c>
      <c r="E46" t="s">
        <v>2441</v>
      </c>
      <c r="F46" t="s">
        <v>2440</v>
      </c>
    </row>
    <row r="47" spans="1:6" x14ac:dyDescent="0.2">
      <c r="A47">
        <v>10091815</v>
      </c>
      <c r="B47" t="s">
        <v>2445</v>
      </c>
      <c r="C47" t="s">
        <v>2442</v>
      </c>
      <c r="D47" t="s">
        <v>2440</v>
      </c>
      <c r="E47" t="s">
        <v>2441</v>
      </c>
      <c r="F47" t="s">
        <v>2440</v>
      </c>
    </row>
    <row r="48" spans="1:6" x14ac:dyDescent="0.2">
      <c r="A48">
        <v>10092200</v>
      </c>
      <c r="B48" t="s">
        <v>2437</v>
      </c>
      <c r="C48" t="s">
        <v>2437</v>
      </c>
      <c r="D48" t="s">
        <v>2437</v>
      </c>
      <c r="E48" t="s">
        <v>2443</v>
      </c>
      <c r="F48" t="s">
        <v>2437</v>
      </c>
    </row>
    <row r="49" spans="1:6" x14ac:dyDescent="0.2">
      <c r="A49">
        <v>10101600</v>
      </c>
      <c r="B49" t="s">
        <v>2437</v>
      </c>
      <c r="C49" t="s">
        <v>2437</v>
      </c>
      <c r="D49" t="s">
        <v>2448</v>
      </c>
      <c r="E49" t="s">
        <v>2437</v>
      </c>
      <c r="F49" t="s">
        <v>2437</v>
      </c>
    </row>
    <row r="50" spans="1:6" x14ac:dyDescent="0.2">
      <c r="A50">
        <v>10110300</v>
      </c>
      <c r="B50" t="s">
        <v>2437</v>
      </c>
      <c r="C50" t="s">
        <v>2437</v>
      </c>
      <c r="D50" t="s">
        <v>2448</v>
      </c>
      <c r="E50" t="s">
        <v>2437</v>
      </c>
      <c r="F50" t="s">
        <v>2437</v>
      </c>
    </row>
    <row r="51" spans="1:6" x14ac:dyDescent="0.2">
      <c r="A51">
        <v>10110310</v>
      </c>
      <c r="B51" t="s">
        <v>2437</v>
      </c>
      <c r="C51" t="s">
        <v>2437</v>
      </c>
      <c r="D51" t="s">
        <v>2448</v>
      </c>
      <c r="E51" t="s">
        <v>2437</v>
      </c>
      <c r="F51" t="s">
        <v>2437</v>
      </c>
    </row>
    <row r="52" spans="1:6" x14ac:dyDescent="0.2">
      <c r="A52">
        <v>10131000</v>
      </c>
      <c r="B52" t="s">
        <v>2438</v>
      </c>
      <c r="C52" t="s">
        <v>2449</v>
      </c>
      <c r="D52" t="s">
        <v>2440</v>
      </c>
      <c r="E52" t="s">
        <v>2441</v>
      </c>
      <c r="F52" t="s">
        <v>2447</v>
      </c>
    </row>
    <row r="53" spans="1:6" x14ac:dyDescent="0.2">
      <c r="A53">
        <v>10131100</v>
      </c>
      <c r="B53" t="s">
        <v>2438</v>
      </c>
      <c r="C53" t="s">
        <v>2441</v>
      </c>
      <c r="D53" t="s">
        <v>2440</v>
      </c>
      <c r="E53" t="s">
        <v>2441</v>
      </c>
      <c r="F53" t="s">
        <v>2440</v>
      </c>
    </row>
    <row r="54" spans="1:6" x14ac:dyDescent="0.2">
      <c r="A54">
        <v>10131200</v>
      </c>
      <c r="B54" t="s">
        <v>2438</v>
      </c>
      <c r="C54" t="s">
        <v>2441</v>
      </c>
      <c r="D54" t="s">
        <v>2440</v>
      </c>
      <c r="E54" t="s">
        <v>2441</v>
      </c>
      <c r="F54" t="s">
        <v>2440</v>
      </c>
    </row>
    <row r="55" spans="1:6" x14ac:dyDescent="0.2">
      <c r="A55">
        <v>10141300</v>
      </c>
      <c r="B55" t="s">
        <v>2437</v>
      </c>
      <c r="C55" t="s">
        <v>2437</v>
      </c>
      <c r="D55" t="s">
        <v>2437</v>
      </c>
      <c r="E55" t="s">
        <v>2437</v>
      </c>
      <c r="F55" t="s">
        <v>2437</v>
      </c>
    </row>
    <row r="56" spans="1:6" x14ac:dyDescent="0.2">
      <c r="A56">
        <v>10160400</v>
      </c>
      <c r="B56" t="s">
        <v>2438</v>
      </c>
      <c r="C56" t="s">
        <v>2439</v>
      </c>
      <c r="D56" t="s">
        <v>2437</v>
      </c>
      <c r="E56" t="s">
        <v>2437</v>
      </c>
      <c r="F56" t="s">
        <v>2437</v>
      </c>
    </row>
    <row r="57" spans="1:6" x14ac:dyDescent="0.2">
      <c r="A57">
        <v>10160410</v>
      </c>
      <c r="B57" t="s">
        <v>2438</v>
      </c>
      <c r="C57" t="s">
        <v>2437</v>
      </c>
      <c r="D57" t="s">
        <v>2448</v>
      </c>
      <c r="E57" t="s">
        <v>2437</v>
      </c>
      <c r="F57" t="s">
        <v>2437</v>
      </c>
    </row>
    <row r="58" spans="1:6" x14ac:dyDescent="0.2">
      <c r="A58">
        <v>10160420</v>
      </c>
      <c r="B58" t="s">
        <v>2438</v>
      </c>
      <c r="C58" t="s">
        <v>2439</v>
      </c>
      <c r="D58" t="s">
        <v>2448</v>
      </c>
      <c r="E58" t="s">
        <v>2437</v>
      </c>
      <c r="F58" t="s">
        <v>2437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WeaponName</vt:lpstr>
      <vt:lpstr>WeaponPara</vt:lpstr>
      <vt:lpstr>ReinforceRate</vt:lpstr>
      <vt:lpstr>StaticFunction</vt:lpstr>
      <vt:lpstr>AtkTypeCorrect-Attribute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2021-01-11T14:13:43Z</dcterms:created>
  <dcterms:modified xsi:type="dcterms:W3CDTF">2021-01-13T15:28:46Z</dcterms:modified>
</cp:coreProperties>
</file>